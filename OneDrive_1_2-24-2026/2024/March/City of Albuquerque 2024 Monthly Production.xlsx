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0" documentId="13_ncr:1_{A2057D6D-7A42-484E-9CC1-D3220ABD41CB}" xr6:coauthVersionLast="47" xr6:coauthVersionMax="47" xr10:uidLastSave="{00000000-0000-0000-0000-000000000000}"/>
  <bookViews>
    <workbookView xWindow="-93" yWindow="-93" windowWidth="19386" windowHeight="11466" tabRatio="866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2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1"/>
  <c r="G4" i="34" s="1"/>
  <c r="D5" i="34"/>
  <c r="C5" i="34"/>
  <c r="B4" i="34" a="1"/>
  <c r="B4" i="34" s="1"/>
  <c r="A4" i="34" a="1"/>
  <c r="A4" i="34" s="1"/>
  <c r="D5" i="30"/>
  <c r="C5" i="30"/>
  <c r="D4" i="30"/>
  <c r="D2" i="30" s="1"/>
  <c r="C4" i="30"/>
  <c r="D5" i="29"/>
  <c r="C5" i="29"/>
  <c r="E5" i="29" s="1"/>
  <c r="F5" i="29" s="1"/>
  <c r="D4" i="29"/>
  <c r="C4" i="29"/>
  <c r="D5" i="18"/>
  <c r="C5" i="18"/>
  <c r="E5" i="18" s="1"/>
  <c r="F5" i="18" s="1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D4" i="34" s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F5" i="27"/>
  <c r="E5" i="27"/>
  <c r="I4" i="27"/>
  <c r="H4" i="27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H2" i="20" s="1"/>
  <c r="I2" i="20" s="1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4" l="1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E4" i="34" s="1"/>
  <c r="F4" i="34" s="1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<sst xmlns="http://schemas.openxmlformats.org/spreadsheetml/2006/main" count="243" uniqueCount="56">
  <si>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</si>
  <si>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</si>
  <si>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</si>
  <si>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</si>
  <si>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</si>
  <si>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</si>
  <si>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</si>
  <si>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</si>
  <si>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</si>
  <si>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</si>
  <si>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</si>
  <si>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</si>
  <si>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</si>
  <si>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</si>
  <si>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</si>
  <si>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</si>
  <si>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</si>
  <si>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</si>
  <si>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</si>
  <si>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</si>
  <si>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</si>
  <si>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</si>
  <si>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</si>
  <si>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</si>
  <si>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 xml:space="preserve">1. Inverter 12 is offline from 02/07 to 03/13. </t>
  </si>
  <si>
    <t>1. SR080796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</si>
  <si>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</si>
  <si>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</si>
  <si>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</si>
  <si>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</si>
  <si>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</si>
  <si>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</si>
  <si>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</si>
  <si>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</si>
  <si>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</si>
  <si>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</si>
  <si>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</si>
  <si>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</si>
  <si>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</si>
  <si>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</si>
  <si>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</si>
  <si>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</si>
  <si>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</si>
  <si>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</si>
  <si>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</si>
  <si>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</si>
  <si>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</si>
  <si>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Albuquerque</t>
  </si>
  <si>
    <t>Site DAS Name</t>
  </si>
  <si>
    <t>Update</t>
  </si>
  <si>
    <t>DAS</t>
  </si>
  <si>
    <t>Dept of Senior Affairs CASA Kitchen Karsten</t>
  </si>
  <si>
    <t>NM: Albuquerque - Senior Affairs</t>
  </si>
  <si>
    <t>NM</t>
  </si>
  <si>
    <t>Rio Grande Zoo</t>
  </si>
  <si>
    <t>NM: Albuquerque - Rio Grande Zoo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</si>
</sst>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G3" sqref="G3"/>
    </sheetView>
  </sheetViews>
  <sheetFormatPr defaultRowHeight="12.7" x14ac:dyDescent="0.4"/>
  <cols>
    <col min="1" max="1" width="35.87890625" bestFit="1" customWidth="1"/>
    <col min="2" max="2" width="8.4101562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</cols>
  <sheetData>
    <row r="1" spans="1:9" ht="19.5" customHeight="1" x14ac:dyDescent="0.4">
      <c r="A1" s="44" t="str" cm="1">
        <f t="array" ref="A1">portfolio</f>
        <v>City of Albuquerque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 x14ac:dyDescent="0.4">
      <c r="A2" s="46" t="s">
        <v>2</v>
      </c>
      <c r="B2" s="46"/>
      <c r="C2" s="6">
        <f>SUM(C4:C90)</f>
        <v>217884.375</v>
      </c>
      <c r="D2" s="6">
        <f>SUM(D4:D90)</f>
        <v>205683.247</v>
      </c>
      <c r="E2" s="6">
        <f>C2-D2</f>
        <v>12201.127999999997</v>
      </c>
      <c r="F2" s="7">
        <f>IFERROR(E2/D2, 0)</f>
        <v>5.9319989245405082E-2</v>
      </c>
      <c r="G2" s="6">
        <f>SUM(G4:G90)</f>
        <v>210714.959</v>
      </c>
      <c r="H2" s="8">
        <f>C2-G2</f>
        <v>7169.4159999999974</v>
      </c>
      <c r="I2" s="7">
        <f>IFERROR(H2/G2, 0)</f>
        <v>3.4024238402552129E-2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" x14ac:dyDescent="0.4">
      <c r="A4" s="13" t="str" cm="1">
        <f t="array" ref="A4:A5">Sites[Site]</f>
        <v>NM: Albuquerque - Senior Affairs</v>
      </c>
      <c r="B4" s="10" t="str" cm="1">
        <f t="array" ref="B4:B5">Sites[State]</f>
        <v>NM</v>
      </c>
      <c r="C4" s="26">
        <f>SUM('1st Qtr'!C4, '2nd Qtr'!C4, '3rd Qtr'!C4, '4th Qtr'!C4)</f>
        <v>20750.625</v>
      </c>
      <c r="D4" s="14">
        <f>SUM('1st Qtr'!D4, '2nd Qtr'!D4, '3rd Qtr'!D4, '4th Qtr'!D4)</f>
        <v>20065.517</v>
      </c>
      <c r="E4" s="14">
        <f>IF(AND(ISNUMBER(C4),ISNUMBER(D4)), C4-D4, "")</f>
        <v>685.10800000000017</v>
      </c>
      <c r="F4" s="15">
        <f>IFERROR(E4/D4, "")</f>
        <v>3.4143550848951473E-2</v>
      </c>
      <c r="G4" s="16">
        <f>SUM('1st Qtr'!G4,'2nd Qtr'!G4,'3rd Qtr'!G4,'4th Qtr'!G4)</f>
        <v>16523.749</v>
      </c>
      <c r="H4" s="16">
        <f>SUM('1st Qtr'!H4, '2nd Qtr'!H4, '3rd Qtr'!H4, '4th Qtr'!H4)</f>
        <v>4226.8760000000002</v>
      </c>
      <c r="I4" s="17">
        <f>IFERROR(H4/G4, "")</f>
        <v>0.2558061127653295</v>
      </c>
    </row>
    <row r="5" spans="1:9" ht="15.7" x14ac:dyDescent="0.4">
      <c r="A5" s="19" t="str">
        <v>NM: Albuquerque - Rio Grande Zoo</v>
      </c>
      <c r="B5" s="11" t="str">
        <v>NM</v>
      </c>
      <c r="C5" s="12">
        <f>SUM(Jan!C5, Feb!C5, Mar!C5)</f>
        <v>197133.75</v>
      </c>
      <c r="D5" s="20">
        <f>SUM(Jan!D5, Feb!D5, Mar!D5)</f>
        <v>185617.73</v>
      </c>
      <c r="E5" s="20">
        <f t="shared" ref="E5" si="0">IF(AND(ISNUMBER(C5),ISNUMBER(D5)), C5-D5, "")</f>
        <v>11516.01999999999</v>
      </c>
      <c r="F5" s="21">
        <f>IFERROR(E5/D5, "")</f>
        <v>6.2041594841182407E-2</v>
      </c>
      <c r="G5" s="22">
        <f>SUM('1st Qtr'!G5,'2nd Qtr'!G5,'3rd Qtr'!G5,'4th Qtr'!G5)</f>
        <v>194191.21</v>
      </c>
      <c r="H5" s="22">
        <f>SUM(Jan!H5, Feb!H5, Mar!H5)</f>
        <v>2942.5400000000009</v>
      </c>
      <c r="I5" s="21">
        <f>IFERROR(H5/G5, "")</f>
        <v>1.5152797080774156E-2</v>
      </c>
    </row>
    <row r="6" spans="1:9" ht="13" x14ac:dyDescent="0.45">
      <c r="A6" s="23"/>
      <c r="B6" s="23"/>
      <c r="C6" s="23"/>
      <c r="D6" s="23"/>
      <c r="E6" s="23"/>
      <c r="F6" s="23"/>
      <c r="G6" s="23"/>
      <c r="H6" s="23"/>
      <c r="I6" s="23"/>
    </row>
    <row r="7" spans="1:9" ht="13" x14ac:dyDescent="0.4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45">
      <c r="A8" s="23"/>
      <c r="B8" s="23"/>
      <c r="C8" s="23"/>
      <c r="D8" s="23"/>
      <c r="E8" s="23"/>
      <c r="F8" s="23"/>
      <c r="G8" s="23"/>
      <c r="H8" s="23"/>
      <c r="I8" s="23"/>
    </row>
    <row r="9" spans="1:9" ht="13" x14ac:dyDescent="0.45">
      <c r="A9" s="23"/>
      <c r="B9" s="23"/>
      <c r="C9" s="23"/>
      <c r="D9" s="23"/>
      <c r="E9" s="23"/>
      <c r="F9" s="23"/>
      <c r="G9" s="23"/>
      <c r="H9" s="23"/>
      <c r="I9" s="23"/>
    </row>
    <row r="10" spans="1:9" ht="13" x14ac:dyDescent="0.4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" x14ac:dyDescent="0.4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" x14ac:dyDescent="0.4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" x14ac:dyDescent="0.4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" x14ac:dyDescent="0.4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" x14ac:dyDescent="0.4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" x14ac:dyDescent="0.4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" x14ac:dyDescent="0.4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" x14ac:dyDescent="0.4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" x14ac:dyDescent="0.4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" x14ac:dyDescent="0.4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" x14ac:dyDescent="0.4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" x14ac:dyDescent="0.4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" x14ac:dyDescent="0.4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" x14ac:dyDescent="0.4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" x14ac:dyDescent="0.4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" x14ac:dyDescent="0.4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" x14ac:dyDescent="0.4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" x14ac:dyDescent="0.4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" x14ac:dyDescent="0.4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" x14ac:dyDescent="0.4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" x14ac:dyDescent="0.4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" x14ac:dyDescent="0.4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" x14ac:dyDescent="0.4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" x14ac:dyDescent="0.4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" x14ac:dyDescent="0.4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" x14ac:dyDescent="0.4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" x14ac:dyDescent="0.4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" x14ac:dyDescent="0.4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" x14ac:dyDescent="0.4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" x14ac:dyDescent="0.4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" x14ac:dyDescent="0.4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" x14ac:dyDescent="0.4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" x14ac:dyDescent="0.4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" x14ac:dyDescent="0.4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" x14ac:dyDescent="0.4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" x14ac:dyDescent="0.4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" x14ac:dyDescent="0.4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" x14ac:dyDescent="0.4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" x14ac:dyDescent="0.4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" x14ac:dyDescent="0.4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" x14ac:dyDescent="0.4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" x14ac:dyDescent="0.4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" x14ac:dyDescent="0.4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" x14ac:dyDescent="0.4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" x14ac:dyDescent="0.4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" x14ac:dyDescent="0.4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" x14ac:dyDescent="0.4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" x14ac:dyDescent="0.4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" x14ac:dyDescent="0.4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" x14ac:dyDescent="0.4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" x14ac:dyDescent="0.4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" x14ac:dyDescent="0.4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" x14ac:dyDescent="0.4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" x14ac:dyDescent="0.4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" x14ac:dyDescent="0.4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" x14ac:dyDescent="0.4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" x14ac:dyDescent="0.4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" x14ac:dyDescent="0.4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" x14ac:dyDescent="0.4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" x14ac:dyDescent="0.4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" x14ac:dyDescent="0.4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" x14ac:dyDescent="0.4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" x14ac:dyDescent="0.4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" x14ac:dyDescent="0.4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" x14ac:dyDescent="0.4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" x14ac:dyDescent="0.4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" x14ac:dyDescent="0.4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" x14ac:dyDescent="0.4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" x14ac:dyDescent="0.4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" x14ac:dyDescent="0.4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" x14ac:dyDescent="0.4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" x14ac:dyDescent="0.4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" x14ac:dyDescent="0.4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" x14ac:dyDescent="0.4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" x14ac:dyDescent="0.4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" x14ac:dyDescent="0.4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" x14ac:dyDescent="0.4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" x14ac:dyDescent="0.4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" x14ac:dyDescent="0.4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" x14ac:dyDescent="0.4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" x14ac:dyDescent="0.4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" x14ac:dyDescent="0.4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" x14ac:dyDescent="0.4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" x14ac:dyDescent="0.4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" x14ac:dyDescent="0.4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" x14ac:dyDescent="0.4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" x14ac:dyDescent="0.4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" x14ac:dyDescent="0.4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" x14ac:dyDescent="0.4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" x14ac:dyDescent="0.4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" x14ac:dyDescent="0.4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" x14ac:dyDescent="0.4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" x14ac:dyDescent="0.4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" x14ac:dyDescent="0.4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" x14ac:dyDescent="0.4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" x14ac:dyDescent="0.4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" x14ac:dyDescent="0.4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" x14ac:dyDescent="0.4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" x14ac:dyDescent="0.4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" x14ac:dyDescent="0.4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" x14ac:dyDescent="0.4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" x14ac:dyDescent="0.4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" x14ac:dyDescent="0.4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" x14ac:dyDescent="0.4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" x14ac:dyDescent="0.4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" x14ac:dyDescent="0.4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" x14ac:dyDescent="0.4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" x14ac:dyDescent="0.4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" x14ac:dyDescent="0.4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" x14ac:dyDescent="0.4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" x14ac:dyDescent="0.4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" x14ac:dyDescent="0.4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" x14ac:dyDescent="0.4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" x14ac:dyDescent="0.4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" x14ac:dyDescent="0.4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" x14ac:dyDescent="0.4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" x14ac:dyDescent="0.4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" x14ac:dyDescent="0.4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" x14ac:dyDescent="0.4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" x14ac:dyDescent="0.4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" x14ac:dyDescent="0.4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" x14ac:dyDescent="0.4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" x14ac:dyDescent="0.4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" x14ac:dyDescent="0.4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" x14ac:dyDescent="0.4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" x14ac:dyDescent="0.4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" x14ac:dyDescent="0.4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" x14ac:dyDescent="0.4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" x14ac:dyDescent="0.4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" x14ac:dyDescent="0.4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" x14ac:dyDescent="0.4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" x14ac:dyDescent="0.4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" x14ac:dyDescent="0.4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" x14ac:dyDescent="0.4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" x14ac:dyDescent="0.4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" x14ac:dyDescent="0.4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" x14ac:dyDescent="0.4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" x14ac:dyDescent="0.4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" x14ac:dyDescent="0.4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" x14ac:dyDescent="0.4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" x14ac:dyDescent="0.4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" x14ac:dyDescent="0.4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" x14ac:dyDescent="0.4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" x14ac:dyDescent="0.4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" x14ac:dyDescent="0.4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" x14ac:dyDescent="0.4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" x14ac:dyDescent="0.4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" x14ac:dyDescent="0.4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" x14ac:dyDescent="0.4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" x14ac:dyDescent="0.4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" x14ac:dyDescent="0.4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" x14ac:dyDescent="0.4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" x14ac:dyDescent="0.4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" x14ac:dyDescent="0.4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" x14ac:dyDescent="0.4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" x14ac:dyDescent="0.4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" x14ac:dyDescent="0.4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" x14ac:dyDescent="0.4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" x14ac:dyDescent="0.4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" x14ac:dyDescent="0.4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" x14ac:dyDescent="0.4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" x14ac:dyDescent="0.4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" x14ac:dyDescent="0.4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" x14ac:dyDescent="0.4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" x14ac:dyDescent="0.4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" x14ac:dyDescent="0.4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" x14ac:dyDescent="0.4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" x14ac:dyDescent="0.4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" x14ac:dyDescent="0.4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" x14ac:dyDescent="0.4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" x14ac:dyDescent="0.4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" x14ac:dyDescent="0.4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" x14ac:dyDescent="0.4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" x14ac:dyDescent="0.4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" x14ac:dyDescent="0.4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" x14ac:dyDescent="0.4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" x14ac:dyDescent="0.4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" x14ac:dyDescent="0.4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" x14ac:dyDescent="0.4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" x14ac:dyDescent="0.4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" x14ac:dyDescent="0.4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" x14ac:dyDescent="0.4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" x14ac:dyDescent="0.4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" x14ac:dyDescent="0.4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" x14ac:dyDescent="0.4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" x14ac:dyDescent="0.4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" x14ac:dyDescent="0.4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" x14ac:dyDescent="0.4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" x14ac:dyDescent="0.4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" x14ac:dyDescent="0.4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" x14ac:dyDescent="0.4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" x14ac:dyDescent="0.4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" x14ac:dyDescent="0.4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" x14ac:dyDescent="0.4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" x14ac:dyDescent="0.4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" x14ac:dyDescent="0.4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" x14ac:dyDescent="0.4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" x14ac:dyDescent="0.4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" x14ac:dyDescent="0.4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" x14ac:dyDescent="0.4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" x14ac:dyDescent="0.4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" x14ac:dyDescent="0.4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" x14ac:dyDescent="0.4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" x14ac:dyDescent="0.4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" x14ac:dyDescent="0.4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" x14ac:dyDescent="0.4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" x14ac:dyDescent="0.4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" x14ac:dyDescent="0.4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" x14ac:dyDescent="0.4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" x14ac:dyDescent="0.4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" x14ac:dyDescent="0.4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" x14ac:dyDescent="0.4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" x14ac:dyDescent="0.4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" x14ac:dyDescent="0.4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" x14ac:dyDescent="0.4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" x14ac:dyDescent="0.4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" x14ac:dyDescent="0.4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" x14ac:dyDescent="0.4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" x14ac:dyDescent="0.4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" x14ac:dyDescent="0.4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" x14ac:dyDescent="0.4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" x14ac:dyDescent="0.4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" x14ac:dyDescent="0.4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" x14ac:dyDescent="0.4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" x14ac:dyDescent="0.4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" x14ac:dyDescent="0.4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" x14ac:dyDescent="0.4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" x14ac:dyDescent="0.4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" x14ac:dyDescent="0.4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" x14ac:dyDescent="0.4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" x14ac:dyDescent="0.4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" x14ac:dyDescent="0.4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" x14ac:dyDescent="0.4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" x14ac:dyDescent="0.4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" x14ac:dyDescent="0.4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" x14ac:dyDescent="0.4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" x14ac:dyDescent="0.4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" x14ac:dyDescent="0.4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" x14ac:dyDescent="0.4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" x14ac:dyDescent="0.4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" x14ac:dyDescent="0.4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" x14ac:dyDescent="0.4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" x14ac:dyDescent="0.4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" x14ac:dyDescent="0.4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" x14ac:dyDescent="0.4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" x14ac:dyDescent="0.4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" x14ac:dyDescent="0.4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" x14ac:dyDescent="0.4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" x14ac:dyDescent="0.4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" x14ac:dyDescent="0.4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" x14ac:dyDescent="0.4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" x14ac:dyDescent="0.4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" x14ac:dyDescent="0.4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" x14ac:dyDescent="0.4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" x14ac:dyDescent="0.4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" x14ac:dyDescent="0.4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" x14ac:dyDescent="0.4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" x14ac:dyDescent="0.4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" x14ac:dyDescent="0.4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" x14ac:dyDescent="0.4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" x14ac:dyDescent="0.4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" x14ac:dyDescent="0.4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" x14ac:dyDescent="0.4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" x14ac:dyDescent="0.4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" x14ac:dyDescent="0.4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" x14ac:dyDescent="0.4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" x14ac:dyDescent="0.4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" x14ac:dyDescent="0.4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" x14ac:dyDescent="0.4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" x14ac:dyDescent="0.4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" x14ac:dyDescent="0.4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" x14ac:dyDescent="0.4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" x14ac:dyDescent="0.4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" x14ac:dyDescent="0.4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" x14ac:dyDescent="0.4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" x14ac:dyDescent="0.4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" x14ac:dyDescent="0.4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" x14ac:dyDescent="0.4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" x14ac:dyDescent="0.4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" x14ac:dyDescent="0.4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" x14ac:dyDescent="0.4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" x14ac:dyDescent="0.4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" x14ac:dyDescent="0.4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" x14ac:dyDescent="0.4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" x14ac:dyDescent="0.4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" x14ac:dyDescent="0.4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" x14ac:dyDescent="0.4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" x14ac:dyDescent="0.4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" x14ac:dyDescent="0.4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" x14ac:dyDescent="0.4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" x14ac:dyDescent="0.4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" x14ac:dyDescent="0.4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" x14ac:dyDescent="0.4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" x14ac:dyDescent="0.4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" x14ac:dyDescent="0.4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" x14ac:dyDescent="0.4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" x14ac:dyDescent="0.4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" x14ac:dyDescent="0.4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" x14ac:dyDescent="0.4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" x14ac:dyDescent="0.4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" x14ac:dyDescent="0.4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" x14ac:dyDescent="0.4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" x14ac:dyDescent="0.4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" x14ac:dyDescent="0.4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" x14ac:dyDescent="0.4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" x14ac:dyDescent="0.4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" x14ac:dyDescent="0.4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" x14ac:dyDescent="0.4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" x14ac:dyDescent="0.4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" x14ac:dyDescent="0.4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" x14ac:dyDescent="0.4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" x14ac:dyDescent="0.4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" x14ac:dyDescent="0.4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" x14ac:dyDescent="0.4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" x14ac:dyDescent="0.4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" x14ac:dyDescent="0.4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" x14ac:dyDescent="0.4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" x14ac:dyDescent="0.4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" x14ac:dyDescent="0.4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" x14ac:dyDescent="0.4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" x14ac:dyDescent="0.4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" x14ac:dyDescent="0.45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E24" sqref="E24"/>
    </sheetView>
  </sheetViews>
  <sheetFormatPr defaultRowHeight="12.7" x14ac:dyDescent="0.4"/>
  <cols>
    <col min="1" max="1" width="35.87890625" bestFit="1" customWidth="1"/>
    <col min="2" max="2" width="8.4101562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</cols>
  <sheetData>
    <row r="1" spans="1:9" ht="19.5" customHeight="1" x14ac:dyDescent="0.4">
      <c r="A1" s="44" t="str" cm="1">
        <f t="array" ref="A1">portfolio</f>
        <v>City of Albuquerque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 x14ac:dyDescent="0.4">
      <c r="A2" s="46" t="s">
        <v>2</v>
      </c>
      <c r="B2" s="46"/>
      <c r="C2" s="6">
        <f>SUM(C4:C90)</f>
        <v>217884.375</v>
      </c>
      <c r="D2" s="6">
        <f>SUM(D4:D90)</f>
        <v>205683.247</v>
      </c>
      <c r="E2" s="6">
        <f>C2-D2</f>
        <v>12201.127999999997</v>
      </c>
      <c r="F2" s="7">
        <f>IFERROR(E2/D2, 0)</f>
        <v>5.9319989245405082E-2</v>
      </c>
      <c r="G2" s="6">
        <f>SUM(G4:G90)</f>
        <v>210714.959</v>
      </c>
      <c r="H2" s="8">
        <f>C2-G2</f>
        <v>7169.4159999999974</v>
      </c>
      <c r="I2" s="7">
        <f>IFERROR(H2/G2, 0)</f>
        <v>3.4024238402552129E-2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" x14ac:dyDescent="0.4">
      <c r="A4" s="13" t="str" cm="1">
        <f t="array" ref="A4:A5">Sites[Site]</f>
        <v>NM: Albuquerque - Senior Affairs</v>
      </c>
      <c r="B4" s="10" t="str" cm="1">
        <f t="array" ref="B4:B5">Sites[State]</f>
        <v>NM</v>
      </c>
      <c r="C4" s="26">
        <f>SUM(Jan!C4, Feb!C4, Mar!C4)</f>
        <v>20750.625</v>
      </c>
      <c r="D4" s="14">
        <f>SUM(Jan!D4, Feb!D4, Mar!D4)</f>
        <v>20065.517</v>
      </c>
      <c r="E4" s="14">
        <f>IF(AND(ISNUMBER(C4),ISNUMBER(D4)), C4-D4, "")</f>
        <v>685.10800000000017</v>
      </c>
      <c r="F4" s="15">
        <f>IFERROR(E4/D4, "")</f>
        <v>3.4143550848951473E-2</v>
      </c>
      <c r="G4" s="16">
        <f>SUM(Jan!G4, Feb!G4, Mar!G4)</f>
        <v>16523.749</v>
      </c>
      <c r="H4" s="16">
        <f>SUM(Jan!H4, Feb!H4, Mar!H4)</f>
        <v>4226.8760000000002</v>
      </c>
      <c r="I4" s="17">
        <f>IFERROR(H4/G4, "")</f>
        <v>0.2558061127653295</v>
      </c>
    </row>
    <row r="5" spans="1:9" ht="15.7" x14ac:dyDescent="0.4">
      <c r="A5" s="19" t="str">
        <v>NM: Albuquerque - Rio Grande Zoo</v>
      </c>
      <c r="B5" s="11" t="str">
        <v>NM</v>
      </c>
      <c r="C5" s="12">
        <f>SUM(Jan!C5, Feb!C5, Mar!C5)</f>
        <v>197133.75</v>
      </c>
      <c r="D5" s="20">
        <f>SUM(Jan!D5, Feb!D5, Mar!D5)</f>
        <v>185617.73</v>
      </c>
      <c r="E5" s="20">
        <f t="shared" ref="E5" si="0">IF(AND(ISNUMBER(C5),ISNUMBER(D5)), C5-D5, "")</f>
        <v>11516.01999999999</v>
      </c>
      <c r="F5" s="21">
        <f>IFERROR(E5/D5, "")</f>
        <v>6.2041594841182407E-2</v>
      </c>
      <c r="G5" s="22">
        <f>SUM(Jan!G5, Feb!G5, Mar!G5)</f>
        <v>194191.21</v>
      </c>
      <c r="H5" s="22">
        <f>SUM(Jan!H5, Feb!H5, Mar!H5)</f>
        <v>2942.5400000000009</v>
      </c>
      <c r="I5" s="21">
        <f>IFERROR(H5/G5, "")</f>
        <v>1.5152797080774156E-2</v>
      </c>
    </row>
    <row r="6" spans="1:9" ht="13" x14ac:dyDescent="0.45">
      <c r="A6" s="23"/>
      <c r="B6" s="23"/>
      <c r="C6" s="23"/>
      <c r="D6" s="23"/>
      <c r="E6" s="23"/>
      <c r="F6" s="23"/>
      <c r="G6" s="23"/>
      <c r="H6" s="23"/>
      <c r="I6" s="23"/>
    </row>
    <row r="7" spans="1:9" ht="13" x14ac:dyDescent="0.4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45">
      <c r="A8" s="23"/>
      <c r="B8" s="23"/>
      <c r="C8" s="23"/>
      <c r="D8" s="23"/>
      <c r="E8" s="23"/>
      <c r="F8" s="23"/>
      <c r="G8" s="23"/>
      <c r="H8" s="23"/>
      <c r="I8" s="23"/>
    </row>
    <row r="9" spans="1:9" ht="13" x14ac:dyDescent="0.45">
      <c r="A9" s="23"/>
      <c r="B9" s="23"/>
      <c r="C9" s="23"/>
      <c r="D9" s="23"/>
      <c r="E9" s="23"/>
      <c r="F9" s="23"/>
      <c r="G9" s="23"/>
      <c r="H9" s="23"/>
      <c r="I9" s="23"/>
    </row>
    <row r="10" spans="1:9" ht="13" x14ac:dyDescent="0.4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" x14ac:dyDescent="0.4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" x14ac:dyDescent="0.4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" x14ac:dyDescent="0.4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" x14ac:dyDescent="0.4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" x14ac:dyDescent="0.4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" x14ac:dyDescent="0.4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" x14ac:dyDescent="0.4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" x14ac:dyDescent="0.4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" x14ac:dyDescent="0.4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" x14ac:dyDescent="0.4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" x14ac:dyDescent="0.4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" x14ac:dyDescent="0.4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" x14ac:dyDescent="0.4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" x14ac:dyDescent="0.4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" x14ac:dyDescent="0.4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" x14ac:dyDescent="0.4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" x14ac:dyDescent="0.4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" x14ac:dyDescent="0.4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" x14ac:dyDescent="0.4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" x14ac:dyDescent="0.4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" x14ac:dyDescent="0.4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" x14ac:dyDescent="0.4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" x14ac:dyDescent="0.4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" x14ac:dyDescent="0.4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" x14ac:dyDescent="0.4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" x14ac:dyDescent="0.4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" x14ac:dyDescent="0.4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" x14ac:dyDescent="0.4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" x14ac:dyDescent="0.4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" x14ac:dyDescent="0.4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" x14ac:dyDescent="0.4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" x14ac:dyDescent="0.4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" x14ac:dyDescent="0.4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" x14ac:dyDescent="0.4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" x14ac:dyDescent="0.4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" x14ac:dyDescent="0.4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" x14ac:dyDescent="0.4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" x14ac:dyDescent="0.4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" x14ac:dyDescent="0.4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" x14ac:dyDescent="0.4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" x14ac:dyDescent="0.4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" x14ac:dyDescent="0.4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" x14ac:dyDescent="0.4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" x14ac:dyDescent="0.4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" x14ac:dyDescent="0.4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" x14ac:dyDescent="0.4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" x14ac:dyDescent="0.4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" x14ac:dyDescent="0.4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" x14ac:dyDescent="0.4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" x14ac:dyDescent="0.4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" x14ac:dyDescent="0.4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" x14ac:dyDescent="0.4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" x14ac:dyDescent="0.4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" x14ac:dyDescent="0.4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" x14ac:dyDescent="0.4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" x14ac:dyDescent="0.4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" x14ac:dyDescent="0.4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" x14ac:dyDescent="0.4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" x14ac:dyDescent="0.4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" x14ac:dyDescent="0.4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" x14ac:dyDescent="0.4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" x14ac:dyDescent="0.4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" x14ac:dyDescent="0.4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" x14ac:dyDescent="0.4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" x14ac:dyDescent="0.4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" x14ac:dyDescent="0.4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" x14ac:dyDescent="0.4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" x14ac:dyDescent="0.4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" x14ac:dyDescent="0.4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" x14ac:dyDescent="0.4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" x14ac:dyDescent="0.4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" x14ac:dyDescent="0.4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" x14ac:dyDescent="0.4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" x14ac:dyDescent="0.4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" x14ac:dyDescent="0.4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" x14ac:dyDescent="0.4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" x14ac:dyDescent="0.4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" x14ac:dyDescent="0.4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" x14ac:dyDescent="0.4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" x14ac:dyDescent="0.4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" x14ac:dyDescent="0.4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" x14ac:dyDescent="0.4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" x14ac:dyDescent="0.4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" x14ac:dyDescent="0.4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" x14ac:dyDescent="0.4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" x14ac:dyDescent="0.4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" x14ac:dyDescent="0.4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" x14ac:dyDescent="0.4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" x14ac:dyDescent="0.4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" x14ac:dyDescent="0.4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" x14ac:dyDescent="0.4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" x14ac:dyDescent="0.4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" x14ac:dyDescent="0.4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" x14ac:dyDescent="0.4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" x14ac:dyDescent="0.4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" x14ac:dyDescent="0.4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" x14ac:dyDescent="0.4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" x14ac:dyDescent="0.4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" x14ac:dyDescent="0.4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" x14ac:dyDescent="0.4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" x14ac:dyDescent="0.4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" x14ac:dyDescent="0.4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" x14ac:dyDescent="0.4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" x14ac:dyDescent="0.4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" x14ac:dyDescent="0.4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" x14ac:dyDescent="0.4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" x14ac:dyDescent="0.4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" x14ac:dyDescent="0.4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" x14ac:dyDescent="0.4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" x14ac:dyDescent="0.4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" x14ac:dyDescent="0.4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" x14ac:dyDescent="0.4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" x14ac:dyDescent="0.4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" x14ac:dyDescent="0.4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" x14ac:dyDescent="0.4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" x14ac:dyDescent="0.4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" x14ac:dyDescent="0.4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" x14ac:dyDescent="0.4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" x14ac:dyDescent="0.4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" x14ac:dyDescent="0.4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" x14ac:dyDescent="0.4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" x14ac:dyDescent="0.4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" x14ac:dyDescent="0.4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" x14ac:dyDescent="0.4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" x14ac:dyDescent="0.4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" x14ac:dyDescent="0.4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" x14ac:dyDescent="0.4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" x14ac:dyDescent="0.4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" x14ac:dyDescent="0.4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" x14ac:dyDescent="0.4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" x14ac:dyDescent="0.4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" x14ac:dyDescent="0.4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" x14ac:dyDescent="0.4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" x14ac:dyDescent="0.4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" x14ac:dyDescent="0.4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" x14ac:dyDescent="0.4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" x14ac:dyDescent="0.4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" x14ac:dyDescent="0.4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" x14ac:dyDescent="0.4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" x14ac:dyDescent="0.4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" x14ac:dyDescent="0.4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" x14ac:dyDescent="0.4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" x14ac:dyDescent="0.4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" x14ac:dyDescent="0.4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" x14ac:dyDescent="0.4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" x14ac:dyDescent="0.4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" x14ac:dyDescent="0.4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" x14ac:dyDescent="0.4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" x14ac:dyDescent="0.4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" x14ac:dyDescent="0.4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" x14ac:dyDescent="0.4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" x14ac:dyDescent="0.4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" x14ac:dyDescent="0.4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" x14ac:dyDescent="0.4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" x14ac:dyDescent="0.4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" x14ac:dyDescent="0.4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" x14ac:dyDescent="0.4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" x14ac:dyDescent="0.4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" x14ac:dyDescent="0.4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" x14ac:dyDescent="0.4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" x14ac:dyDescent="0.4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" x14ac:dyDescent="0.4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" x14ac:dyDescent="0.4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" x14ac:dyDescent="0.4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" x14ac:dyDescent="0.4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" x14ac:dyDescent="0.4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" x14ac:dyDescent="0.4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" x14ac:dyDescent="0.4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" x14ac:dyDescent="0.4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" x14ac:dyDescent="0.4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" x14ac:dyDescent="0.4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" x14ac:dyDescent="0.4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" x14ac:dyDescent="0.4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" x14ac:dyDescent="0.4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" x14ac:dyDescent="0.4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" x14ac:dyDescent="0.4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" x14ac:dyDescent="0.4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" x14ac:dyDescent="0.4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" x14ac:dyDescent="0.4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" x14ac:dyDescent="0.4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" x14ac:dyDescent="0.4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" x14ac:dyDescent="0.4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" x14ac:dyDescent="0.4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" x14ac:dyDescent="0.4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" x14ac:dyDescent="0.4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" x14ac:dyDescent="0.4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" x14ac:dyDescent="0.4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" x14ac:dyDescent="0.4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" x14ac:dyDescent="0.4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" x14ac:dyDescent="0.4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" x14ac:dyDescent="0.4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" x14ac:dyDescent="0.4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" x14ac:dyDescent="0.4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" x14ac:dyDescent="0.4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" x14ac:dyDescent="0.4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" x14ac:dyDescent="0.4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" x14ac:dyDescent="0.4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" x14ac:dyDescent="0.4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" x14ac:dyDescent="0.4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" x14ac:dyDescent="0.4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" x14ac:dyDescent="0.4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" x14ac:dyDescent="0.4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" x14ac:dyDescent="0.4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" x14ac:dyDescent="0.4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" x14ac:dyDescent="0.4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" x14ac:dyDescent="0.4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" x14ac:dyDescent="0.4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" x14ac:dyDescent="0.4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" x14ac:dyDescent="0.4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" x14ac:dyDescent="0.4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" x14ac:dyDescent="0.4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" x14ac:dyDescent="0.4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" x14ac:dyDescent="0.4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" x14ac:dyDescent="0.4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" x14ac:dyDescent="0.4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" x14ac:dyDescent="0.4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" x14ac:dyDescent="0.4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" x14ac:dyDescent="0.4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" x14ac:dyDescent="0.4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" x14ac:dyDescent="0.4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" x14ac:dyDescent="0.4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" x14ac:dyDescent="0.4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" x14ac:dyDescent="0.4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" x14ac:dyDescent="0.4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" x14ac:dyDescent="0.4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" x14ac:dyDescent="0.4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" x14ac:dyDescent="0.4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" x14ac:dyDescent="0.4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" x14ac:dyDescent="0.4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" x14ac:dyDescent="0.4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" x14ac:dyDescent="0.4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" x14ac:dyDescent="0.4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" x14ac:dyDescent="0.4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" x14ac:dyDescent="0.4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" x14ac:dyDescent="0.4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" x14ac:dyDescent="0.4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" x14ac:dyDescent="0.4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" x14ac:dyDescent="0.4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" x14ac:dyDescent="0.4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" x14ac:dyDescent="0.4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" x14ac:dyDescent="0.4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" x14ac:dyDescent="0.4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" x14ac:dyDescent="0.4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" x14ac:dyDescent="0.4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" x14ac:dyDescent="0.4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" x14ac:dyDescent="0.4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" x14ac:dyDescent="0.4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" x14ac:dyDescent="0.4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" x14ac:dyDescent="0.4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" x14ac:dyDescent="0.4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" x14ac:dyDescent="0.4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" x14ac:dyDescent="0.4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" x14ac:dyDescent="0.4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" x14ac:dyDescent="0.4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" x14ac:dyDescent="0.4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" x14ac:dyDescent="0.4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" x14ac:dyDescent="0.4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" x14ac:dyDescent="0.4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" x14ac:dyDescent="0.4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" x14ac:dyDescent="0.4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" x14ac:dyDescent="0.4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" x14ac:dyDescent="0.4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" x14ac:dyDescent="0.4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" x14ac:dyDescent="0.4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" x14ac:dyDescent="0.4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" x14ac:dyDescent="0.4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" x14ac:dyDescent="0.4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" x14ac:dyDescent="0.4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" x14ac:dyDescent="0.4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" x14ac:dyDescent="0.4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" x14ac:dyDescent="0.4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" x14ac:dyDescent="0.4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" x14ac:dyDescent="0.4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" x14ac:dyDescent="0.4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" x14ac:dyDescent="0.4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" x14ac:dyDescent="0.4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" x14ac:dyDescent="0.4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" x14ac:dyDescent="0.4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" x14ac:dyDescent="0.4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" x14ac:dyDescent="0.4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" x14ac:dyDescent="0.4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" x14ac:dyDescent="0.4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" x14ac:dyDescent="0.4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" x14ac:dyDescent="0.4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" x14ac:dyDescent="0.4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" x14ac:dyDescent="0.4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" x14ac:dyDescent="0.4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" x14ac:dyDescent="0.4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" x14ac:dyDescent="0.4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" x14ac:dyDescent="0.4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" x14ac:dyDescent="0.4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" x14ac:dyDescent="0.4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" x14ac:dyDescent="0.4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" x14ac:dyDescent="0.4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" x14ac:dyDescent="0.4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" x14ac:dyDescent="0.4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" x14ac:dyDescent="0.4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" x14ac:dyDescent="0.4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" x14ac:dyDescent="0.4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" x14ac:dyDescent="0.4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" x14ac:dyDescent="0.4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" x14ac:dyDescent="0.4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" x14ac:dyDescent="0.4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" x14ac:dyDescent="0.4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" x14ac:dyDescent="0.4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" x14ac:dyDescent="0.4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" x14ac:dyDescent="0.4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" x14ac:dyDescent="0.4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" x14ac:dyDescent="0.4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" x14ac:dyDescent="0.4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" x14ac:dyDescent="0.4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" x14ac:dyDescent="0.4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" x14ac:dyDescent="0.4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" x14ac:dyDescent="0.4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" x14ac:dyDescent="0.4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" x14ac:dyDescent="0.4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" x14ac:dyDescent="0.4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" x14ac:dyDescent="0.4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" x14ac:dyDescent="0.4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" x14ac:dyDescent="0.4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" x14ac:dyDescent="0.4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" x14ac:dyDescent="0.4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E14" sqref="E14"/>
    </sheetView>
  </sheetViews>
  <sheetFormatPr defaultRowHeight="12.7" x14ac:dyDescent="0.4"/>
  <cols>
    <col min="1" max="1" width="35.87890625" bestFit="1" customWidth="1"/>
    <col min="2" max="2" width="8.4101562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</cols>
  <sheetData>
    <row r="1" spans="1:9" ht="19.5" customHeight="1" x14ac:dyDescent="0.4">
      <c r="A1" s="44" t="str" cm="1">
        <f t="array" ref="A1">portfolio</f>
        <v>City of Albuquerque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 x14ac:dyDescent="0.4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" x14ac:dyDescent="0.4">
      <c r="A4" s="13" t="str" cm="1">
        <f t="array" ref="A4:A5">Sites[Site]</f>
        <v>NM: Albuquerque - Senior Affairs</v>
      </c>
      <c r="B4" s="10" t="str" cm="1">
        <f t="array" ref="B4:B5">Sites[State]</f>
        <v>NM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" x14ac:dyDescent="0.4">
      <c r="A5" s="19" t="str">
        <v>NM: Albuquerque - Rio Grande Zoo</v>
      </c>
      <c r="B5" s="11" t="str">
        <v>NM</v>
      </c>
      <c r="C5" s="12">
        <f>SUM(Apr!C5, May!C5, Jun!C5)</f>
        <v>0</v>
      </c>
      <c r="D5" s="20">
        <f>SUM(Apr!D5, May!D5, Jun!D5)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3" x14ac:dyDescent="0.45">
      <c r="A6" s="23"/>
      <c r="B6" s="23"/>
      <c r="C6" s="23"/>
      <c r="D6" s="23"/>
      <c r="E6" s="23"/>
      <c r="F6" s="23"/>
      <c r="G6" s="23"/>
      <c r="H6" s="23"/>
      <c r="I6" s="23"/>
    </row>
    <row r="7" spans="1:9" ht="13" x14ac:dyDescent="0.4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45">
      <c r="A8" s="23"/>
      <c r="B8" s="23"/>
      <c r="C8" s="23"/>
      <c r="D8" s="23"/>
      <c r="E8" s="23"/>
      <c r="F8" s="23"/>
      <c r="G8" s="23"/>
      <c r="H8" s="23"/>
      <c r="I8" s="23"/>
    </row>
    <row r="9" spans="1:9" ht="13" x14ac:dyDescent="0.45">
      <c r="A9" s="23"/>
      <c r="B9" s="23"/>
      <c r="C9" s="23"/>
      <c r="D9" s="23"/>
      <c r="E9" s="23"/>
      <c r="F9" s="23"/>
      <c r="G9" s="23"/>
      <c r="H9" s="23"/>
      <c r="I9" s="23"/>
    </row>
    <row r="10" spans="1:9" ht="13" x14ac:dyDescent="0.4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" x14ac:dyDescent="0.4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" x14ac:dyDescent="0.4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" x14ac:dyDescent="0.4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" x14ac:dyDescent="0.4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" x14ac:dyDescent="0.4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" x14ac:dyDescent="0.4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" x14ac:dyDescent="0.4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" x14ac:dyDescent="0.4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" x14ac:dyDescent="0.4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" x14ac:dyDescent="0.4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" x14ac:dyDescent="0.4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" x14ac:dyDescent="0.4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" x14ac:dyDescent="0.4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" x14ac:dyDescent="0.4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" x14ac:dyDescent="0.4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" x14ac:dyDescent="0.4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" x14ac:dyDescent="0.4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" x14ac:dyDescent="0.4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" x14ac:dyDescent="0.4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" x14ac:dyDescent="0.4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" x14ac:dyDescent="0.4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" x14ac:dyDescent="0.4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" x14ac:dyDescent="0.4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" x14ac:dyDescent="0.4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" x14ac:dyDescent="0.4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" x14ac:dyDescent="0.4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" x14ac:dyDescent="0.4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" x14ac:dyDescent="0.4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" x14ac:dyDescent="0.4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" x14ac:dyDescent="0.4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" x14ac:dyDescent="0.4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" x14ac:dyDescent="0.4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" x14ac:dyDescent="0.4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" x14ac:dyDescent="0.4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" x14ac:dyDescent="0.4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" x14ac:dyDescent="0.4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" x14ac:dyDescent="0.4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" x14ac:dyDescent="0.4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" x14ac:dyDescent="0.4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" x14ac:dyDescent="0.4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" x14ac:dyDescent="0.4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" x14ac:dyDescent="0.4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" x14ac:dyDescent="0.4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" x14ac:dyDescent="0.4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" x14ac:dyDescent="0.4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" x14ac:dyDescent="0.4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" x14ac:dyDescent="0.4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" x14ac:dyDescent="0.4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" x14ac:dyDescent="0.4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" x14ac:dyDescent="0.4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" x14ac:dyDescent="0.4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" x14ac:dyDescent="0.4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" x14ac:dyDescent="0.4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" x14ac:dyDescent="0.4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" x14ac:dyDescent="0.4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" x14ac:dyDescent="0.4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" x14ac:dyDescent="0.4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" x14ac:dyDescent="0.4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" x14ac:dyDescent="0.4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" x14ac:dyDescent="0.4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" x14ac:dyDescent="0.4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" x14ac:dyDescent="0.4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" x14ac:dyDescent="0.4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" x14ac:dyDescent="0.4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" x14ac:dyDescent="0.4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" x14ac:dyDescent="0.4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" x14ac:dyDescent="0.4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" x14ac:dyDescent="0.4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" x14ac:dyDescent="0.4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" x14ac:dyDescent="0.4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" x14ac:dyDescent="0.4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" x14ac:dyDescent="0.4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" x14ac:dyDescent="0.4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" x14ac:dyDescent="0.4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" x14ac:dyDescent="0.4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" x14ac:dyDescent="0.4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" x14ac:dyDescent="0.4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" x14ac:dyDescent="0.4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" x14ac:dyDescent="0.4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" x14ac:dyDescent="0.4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" x14ac:dyDescent="0.4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" x14ac:dyDescent="0.4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" x14ac:dyDescent="0.4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" x14ac:dyDescent="0.4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" x14ac:dyDescent="0.4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" x14ac:dyDescent="0.4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" x14ac:dyDescent="0.4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" x14ac:dyDescent="0.4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" x14ac:dyDescent="0.4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" x14ac:dyDescent="0.4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" x14ac:dyDescent="0.4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" x14ac:dyDescent="0.4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" x14ac:dyDescent="0.4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" x14ac:dyDescent="0.4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" x14ac:dyDescent="0.4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" x14ac:dyDescent="0.4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" x14ac:dyDescent="0.4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" x14ac:dyDescent="0.4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" x14ac:dyDescent="0.4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" x14ac:dyDescent="0.4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" x14ac:dyDescent="0.4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" x14ac:dyDescent="0.4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" x14ac:dyDescent="0.4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" x14ac:dyDescent="0.4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" x14ac:dyDescent="0.4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" x14ac:dyDescent="0.4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" x14ac:dyDescent="0.4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" x14ac:dyDescent="0.4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" x14ac:dyDescent="0.4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" x14ac:dyDescent="0.4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" x14ac:dyDescent="0.4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" x14ac:dyDescent="0.4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" x14ac:dyDescent="0.4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" x14ac:dyDescent="0.4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" x14ac:dyDescent="0.4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" x14ac:dyDescent="0.4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" x14ac:dyDescent="0.4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" x14ac:dyDescent="0.4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" x14ac:dyDescent="0.4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" x14ac:dyDescent="0.4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" x14ac:dyDescent="0.4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" x14ac:dyDescent="0.4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" x14ac:dyDescent="0.4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" x14ac:dyDescent="0.4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" x14ac:dyDescent="0.4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" x14ac:dyDescent="0.4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" x14ac:dyDescent="0.4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" x14ac:dyDescent="0.4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" x14ac:dyDescent="0.4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" x14ac:dyDescent="0.4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" x14ac:dyDescent="0.4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" x14ac:dyDescent="0.4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" x14ac:dyDescent="0.4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" x14ac:dyDescent="0.4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" x14ac:dyDescent="0.4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" x14ac:dyDescent="0.4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" x14ac:dyDescent="0.4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" x14ac:dyDescent="0.4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" x14ac:dyDescent="0.4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" x14ac:dyDescent="0.4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" x14ac:dyDescent="0.4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" x14ac:dyDescent="0.4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" x14ac:dyDescent="0.4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" x14ac:dyDescent="0.4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" x14ac:dyDescent="0.4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" x14ac:dyDescent="0.4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" x14ac:dyDescent="0.4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" x14ac:dyDescent="0.4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" x14ac:dyDescent="0.4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" x14ac:dyDescent="0.4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" x14ac:dyDescent="0.4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" x14ac:dyDescent="0.4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" x14ac:dyDescent="0.4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" x14ac:dyDescent="0.4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" x14ac:dyDescent="0.4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" x14ac:dyDescent="0.4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" x14ac:dyDescent="0.4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" x14ac:dyDescent="0.4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" x14ac:dyDescent="0.4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" x14ac:dyDescent="0.4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" x14ac:dyDescent="0.4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" x14ac:dyDescent="0.4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" x14ac:dyDescent="0.4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" x14ac:dyDescent="0.4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" x14ac:dyDescent="0.4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" x14ac:dyDescent="0.4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" x14ac:dyDescent="0.4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" x14ac:dyDescent="0.4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" x14ac:dyDescent="0.4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" x14ac:dyDescent="0.4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" x14ac:dyDescent="0.4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" x14ac:dyDescent="0.4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" x14ac:dyDescent="0.4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" x14ac:dyDescent="0.4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" x14ac:dyDescent="0.4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" x14ac:dyDescent="0.4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" x14ac:dyDescent="0.4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" x14ac:dyDescent="0.4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" x14ac:dyDescent="0.4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" x14ac:dyDescent="0.4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" x14ac:dyDescent="0.4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" x14ac:dyDescent="0.4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" x14ac:dyDescent="0.4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" x14ac:dyDescent="0.4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" x14ac:dyDescent="0.4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" x14ac:dyDescent="0.4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" x14ac:dyDescent="0.4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" x14ac:dyDescent="0.4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" x14ac:dyDescent="0.4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" x14ac:dyDescent="0.4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" x14ac:dyDescent="0.4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" x14ac:dyDescent="0.4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" x14ac:dyDescent="0.4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" x14ac:dyDescent="0.4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" x14ac:dyDescent="0.4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" x14ac:dyDescent="0.4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" x14ac:dyDescent="0.4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" x14ac:dyDescent="0.4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" x14ac:dyDescent="0.4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" x14ac:dyDescent="0.4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" x14ac:dyDescent="0.4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" x14ac:dyDescent="0.4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" x14ac:dyDescent="0.4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" x14ac:dyDescent="0.4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" x14ac:dyDescent="0.4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" x14ac:dyDescent="0.4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" x14ac:dyDescent="0.4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" x14ac:dyDescent="0.4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" x14ac:dyDescent="0.4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" x14ac:dyDescent="0.4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" x14ac:dyDescent="0.4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" x14ac:dyDescent="0.4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" x14ac:dyDescent="0.4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" x14ac:dyDescent="0.4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" x14ac:dyDescent="0.4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" x14ac:dyDescent="0.4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" x14ac:dyDescent="0.4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" x14ac:dyDescent="0.4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" x14ac:dyDescent="0.4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" x14ac:dyDescent="0.4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" x14ac:dyDescent="0.4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" x14ac:dyDescent="0.4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" x14ac:dyDescent="0.4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" x14ac:dyDescent="0.4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" x14ac:dyDescent="0.4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" x14ac:dyDescent="0.4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" x14ac:dyDescent="0.4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" x14ac:dyDescent="0.4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" x14ac:dyDescent="0.4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" x14ac:dyDescent="0.4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" x14ac:dyDescent="0.4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" x14ac:dyDescent="0.4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" x14ac:dyDescent="0.4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" x14ac:dyDescent="0.4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" x14ac:dyDescent="0.4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" x14ac:dyDescent="0.4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" x14ac:dyDescent="0.4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" x14ac:dyDescent="0.4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" x14ac:dyDescent="0.4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" x14ac:dyDescent="0.4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" x14ac:dyDescent="0.4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" x14ac:dyDescent="0.4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" x14ac:dyDescent="0.4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" x14ac:dyDescent="0.4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" x14ac:dyDescent="0.4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" x14ac:dyDescent="0.4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" x14ac:dyDescent="0.4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" x14ac:dyDescent="0.4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" x14ac:dyDescent="0.4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" x14ac:dyDescent="0.4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" x14ac:dyDescent="0.4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" x14ac:dyDescent="0.4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" x14ac:dyDescent="0.4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" x14ac:dyDescent="0.4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" x14ac:dyDescent="0.4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" x14ac:dyDescent="0.4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" x14ac:dyDescent="0.4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" x14ac:dyDescent="0.4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" x14ac:dyDescent="0.4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" x14ac:dyDescent="0.4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" x14ac:dyDescent="0.4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" x14ac:dyDescent="0.4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" x14ac:dyDescent="0.4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" x14ac:dyDescent="0.4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" x14ac:dyDescent="0.4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" x14ac:dyDescent="0.4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" x14ac:dyDescent="0.4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" x14ac:dyDescent="0.4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" x14ac:dyDescent="0.4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" x14ac:dyDescent="0.4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" x14ac:dyDescent="0.4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" x14ac:dyDescent="0.4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" x14ac:dyDescent="0.4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" x14ac:dyDescent="0.4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" x14ac:dyDescent="0.4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" x14ac:dyDescent="0.4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" x14ac:dyDescent="0.4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" x14ac:dyDescent="0.4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" x14ac:dyDescent="0.4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" x14ac:dyDescent="0.4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" x14ac:dyDescent="0.4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" x14ac:dyDescent="0.4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" x14ac:dyDescent="0.4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" x14ac:dyDescent="0.4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" x14ac:dyDescent="0.4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" x14ac:dyDescent="0.4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" x14ac:dyDescent="0.4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" x14ac:dyDescent="0.4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" x14ac:dyDescent="0.4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" x14ac:dyDescent="0.4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" x14ac:dyDescent="0.4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" x14ac:dyDescent="0.4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" x14ac:dyDescent="0.4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" x14ac:dyDescent="0.4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" x14ac:dyDescent="0.4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" x14ac:dyDescent="0.4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" x14ac:dyDescent="0.4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" x14ac:dyDescent="0.4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" x14ac:dyDescent="0.4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" x14ac:dyDescent="0.4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" x14ac:dyDescent="0.4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" x14ac:dyDescent="0.4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" x14ac:dyDescent="0.4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" x14ac:dyDescent="0.4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" x14ac:dyDescent="0.4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" x14ac:dyDescent="0.4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" x14ac:dyDescent="0.4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" x14ac:dyDescent="0.4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" x14ac:dyDescent="0.4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" x14ac:dyDescent="0.4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" x14ac:dyDescent="0.4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" x14ac:dyDescent="0.4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" x14ac:dyDescent="0.4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" x14ac:dyDescent="0.4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" x14ac:dyDescent="0.4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" x14ac:dyDescent="0.4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" x14ac:dyDescent="0.4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" x14ac:dyDescent="0.4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" x14ac:dyDescent="0.4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" x14ac:dyDescent="0.4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" x14ac:dyDescent="0.4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" x14ac:dyDescent="0.4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E24" sqref="E24"/>
    </sheetView>
  </sheetViews>
  <sheetFormatPr defaultRowHeight="12.7" x14ac:dyDescent="0.4"/>
  <cols>
    <col min="1" max="1" width="35.87890625" bestFit="1" customWidth="1"/>
    <col min="2" max="2" width="8.4101562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</cols>
  <sheetData>
    <row r="1" spans="1:9" ht="19.5" customHeight="1" x14ac:dyDescent="0.4">
      <c r="A1" s="44" t="str" cm="1">
        <f t="array" ref="A1">portfolio</f>
        <v>City of Albuquerque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 x14ac:dyDescent="0.4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" x14ac:dyDescent="0.4">
      <c r="A4" s="13" t="str" cm="1">
        <f t="array" ref="A4:A5">Sites[Site]</f>
        <v>NM: Albuquerque - Senior Affairs</v>
      </c>
      <c r="B4" s="10" t="str" cm="1">
        <f t="array" ref="B4:B5">Sites[State]</f>
        <v>NM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" x14ac:dyDescent="0.4">
      <c r="A5" s="19" t="str">
        <v>NM: Albuquerque - Rio Grande Zoo</v>
      </c>
      <c r="B5" s="11" t="str">
        <v>NM</v>
      </c>
      <c r="C5" s="12">
        <f>SUM(Jul!C5, Aug!C5, Sep!C5)</f>
        <v>0</v>
      </c>
      <c r="D5" s="20">
        <f>SUM(Jul!D5, Aug!D5, Sep!D5)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3" x14ac:dyDescent="0.45">
      <c r="A6" s="23"/>
      <c r="B6" s="23"/>
      <c r="C6" s="23"/>
      <c r="D6" s="23"/>
      <c r="E6" s="23"/>
      <c r="F6" s="23"/>
      <c r="G6" s="23"/>
      <c r="H6" s="23"/>
      <c r="I6" s="23"/>
    </row>
    <row r="7" spans="1:9" ht="13" x14ac:dyDescent="0.4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45">
      <c r="A8" s="23"/>
      <c r="B8" s="23"/>
      <c r="C8" s="23"/>
      <c r="D8" s="23"/>
      <c r="E8" s="23"/>
      <c r="F8" s="23"/>
      <c r="G8" s="23"/>
      <c r="H8" s="23"/>
      <c r="I8" s="23"/>
    </row>
    <row r="9" spans="1:9" ht="13" x14ac:dyDescent="0.45">
      <c r="A9" s="23"/>
      <c r="B9" s="23"/>
      <c r="C9" s="23"/>
      <c r="D9" s="23"/>
      <c r="E9" s="23"/>
      <c r="F9" s="23"/>
      <c r="G9" s="23"/>
      <c r="H9" s="23"/>
      <c r="I9" s="23"/>
    </row>
    <row r="10" spans="1:9" ht="13" x14ac:dyDescent="0.4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" x14ac:dyDescent="0.4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" x14ac:dyDescent="0.4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" x14ac:dyDescent="0.4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" x14ac:dyDescent="0.4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" x14ac:dyDescent="0.4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" x14ac:dyDescent="0.4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" x14ac:dyDescent="0.4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" x14ac:dyDescent="0.4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" x14ac:dyDescent="0.4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" x14ac:dyDescent="0.4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" x14ac:dyDescent="0.4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" x14ac:dyDescent="0.4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" x14ac:dyDescent="0.4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" x14ac:dyDescent="0.4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" x14ac:dyDescent="0.4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" x14ac:dyDescent="0.4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" x14ac:dyDescent="0.4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" x14ac:dyDescent="0.4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" x14ac:dyDescent="0.4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" x14ac:dyDescent="0.4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" x14ac:dyDescent="0.4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" x14ac:dyDescent="0.4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" x14ac:dyDescent="0.4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" x14ac:dyDescent="0.4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" x14ac:dyDescent="0.4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" x14ac:dyDescent="0.4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" x14ac:dyDescent="0.4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" x14ac:dyDescent="0.4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" x14ac:dyDescent="0.4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" x14ac:dyDescent="0.4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" x14ac:dyDescent="0.4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" x14ac:dyDescent="0.4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" x14ac:dyDescent="0.4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" x14ac:dyDescent="0.4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" x14ac:dyDescent="0.4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" x14ac:dyDescent="0.4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" x14ac:dyDescent="0.4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" x14ac:dyDescent="0.4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" x14ac:dyDescent="0.4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" x14ac:dyDescent="0.4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" x14ac:dyDescent="0.4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" x14ac:dyDescent="0.4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" x14ac:dyDescent="0.4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" x14ac:dyDescent="0.4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" x14ac:dyDescent="0.4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" x14ac:dyDescent="0.4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" x14ac:dyDescent="0.4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" x14ac:dyDescent="0.4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" x14ac:dyDescent="0.4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" x14ac:dyDescent="0.4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" x14ac:dyDescent="0.4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" x14ac:dyDescent="0.4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" x14ac:dyDescent="0.4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" x14ac:dyDescent="0.4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" x14ac:dyDescent="0.4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" x14ac:dyDescent="0.4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" x14ac:dyDescent="0.4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" x14ac:dyDescent="0.4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" x14ac:dyDescent="0.4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" x14ac:dyDescent="0.4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" x14ac:dyDescent="0.4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" x14ac:dyDescent="0.4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" x14ac:dyDescent="0.4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" x14ac:dyDescent="0.4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" x14ac:dyDescent="0.4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" x14ac:dyDescent="0.4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" x14ac:dyDescent="0.4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" x14ac:dyDescent="0.4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" x14ac:dyDescent="0.4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" x14ac:dyDescent="0.4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" x14ac:dyDescent="0.4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" x14ac:dyDescent="0.4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" x14ac:dyDescent="0.4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" x14ac:dyDescent="0.4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" x14ac:dyDescent="0.4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" x14ac:dyDescent="0.4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" x14ac:dyDescent="0.4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" x14ac:dyDescent="0.4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" x14ac:dyDescent="0.4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" x14ac:dyDescent="0.4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" x14ac:dyDescent="0.4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" x14ac:dyDescent="0.4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" x14ac:dyDescent="0.4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" x14ac:dyDescent="0.4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" x14ac:dyDescent="0.4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" x14ac:dyDescent="0.4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" x14ac:dyDescent="0.4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" x14ac:dyDescent="0.4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" x14ac:dyDescent="0.4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" x14ac:dyDescent="0.4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" x14ac:dyDescent="0.4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" x14ac:dyDescent="0.4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" x14ac:dyDescent="0.4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" x14ac:dyDescent="0.4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" x14ac:dyDescent="0.4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" x14ac:dyDescent="0.4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" x14ac:dyDescent="0.4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" x14ac:dyDescent="0.4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" x14ac:dyDescent="0.4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" x14ac:dyDescent="0.4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" x14ac:dyDescent="0.4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" x14ac:dyDescent="0.4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" x14ac:dyDescent="0.4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" x14ac:dyDescent="0.4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" x14ac:dyDescent="0.4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" x14ac:dyDescent="0.4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" x14ac:dyDescent="0.4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" x14ac:dyDescent="0.4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" x14ac:dyDescent="0.4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" x14ac:dyDescent="0.4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" x14ac:dyDescent="0.4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" x14ac:dyDescent="0.4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" x14ac:dyDescent="0.4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" x14ac:dyDescent="0.4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" x14ac:dyDescent="0.4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" x14ac:dyDescent="0.4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" x14ac:dyDescent="0.4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" x14ac:dyDescent="0.4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" x14ac:dyDescent="0.4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" x14ac:dyDescent="0.4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" x14ac:dyDescent="0.4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" x14ac:dyDescent="0.4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" x14ac:dyDescent="0.4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" x14ac:dyDescent="0.4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" x14ac:dyDescent="0.4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" x14ac:dyDescent="0.4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" x14ac:dyDescent="0.4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" x14ac:dyDescent="0.4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" x14ac:dyDescent="0.4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" x14ac:dyDescent="0.4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" x14ac:dyDescent="0.4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" x14ac:dyDescent="0.4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" x14ac:dyDescent="0.4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" x14ac:dyDescent="0.4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" x14ac:dyDescent="0.4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" x14ac:dyDescent="0.4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" x14ac:dyDescent="0.4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" x14ac:dyDescent="0.4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" x14ac:dyDescent="0.4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" x14ac:dyDescent="0.4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" x14ac:dyDescent="0.4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" x14ac:dyDescent="0.4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" x14ac:dyDescent="0.4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" x14ac:dyDescent="0.4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" x14ac:dyDescent="0.4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" x14ac:dyDescent="0.4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" x14ac:dyDescent="0.4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" x14ac:dyDescent="0.4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" x14ac:dyDescent="0.4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" x14ac:dyDescent="0.4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" x14ac:dyDescent="0.4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" x14ac:dyDescent="0.4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" x14ac:dyDescent="0.4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" x14ac:dyDescent="0.4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" x14ac:dyDescent="0.4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" x14ac:dyDescent="0.4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" x14ac:dyDescent="0.4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" x14ac:dyDescent="0.4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" x14ac:dyDescent="0.4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" x14ac:dyDescent="0.4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" x14ac:dyDescent="0.4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" x14ac:dyDescent="0.4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" x14ac:dyDescent="0.4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" x14ac:dyDescent="0.4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" x14ac:dyDescent="0.4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" x14ac:dyDescent="0.4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" x14ac:dyDescent="0.4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" x14ac:dyDescent="0.4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" x14ac:dyDescent="0.4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" x14ac:dyDescent="0.4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" x14ac:dyDescent="0.4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" x14ac:dyDescent="0.4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" x14ac:dyDescent="0.4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" x14ac:dyDescent="0.4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" x14ac:dyDescent="0.4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" x14ac:dyDescent="0.4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" x14ac:dyDescent="0.4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" x14ac:dyDescent="0.4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" x14ac:dyDescent="0.4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" x14ac:dyDescent="0.4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" x14ac:dyDescent="0.4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" x14ac:dyDescent="0.4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" x14ac:dyDescent="0.4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" x14ac:dyDescent="0.4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" x14ac:dyDescent="0.4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" x14ac:dyDescent="0.4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" x14ac:dyDescent="0.4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" x14ac:dyDescent="0.4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" x14ac:dyDescent="0.4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" x14ac:dyDescent="0.4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" x14ac:dyDescent="0.4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" x14ac:dyDescent="0.4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" x14ac:dyDescent="0.4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" x14ac:dyDescent="0.4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" x14ac:dyDescent="0.4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" x14ac:dyDescent="0.4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" x14ac:dyDescent="0.4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" x14ac:dyDescent="0.4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" x14ac:dyDescent="0.4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" x14ac:dyDescent="0.4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" x14ac:dyDescent="0.4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" x14ac:dyDescent="0.4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" x14ac:dyDescent="0.4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" x14ac:dyDescent="0.4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" x14ac:dyDescent="0.4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" x14ac:dyDescent="0.4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" x14ac:dyDescent="0.4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" x14ac:dyDescent="0.4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" x14ac:dyDescent="0.4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" x14ac:dyDescent="0.4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" x14ac:dyDescent="0.4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" x14ac:dyDescent="0.4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" x14ac:dyDescent="0.4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" x14ac:dyDescent="0.4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" x14ac:dyDescent="0.4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" x14ac:dyDescent="0.4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" x14ac:dyDescent="0.4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" x14ac:dyDescent="0.4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" x14ac:dyDescent="0.4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" x14ac:dyDescent="0.4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" x14ac:dyDescent="0.4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" x14ac:dyDescent="0.4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" x14ac:dyDescent="0.4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" x14ac:dyDescent="0.4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" x14ac:dyDescent="0.4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" x14ac:dyDescent="0.4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" x14ac:dyDescent="0.4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" x14ac:dyDescent="0.4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" x14ac:dyDescent="0.4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" x14ac:dyDescent="0.4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" x14ac:dyDescent="0.4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" x14ac:dyDescent="0.4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" x14ac:dyDescent="0.4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" x14ac:dyDescent="0.4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" x14ac:dyDescent="0.4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" x14ac:dyDescent="0.4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" x14ac:dyDescent="0.4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" x14ac:dyDescent="0.4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" x14ac:dyDescent="0.4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" x14ac:dyDescent="0.4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" x14ac:dyDescent="0.4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" x14ac:dyDescent="0.4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" x14ac:dyDescent="0.4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" x14ac:dyDescent="0.4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" x14ac:dyDescent="0.4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" x14ac:dyDescent="0.4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" x14ac:dyDescent="0.4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" x14ac:dyDescent="0.4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" x14ac:dyDescent="0.4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" x14ac:dyDescent="0.4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" x14ac:dyDescent="0.4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" x14ac:dyDescent="0.4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" x14ac:dyDescent="0.4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" x14ac:dyDescent="0.4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" x14ac:dyDescent="0.4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" x14ac:dyDescent="0.4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" x14ac:dyDescent="0.4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" x14ac:dyDescent="0.4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" x14ac:dyDescent="0.4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" x14ac:dyDescent="0.4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" x14ac:dyDescent="0.4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" x14ac:dyDescent="0.4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" x14ac:dyDescent="0.4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" x14ac:dyDescent="0.4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" x14ac:dyDescent="0.4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" x14ac:dyDescent="0.4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" x14ac:dyDescent="0.4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" x14ac:dyDescent="0.4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" x14ac:dyDescent="0.4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" x14ac:dyDescent="0.4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" x14ac:dyDescent="0.4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" x14ac:dyDescent="0.4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" x14ac:dyDescent="0.4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" x14ac:dyDescent="0.4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" x14ac:dyDescent="0.4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" x14ac:dyDescent="0.4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" x14ac:dyDescent="0.4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" x14ac:dyDescent="0.4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" x14ac:dyDescent="0.4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" x14ac:dyDescent="0.4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" x14ac:dyDescent="0.4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" x14ac:dyDescent="0.4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" x14ac:dyDescent="0.4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" x14ac:dyDescent="0.4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" x14ac:dyDescent="0.4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" x14ac:dyDescent="0.4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" x14ac:dyDescent="0.4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" x14ac:dyDescent="0.4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" x14ac:dyDescent="0.4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" x14ac:dyDescent="0.4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" x14ac:dyDescent="0.4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" x14ac:dyDescent="0.4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" x14ac:dyDescent="0.4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" x14ac:dyDescent="0.4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" x14ac:dyDescent="0.4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" x14ac:dyDescent="0.4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" x14ac:dyDescent="0.4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" x14ac:dyDescent="0.4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" x14ac:dyDescent="0.4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" x14ac:dyDescent="0.4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" x14ac:dyDescent="0.4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" x14ac:dyDescent="0.4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" x14ac:dyDescent="0.4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" x14ac:dyDescent="0.4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" x14ac:dyDescent="0.4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" x14ac:dyDescent="0.4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" x14ac:dyDescent="0.4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" x14ac:dyDescent="0.4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" x14ac:dyDescent="0.4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" x14ac:dyDescent="0.4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" x14ac:dyDescent="0.4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" x14ac:dyDescent="0.4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" x14ac:dyDescent="0.4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" x14ac:dyDescent="0.4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" x14ac:dyDescent="0.4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" x14ac:dyDescent="0.4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" x14ac:dyDescent="0.4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" x14ac:dyDescent="0.4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" x14ac:dyDescent="0.4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" x14ac:dyDescent="0.4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" x14ac:dyDescent="0.4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" x14ac:dyDescent="0.4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activeCell="E24" sqref="E24"/>
      <selection pane="bottomLeft" activeCell="E24" sqref="E24"/>
    </sheetView>
  </sheetViews>
  <sheetFormatPr defaultRowHeight="12.7" x14ac:dyDescent="0.4"/>
  <cols>
    <col min="1" max="1" width="35.87890625" bestFit="1" customWidth="1"/>
    <col min="2" max="2" width="8.4101562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</cols>
  <sheetData>
    <row r="1" spans="1:9" ht="19.5" customHeight="1" x14ac:dyDescent="0.4">
      <c r="A1" s="44" t="str" cm="1">
        <f t="array" ref="A1">portfolio</f>
        <v>City of Albuquerque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 x14ac:dyDescent="0.4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" x14ac:dyDescent="0.4">
      <c r="A4" s="13" t="str" cm="1">
        <f t="array" ref="A4:A5">Sites[Site]</f>
        <v>NM: Albuquerque - Senior Affairs</v>
      </c>
      <c r="B4" s="10" t="str" cm="1">
        <f t="array" ref="B4:B5">Sites[State]</f>
        <v>NM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" x14ac:dyDescent="0.4">
      <c r="A5" s="19" t="str">
        <v>NM: Albuquerque - Rio Grande Zoo</v>
      </c>
      <c r="B5" s="11" t="str">
        <v>NM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3" x14ac:dyDescent="0.45">
      <c r="A6" s="23"/>
      <c r="B6" s="23"/>
      <c r="C6" s="23"/>
      <c r="D6" s="23"/>
      <c r="E6" s="23"/>
      <c r="F6" s="23"/>
      <c r="G6" s="23"/>
      <c r="H6" s="23"/>
      <c r="I6" s="23"/>
    </row>
    <row r="7" spans="1:9" ht="13" x14ac:dyDescent="0.4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45">
      <c r="A8" s="23"/>
      <c r="B8" s="23"/>
      <c r="C8" s="23"/>
      <c r="D8" s="23"/>
      <c r="E8" s="23"/>
      <c r="F8" s="23"/>
      <c r="G8" s="23"/>
      <c r="H8" s="23"/>
      <c r="I8" s="23"/>
    </row>
    <row r="9" spans="1:9" ht="13" x14ac:dyDescent="0.45">
      <c r="A9" s="23"/>
      <c r="B9" s="23"/>
      <c r="C9" s="23"/>
      <c r="D9" s="23"/>
      <c r="E9" s="23"/>
      <c r="F9" s="23"/>
      <c r="G9" s="23"/>
      <c r="H9" s="23"/>
      <c r="I9" s="23"/>
    </row>
    <row r="10" spans="1:9" ht="13" x14ac:dyDescent="0.4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" x14ac:dyDescent="0.4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" x14ac:dyDescent="0.4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" x14ac:dyDescent="0.4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" x14ac:dyDescent="0.4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" x14ac:dyDescent="0.4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" x14ac:dyDescent="0.4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" x14ac:dyDescent="0.4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" x14ac:dyDescent="0.4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" x14ac:dyDescent="0.4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" x14ac:dyDescent="0.4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" x14ac:dyDescent="0.4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" x14ac:dyDescent="0.4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" x14ac:dyDescent="0.4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" x14ac:dyDescent="0.4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" x14ac:dyDescent="0.4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" x14ac:dyDescent="0.4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" x14ac:dyDescent="0.4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" x14ac:dyDescent="0.4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" x14ac:dyDescent="0.4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" x14ac:dyDescent="0.4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" x14ac:dyDescent="0.4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" x14ac:dyDescent="0.4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" x14ac:dyDescent="0.4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" x14ac:dyDescent="0.4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" x14ac:dyDescent="0.4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" x14ac:dyDescent="0.4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" x14ac:dyDescent="0.4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" x14ac:dyDescent="0.4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" x14ac:dyDescent="0.4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" x14ac:dyDescent="0.4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" x14ac:dyDescent="0.4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" x14ac:dyDescent="0.4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" x14ac:dyDescent="0.4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" x14ac:dyDescent="0.4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" x14ac:dyDescent="0.4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" x14ac:dyDescent="0.4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" x14ac:dyDescent="0.4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" x14ac:dyDescent="0.4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" x14ac:dyDescent="0.4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" x14ac:dyDescent="0.4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" x14ac:dyDescent="0.4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" x14ac:dyDescent="0.4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" x14ac:dyDescent="0.4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" x14ac:dyDescent="0.4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" x14ac:dyDescent="0.4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" x14ac:dyDescent="0.4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" x14ac:dyDescent="0.4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" x14ac:dyDescent="0.4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" x14ac:dyDescent="0.4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" x14ac:dyDescent="0.4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" x14ac:dyDescent="0.4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" x14ac:dyDescent="0.4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" x14ac:dyDescent="0.4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" x14ac:dyDescent="0.4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" x14ac:dyDescent="0.4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" x14ac:dyDescent="0.4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" x14ac:dyDescent="0.4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" x14ac:dyDescent="0.4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" x14ac:dyDescent="0.4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" x14ac:dyDescent="0.4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" x14ac:dyDescent="0.4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" x14ac:dyDescent="0.4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" x14ac:dyDescent="0.4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" x14ac:dyDescent="0.4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" x14ac:dyDescent="0.4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" x14ac:dyDescent="0.4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" x14ac:dyDescent="0.4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" x14ac:dyDescent="0.4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" x14ac:dyDescent="0.4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" x14ac:dyDescent="0.4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" x14ac:dyDescent="0.4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" x14ac:dyDescent="0.4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" x14ac:dyDescent="0.4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" x14ac:dyDescent="0.4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" x14ac:dyDescent="0.4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" x14ac:dyDescent="0.4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" x14ac:dyDescent="0.4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" x14ac:dyDescent="0.4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" x14ac:dyDescent="0.4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" x14ac:dyDescent="0.4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" x14ac:dyDescent="0.4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" x14ac:dyDescent="0.4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" x14ac:dyDescent="0.4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" x14ac:dyDescent="0.4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" x14ac:dyDescent="0.4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" x14ac:dyDescent="0.4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" x14ac:dyDescent="0.4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" x14ac:dyDescent="0.4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" x14ac:dyDescent="0.4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" x14ac:dyDescent="0.4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" x14ac:dyDescent="0.4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" x14ac:dyDescent="0.4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" x14ac:dyDescent="0.4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" x14ac:dyDescent="0.4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" x14ac:dyDescent="0.4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" x14ac:dyDescent="0.4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" x14ac:dyDescent="0.4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" x14ac:dyDescent="0.4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" x14ac:dyDescent="0.4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" x14ac:dyDescent="0.4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" x14ac:dyDescent="0.4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" x14ac:dyDescent="0.4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" x14ac:dyDescent="0.4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" x14ac:dyDescent="0.4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" x14ac:dyDescent="0.4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" x14ac:dyDescent="0.4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" x14ac:dyDescent="0.4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" x14ac:dyDescent="0.4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" x14ac:dyDescent="0.4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" x14ac:dyDescent="0.4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" x14ac:dyDescent="0.4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" x14ac:dyDescent="0.4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" x14ac:dyDescent="0.4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" x14ac:dyDescent="0.4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" x14ac:dyDescent="0.4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" x14ac:dyDescent="0.4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" x14ac:dyDescent="0.4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" x14ac:dyDescent="0.4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" x14ac:dyDescent="0.4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" x14ac:dyDescent="0.4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" x14ac:dyDescent="0.4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" x14ac:dyDescent="0.4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" x14ac:dyDescent="0.4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" x14ac:dyDescent="0.4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" x14ac:dyDescent="0.4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" x14ac:dyDescent="0.4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" x14ac:dyDescent="0.4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" x14ac:dyDescent="0.4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" x14ac:dyDescent="0.4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" x14ac:dyDescent="0.4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" x14ac:dyDescent="0.4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" x14ac:dyDescent="0.4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" x14ac:dyDescent="0.4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" x14ac:dyDescent="0.4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" x14ac:dyDescent="0.4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" x14ac:dyDescent="0.4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" x14ac:dyDescent="0.4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" x14ac:dyDescent="0.4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" x14ac:dyDescent="0.4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" x14ac:dyDescent="0.4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" x14ac:dyDescent="0.4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" x14ac:dyDescent="0.4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" x14ac:dyDescent="0.4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" x14ac:dyDescent="0.4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" x14ac:dyDescent="0.4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" x14ac:dyDescent="0.4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" x14ac:dyDescent="0.4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" x14ac:dyDescent="0.4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" x14ac:dyDescent="0.4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" x14ac:dyDescent="0.4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" x14ac:dyDescent="0.4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" x14ac:dyDescent="0.4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" x14ac:dyDescent="0.4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" x14ac:dyDescent="0.4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" x14ac:dyDescent="0.4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" x14ac:dyDescent="0.4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" x14ac:dyDescent="0.4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" x14ac:dyDescent="0.4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" x14ac:dyDescent="0.4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" x14ac:dyDescent="0.4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" x14ac:dyDescent="0.4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" x14ac:dyDescent="0.4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" x14ac:dyDescent="0.4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" x14ac:dyDescent="0.4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" x14ac:dyDescent="0.4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" x14ac:dyDescent="0.4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" x14ac:dyDescent="0.4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" x14ac:dyDescent="0.4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" x14ac:dyDescent="0.4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" x14ac:dyDescent="0.4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" x14ac:dyDescent="0.4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" x14ac:dyDescent="0.4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" x14ac:dyDescent="0.4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" x14ac:dyDescent="0.4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" x14ac:dyDescent="0.4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" x14ac:dyDescent="0.4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" x14ac:dyDescent="0.4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" x14ac:dyDescent="0.4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" x14ac:dyDescent="0.4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" x14ac:dyDescent="0.4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" x14ac:dyDescent="0.4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" x14ac:dyDescent="0.4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" x14ac:dyDescent="0.4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" x14ac:dyDescent="0.4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" x14ac:dyDescent="0.4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" x14ac:dyDescent="0.4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" x14ac:dyDescent="0.4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" x14ac:dyDescent="0.4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" x14ac:dyDescent="0.4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" x14ac:dyDescent="0.4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" x14ac:dyDescent="0.4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" x14ac:dyDescent="0.4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" x14ac:dyDescent="0.4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" x14ac:dyDescent="0.4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" x14ac:dyDescent="0.4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" x14ac:dyDescent="0.4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" x14ac:dyDescent="0.4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" x14ac:dyDescent="0.4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" x14ac:dyDescent="0.4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" x14ac:dyDescent="0.4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" x14ac:dyDescent="0.4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" x14ac:dyDescent="0.4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" x14ac:dyDescent="0.4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" x14ac:dyDescent="0.4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" x14ac:dyDescent="0.4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" x14ac:dyDescent="0.4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" x14ac:dyDescent="0.4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" x14ac:dyDescent="0.4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" x14ac:dyDescent="0.4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" x14ac:dyDescent="0.4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" x14ac:dyDescent="0.4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" x14ac:dyDescent="0.4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" x14ac:dyDescent="0.4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" x14ac:dyDescent="0.4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" x14ac:dyDescent="0.4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" x14ac:dyDescent="0.4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" x14ac:dyDescent="0.4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" x14ac:dyDescent="0.4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" x14ac:dyDescent="0.4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" x14ac:dyDescent="0.4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" x14ac:dyDescent="0.4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" x14ac:dyDescent="0.4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" x14ac:dyDescent="0.4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" x14ac:dyDescent="0.4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" x14ac:dyDescent="0.4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" x14ac:dyDescent="0.4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" x14ac:dyDescent="0.4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" x14ac:dyDescent="0.4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" x14ac:dyDescent="0.4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" x14ac:dyDescent="0.4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" x14ac:dyDescent="0.4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" x14ac:dyDescent="0.4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" x14ac:dyDescent="0.4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" x14ac:dyDescent="0.4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" x14ac:dyDescent="0.4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" x14ac:dyDescent="0.4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" x14ac:dyDescent="0.4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" x14ac:dyDescent="0.4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" x14ac:dyDescent="0.4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" x14ac:dyDescent="0.4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" x14ac:dyDescent="0.4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" x14ac:dyDescent="0.4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" x14ac:dyDescent="0.4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" x14ac:dyDescent="0.4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" x14ac:dyDescent="0.4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" x14ac:dyDescent="0.4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" x14ac:dyDescent="0.4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" x14ac:dyDescent="0.4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" x14ac:dyDescent="0.4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" x14ac:dyDescent="0.4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" x14ac:dyDescent="0.4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" x14ac:dyDescent="0.4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" x14ac:dyDescent="0.4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" x14ac:dyDescent="0.4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" x14ac:dyDescent="0.4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" x14ac:dyDescent="0.4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" x14ac:dyDescent="0.4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" x14ac:dyDescent="0.4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" x14ac:dyDescent="0.4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" x14ac:dyDescent="0.4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" x14ac:dyDescent="0.4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" x14ac:dyDescent="0.4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" x14ac:dyDescent="0.4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" x14ac:dyDescent="0.4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" x14ac:dyDescent="0.4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" x14ac:dyDescent="0.4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" x14ac:dyDescent="0.4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" x14ac:dyDescent="0.4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" x14ac:dyDescent="0.4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" x14ac:dyDescent="0.4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" x14ac:dyDescent="0.4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" x14ac:dyDescent="0.4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" x14ac:dyDescent="0.4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" x14ac:dyDescent="0.4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" x14ac:dyDescent="0.4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" x14ac:dyDescent="0.4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" x14ac:dyDescent="0.4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" x14ac:dyDescent="0.4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" x14ac:dyDescent="0.4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" x14ac:dyDescent="0.4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" x14ac:dyDescent="0.4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" x14ac:dyDescent="0.4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" x14ac:dyDescent="0.4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" x14ac:dyDescent="0.4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" x14ac:dyDescent="0.4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" x14ac:dyDescent="0.4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" x14ac:dyDescent="0.4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" x14ac:dyDescent="0.4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" x14ac:dyDescent="0.4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" x14ac:dyDescent="0.4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" x14ac:dyDescent="0.4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" x14ac:dyDescent="0.4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" x14ac:dyDescent="0.4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" x14ac:dyDescent="0.4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" x14ac:dyDescent="0.4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" x14ac:dyDescent="0.4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" x14ac:dyDescent="0.4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" x14ac:dyDescent="0.4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" x14ac:dyDescent="0.4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" x14ac:dyDescent="0.4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" x14ac:dyDescent="0.4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" x14ac:dyDescent="0.4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" x14ac:dyDescent="0.4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" x14ac:dyDescent="0.4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" x14ac:dyDescent="0.4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" x14ac:dyDescent="0.4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" x14ac:dyDescent="0.4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" x14ac:dyDescent="0.4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" x14ac:dyDescent="0.4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" x14ac:dyDescent="0.4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" x14ac:dyDescent="0.4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" x14ac:dyDescent="0.4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" x14ac:dyDescent="0.4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" x14ac:dyDescent="0.4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" x14ac:dyDescent="0.4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" x14ac:dyDescent="0.4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" x14ac:dyDescent="0.4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" x14ac:dyDescent="0.4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" x14ac:dyDescent="0.4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" x14ac:dyDescent="0.4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" x14ac:dyDescent="0.4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" x14ac:dyDescent="0.4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activeCell="E24" sqref="E24"/>
      <selection pane="bottomLeft" activeCell="D18" sqref="D18"/>
    </sheetView>
  </sheetViews>
  <sheetFormatPr defaultRowHeight="13.7" x14ac:dyDescent="0.4"/>
  <cols>
    <col min="1" max="1" width="35.87890625" bestFit="1" customWidth="1"/>
    <col min="2" max="2" width="8.41015625" style="3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4" t="str" cm="1">
        <f t="array" ref="A1">portfolio</f>
        <v>City of Albuquerque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 x14ac:dyDescent="0.4">
      <c r="A2" s="46" t="s">
        <v>2</v>
      </c>
      <c r="B2" s="46"/>
      <c r="C2" s="6">
        <f>SUM(C4:C89)</f>
        <v>56828.375</v>
      </c>
      <c r="D2" s="6">
        <f>SUM(D4:D89)</f>
        <v>51223.247000000003</v>
      </c>
      <c r="E2" s="6">
        <f>C2-D2</f>
        <v>5605.127999999997</v>
      </c>
      <c r="F2" s="7">
        <f>IFERROR(E2/D2, 0)</f>
        <v>0.10942547238366199</v>
      </c>
      <c r="G2" s="6">
        <f>SUM(G4:G89)</f>
        <v>55144.959000000003</v>
      </c>
      <c r="H2" s="8">
        <f>C2-G2</f>
        <v>1683.4159999999974</v>
      </c>
      <c r="I2" s="7">
        <f>IFERROR(H2/G2, 0)</f>
        <v>3.0527105841170313E-2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" x14ac:dyDescent="0.55000000000000004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>
        <v>5210.625</v>
      </c>
      <c r="D4" s="14">
        <v>5211.5169999999998</v>
      </c>
      <c r="E4" s="14">
        <f>IF(AND(ISNUMBER(C4),ISNUMBER(D4)), C4-D4, "")</f>
        <v>-0.89199999999982538</v>
      </c>
      <c r="F4" s="15">
        <f>IFERROR(E4/D4, "")</f>
        <v>-1.7115937643488938E-4</v>
      </c>
      <c r="G4" s="16">
        <v>4330.7489999999998</v>
      </c>
      <c r="H4" s="16">
        <f>IF(AND(ISNUMBER(C4),ISNUMBER(G4)), C4-G4, "")</f>
        <v>879.8760000000002</v>
      </c>
      <c r="I4" s="17">
        <f>IFERROR(H4/G4, "")</f>
        <v>0.20316947484141895</v>
      </c>
      <c r="J4" s="18"/>
      <c r="K4" s="18"/>
    </row>
    <row r="5" spans="1:11" ht="15.7" x14ac:dyDescent="0.4">
      <c r="A5" s="31" t="str">
        <v>NM: Albuquerque - Rio Grande Zoo</v>
      </c>
      <c r="B5" s="32" t="str">
        <v>NM</v>
      </c>
      <c r="C5" s="12">
        <v>51617.75</v>
      </c>
      <c r="D5" s="20">
        <v>46011.73</v>
      </c>
      <c r="E5" s="20">
        <f t="shared" ref="E5" si="0">IF(AND(ISNUMBER(C5),ISNUMBER(D5)), C5-D5, "")</f>
        <v>5606.0199999999968</v>
      </c>
      <c r="F5" s="21">
        <f>IFERROR(E5/D5, "")</f>
        <v>0.12183893107257641</v>
      </c>
      <c r="G5" s="22">
        <v>50814.21</v>
      </c>
      <c r="H5" s="22">
        <f t="shared" ref="H5" si="1">IF(AND(ISNUMBER(C5),ISNUMBER(G5)), C5-G5, "")</f>
        <v>803.54000000000087</v>
      </c>
      <c r="I5" s="21">
        <f t="shared" ref="I5" si="2">IFERROR(H5/G5, "")</f>
        <v>1.5813293171339296E-2</v>
      </c>
      <c r="J5" s="11"/>
      <c r="K5" s="19"/>
    </row>
    <row r="6" spans="1:11" ht="14.35" x14ac:dyDescent="0.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 x14ac:dyDescent="0.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35" x14ac:dyDescent="0.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35" x14ac:dyDescent="0.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35" x14ac:dyDescent="0.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35" x14ac:dyDescent="0.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35" x14ac:dyDescent="0.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35" x14ac:dyDescent="0.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35" x14ac:dyDescent="0.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35" x14ac:dyDescent="0.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35" x14ac:dyDescent="0.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35" x14ac:dyDescent="0.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35" x14ac:dyDescent="0.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activeCell="E24" sqref="E24"/>
      <selection pane="bottomLeft" activeCell="J8" sqref="J8"/>
    </sheetView>
  </sheetViews>
  <sheetFormatPr defaultRowHeight="13.7" x14ac:dyDescent="0.4"/>
  <cols>
    <col min="1" max="1" width="35.87890625" bestFit="1" customWidth="1"/>
    <col min="2" max="2" width="8.41015625" style="3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4" t="str" cm="1">
        <f t="array" ref="A1">portfolio</f>
        <v>City of Albuquerque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 x14ac:dyDescent="0.4">
      <c r="A2" s="46" t="s">
        <v>2</v>
      </c>
      <c r="B2" s="46"/>
      <c r="C2" s="6">
        <f>SUM(C4:C90)</f>
        <v>69430</v>
      </c>
      <c r="D2" s="6">
        <f>SUM(D4:D90)</f>
        <v>67442</v>
      </c>
      <c r="E2" s="6">
        <f>C2-D2</f>
        <v>1988</v>
      </c>
      <c r="F2" s="7">
        <f>IFERROR(E2/D2, 0)</f>
        <v>2.9477180392040569E-2</v>
      </c>
      <c r="G2" s="6">
        <f>SUM(G4:G90)</f>
        <v>64078</v>
      </c>
      <c r="H2" s="8">
        <f>C2-G2</f>
        <v>5352</v>
      </c>
      <c r="I2" s="7">
        <f>IFERROR(H2/G2, 0)</f>
        <v>8.3523206092574673E-2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" x14ac:dyDescent="0.55000000000000004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>
        <v>6764</v>
      </c>
      <c r="D4" s="14">
        <v>6631</v>
      </c>
      <c r="E4" s="14">
        <f>IF(AND(ISNUMBER(C4),ISNUMBER(D4)), C4-D4, "")</f>
        <v>133</v>
      </c>
      <c r="F4" s="15">
        <f>IFERROR(E4/D4, "")</f>
        <v>2.0057306590257881E-2</v>
      </c>
      <c r="G4" s="16">
        <v>5018</v>
      </c>
      <c r="H4" s="16">
        <f>IF(AND(ISNUMBER(C4),ISNUMBER(G4)), C4-G4, "")</f>
        <v>1746</v>
      </c>
      <c r="I4" s="17">
        <f>IFERROR(H4/G4, "")</f>
        <v>0.34794738939816661</v>
      </c>
      <c r="J4" s="18"/>
      <c r="K4" s="18"/>
    </row>
    <row r="5" spans="1:11" ht="15.7" x14ac:dyDescent="0.4">
      <c r="A5" s="31" t="str">
        <v>NM: Albuquerque - Rio Grande Zoo</v>
      </c>
      <c r="B5" s="32" t="str">
        <v>NM</v>
      </c>
      <c r="C5" s="12">
        <v>62666</v>
      </c>
      <c r="D5" s="20">
        <v>60811</v>
      </c>
      <c r="E5" s="20">
        <f t="shared" ref="E5" si="0">IF(AND(ISNUMBER(C5),ISNUMBER(D5)), C5-D5, "")</f>
        <v>1855</v>
      </c>
      <c r="F5" s="21">
        <f>IFERROR(E5/D5, "")</f>
        <v>3.0504349542023648E-2</v>
      </c>
      <c r="G5" s="22">
        <v>59060</v>
      </c>
      <c r="H5" s="22">
        <f t="shared" ref="H5" si="1">IF(AND(ISNUMBER(C5),ISNUMBER(G5)), C5-G5, "")</f>
        <v>3606</v>
      </c>
      <c r="I5" s="21">
        <f t="shared" ref="I5" si="2">IFERROR(H5/G5, "")</f>
        <v>6.1056552658313577E-2</v>
      </c>
      <c r="J5" s="42" t="s">
        <v>24</v>
      </c>
      <c r="K5" s="42" t="s">
        <v>25</v>
      </c>
    </row>
    <row r="6" spans="1:11" ht="14.35" x14ac:dyDescent="0.5">
      <c r="A6" s="23"/>
      <c r="B6" s="34"/>
      <c r="C6" s="23"/>
      <c r="D6" s="23"/>
      <c r="E6" s="23"/>
      <c r="F6" s="23"/>
      <c r="G6" s="23"/>
      <c r="H6" s="23"/>
      <c r="I6" s="23"/>
      <c r="J6" s="34"/>
      <c r="K6" s="34"/>
    </row>
    <row r="7" spans="1:11" ht="14.35" x14ac:dyDescent="0.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35" x14ac:dyDescent="0.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35" x14ac:dyDescent="0.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35" x14ac:dyDescent="0.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35" x14ac:dyDescent="0.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35" x14ac:dyDescent="0.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35" x14ac:dyDescent="0.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35" x14ac:dyDescent="0.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35" x14ac:dyDescent="0.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35" x14ac:dyDescent="0.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35" x14ac:dyDescent="0.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" x14ac:dyDescent="0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abSelected="1" workbookViewId="0">
      <pane ySplit="2" topLeftCell="A3" activePane="bottomLeft" state="frozen"/>
      <selection activeCell="E24" sqref="E24"/>
      <selection pane="bottomLeft" activeCell="D13" sqref="D13"/>
    </sheetView>
  </sheetViews>
  <sheetFormatPr defaultRowHeight="13.7" x14ac:dyDescent="0.4"/>
  <cols>
    <col min="1" max="1" width="35.87890625" bestFit="1" customWidth="1"/>
    <col min="2" max="2" width="8.41015625" style="3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4" t="str" cm="1">
        <f t="array" ref="A1">portfolio</f>
        <v>City of Albuquerque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 x14ac:dyDescent="0.4">
      <c r="A2" s="46" t="s">
        <v>2</v>
      </c>
      <c r="B2" s="46"/>
      <c r="C2" s="6">
        <f>SUM(C4:C90)</f>
        <v>91626</v>
      </c>
      <c r="D2" s="6">
        <f>SUM(D4:D90)</f>
        <v>87018</v>
      </c>
      <c r="E2" s="6">
        <f>C2-D2</f>
        <v>4608</v>
      </c>
      <c r="F2" s="7">
        <f>IFERROR(E2/D2, 0)</f>
        <v>5.2954561125284426E-2</v>
      </c>
      <c r="G2" s="6">
        <f>SUM(G4:G90)</f>
        <v>91492</v>
      </c>
      <c r="H2" s="8">
        <f>C2-G2</f>
        <v>134</v>
      </c>
      <c r="I2" s="7">
        <f>IFERROR(H2/G2, 0)</f>
        <v>1.4646089275565076E-3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" x14ac:dyDescent="0.55000000000000004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>
        <v>8776</v>
      </c>
      <c r="D4" s="14">
        <v>8223</v>
      </c>
      <c r="E4" s="14">
        <f>IF(AND(ISNUMBER(C4),ISNUMBER(D4)), C4-D4, "")</f>
        <v>553</v>
      </c>
      <c r="F4" s="15">
        <f>IFERROR(E4/D4, "")</f>
        <v>6.725039523288337E-2</v>
      </c>
      <c r="G4" s="16">
        <v>7175</v>
      </c>
      <c r="H4" s="16">
        <f>IF(AND(ISNUMBER(C4),ISNUMBER(G4)), C4-G4, "")</f>
        <v>1601</v>
      </c>
      <c r="I4" s="17">
        <f>IFERROR(H4/G4, "")</f>
        <v>0.22313588850174215</v>
      </c>
      <c r="J4" s="18"/>
      <c r="K4" s="18"/>
    </row>
    <row r="5" spans="1:11" ht="15.7" x14ac:dyDescent="0.4">
      <c r="A5" s="31" t="str">
        <v>NM: Albuquerque - Rio Grande Zoo</v>
      </c>
      <c r="B5" s="32" t="str">
        <v>NM</v>
      </c>
      <c r="C5" s="12">
        <v>82850</v>
      </c>
      <c r="D5" s="20">
        <v>78795</v>
      </c>
      <c r="E5" s="20">
        <f t="shared" ref="E5" si="0">IF(AND(ISNUMBER(C5),ISNUMBER(D5)), C5-D5, "")</f>
        <v>4055</v>
      </c>
      <c r="F5" s="21">
        <f>IFERROR(E5/D5, "")</f>
        <v>5.1462656259914967E-2</v>
      </c>
      <c r="G5" s="22">
        <v>84317</v>
      </c>
      <c r="H5" s="22">
        <f t="shared" ref="H5" si="1">IF(AND(ISNUMBER(C5),ISNUMBER(G5)), C5-G5, "")</f>
        <v>-1467</v>
      </c>
      <c r="I5" s="21">
        <f t="shared" ref="I5" si="2">IFERROR(H5/G5, "")</f>
        <v>-1.7398626611478112E-2</v>
      </c>
      <c r="J5" s="11"/>
      <c r="K5" s="19"/>
    </row>
    <row r="6" spans="1:11" ht="14.35" x14ac:dyDescent="0.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35" x14ac:dyDescent="0.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35" x14ac:dyDescent="0.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35" x14ac:dyDescent="0.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35" x14ac:dyDescent="0.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35" x14ac:dyDescent="0.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35" x14ac:dyDescent="0.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35" x14ac:dyDescent="0.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35" x14ac:dyDescent="0.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35" x14ac:dyDescent="0.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35" x14ac:dyDescent="0.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35" x14ac:dyDescent="0.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" x14ac:dyDescent="0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activeCell="E24" sqref="E24"/>
      <selection pane="bottomLeft" activeCell="E24" sqref="E24"/>
    </sheetView>
  </sheetViews>
  <sheetFormatPr defaultRowHeight="13.7" x14ac:dyDescent="0.4"/>
  <cols>
    <col min="1" max="1" width="35.87890625" bestFit="1" customWidth="1"/>
    <col min="2" max="2" width="8.41015625" style="3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4" t="str" cm="1">
        <f t="array" ref="A1">portfolio</f>
        <v>City of Albuquerque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 x14ac:dyDescent="0.4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" x14ac:dyDescent="0.55000000000000004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35" x14ac:dyDescent="0.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35" x14ac:dyDescent="0.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35" x14ac:dyDescent="0.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35" x14ac:dyDescent="0.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35" x14ac:dyDescent="0.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35" x14ac:dyDescent="0.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35" x14ac:dyDescent="0.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35" x14ac:dyDescent="0.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35" x14ac:dyDescent="0.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35" x14ac:dyDescent="0.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35" x14ac:dyDescent="0.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35" x14ac:dyDescent="0.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" x14ac:dyDescent="0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activeCell="E24" sqref="E24"/>
      <selection pane="bottomLeft" activeCell="E24" sqref="E24"/>
    </sheetView>
  </sheetViews>
  <sheetFormatPr defaultRowHeight="13.7" x14ac:dyDescent="0.4"/>
  <cols>
    <col min="1" max="1" width="35.87890625" bestFit="1" customWidth="1"/>
    <col min="2" max="2" width="8.41015625" style="3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4" t="str" cm="1">
        <f t="array" ref="A1">portfolio</f>
        <v>City of Albuquerque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 x14ac:dyDescent="0.4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" x14ac:dyDescent="0.55000000000000004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35" x14ac:dyDescent="0.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35" x14ac:dyDescent="0.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35" x14ac:dyDescent="0.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35" x14ac:dyDescent="0.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35" x14ac:dyDescent="0.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35" x14ac:dyDescent="0.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35" x14ac:dyDescent="0.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35" x14ac:dyDescent="0.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35" x14ac:dyDescent="0.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35" x14ac:dyDescent="0.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35" x14ac:dyDescent="0.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35" x14ac:dyDescent="0.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" x14ac:dyDescent="0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activeCell="E24" sqref="E24"/>
      <selection pane="bottomLeft" activeCell="E24" sqref="E24"/>
    </sheetView>
  </sheetViews>
  <sheetFormatPr defaultRowHeight="13.7" x14ac:dyDescent="0.4"/>
  <cols>
    <col min="1" max="1" width="35.87890625" bestFit="1" customWidth="1"/>
    <col min="2" max="2" width="8.41015625" style="3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4" t="str" cm="1">
        <f t="array" ref="A1">portfolio</f>
        <v>City of Albuquerque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 x14ac:dyDescent="0.4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" x14ac:dyDescent="0.55000000000000004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35" x14ac:dyDescent="0.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35" x14ac:dyDescent="0.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35" x14ac:dyDescent="0.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35" x14ac:dyDescent="0.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35" x14ac:dyDescent="0.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35" x14ac:dyDescent="0.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35" x14ac:dyDescent="0.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35" x14ac:dyDescent="0.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35" x14ac:dyDescent="0.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35" x14ac:dyDescent="0.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35" x14ac:dyDescent="0.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35" x14ac:dyDescent="0.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" x14ac:dyDescent="0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activeCell="E24" sqref="E24"/>
      <selection pane="bottomLeft" activeCell="E24" sqref="E24"/>
    </sheetView>
  </sheetViews>
  <sheetFormatPr defaultRowHeight="13.7" x14ac:dyDescent="0.4"/>
  <cols>
    <col min="1" max="1" width="35.87890625" bestFit="1" customWidth="1"/>
    <col min="2" max="2" width="8.41015625" style="3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4" t="str" cm="1">
        <f t="array" ref="A1">portfolio</f>
        <v>City of Albuquerque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 x14ac:dyDescent="0.4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" x14ac:dyDescent="0.55000000000000004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35" x14ac:dyDescent="0.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35" x14ac:dyDescent="0.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35" x14ac:dyDescent="0.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35" x14ac:dyDescent="0.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35" x14ac:dyDescent="0.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35" x14ac:dyDescent="0.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35" x14ac:dyDescent="0.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35" x14ac:dyDescent="0.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35" x14ac:dyDescent="0.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35" x14ac:dyDescent="0.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35" x14ac:dyDescent="0.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35" x14ac:dyDescent="0.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" x14ac:dyDescent="0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activeCell="E24" sqref="E24"/>
      <selection pane="bottomLeft" activeCell="E24" sqref="E24"/>
    </sheetView>
  </sheetViews>
  <sheetFormatPr defaultRowHeight="13.7" x14ac:dyDescent="0.4"/>
  <cols>
    <col min="1" max="1" width="35.87890625" bestFit="1" customWidth="1"/>
    <col min="2" max="2" width="8.41015625" style="3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4" t="str" cm="1">
        <f t="array" ref="A1">portfolio</f>
        <v>City of Albuquerque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 x14ac:dyDescent="0.4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" x14ac:dyDescent="0.55000000000000004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35" x14ac:dyDescent="0.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35" x14ac:dyDescent="0.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35" x14ac:dyDescent="0.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35" x14ac:dyDescent="0.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35" x14ac:dyDescent="0.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35" x14ac:dyDescent="0.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35" x14ac:dyDescent="0.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35" x14ac:dyDescent="0.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35" x14ac:dyDescent="0.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35" x14ac:dyDescent="0.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35" x14ac:dyDescent="0.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35" x14ac:dyDescent="0.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" x14ac:dyDescent="0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activeCell="E24" sqref="E24"/>
      <selection pane="bottomLeft" activeCell="E24" sqref="E24"/>
    </sheetView>
  </sheetViews>
  <sheetFormatPr defaultRowHeight="13.7" x14ac:dyDescent="0.4"/>
  <cols>
    <col min="1" max="1" width="35.87890625" bestFit="1" customWidth="1"/>
    <col min="2" max="2" width="8.41015625" style="3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4" t="str" cm="1">
        <f t="array" ref="A1">portfolio</f>
        <v>City of Albuquerque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 x14ac:dyDescent="0.4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" x14ac:dyDescent="0.55000000000000004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35" x14ac:dyDescent="0.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35" x14ac:dyDescent="0.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35" x14ac:dyDescent="0.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35" x14ac:dyDescent="0.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35" x14ac:dyDescent="0.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35" x14ac:dyDescent="0.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35" x14ac:dyDescent="0.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35" x14ac:dyDescent="0.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35" x14ac:dyDescent="0.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35" x14ac:dyDescent="0.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35" x14ac:dyDescent="0.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35" x14ac:dyDescent="0.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" x14ac:dyDescent="0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activeCell="E24" sqref="E24"/>
      <selection pane="bottomLeft" activeCell="E24" sqref="E24"/>
    </sheetView>
  </sheetViews>
  <sheetFormatPr defaultRowHeight="13.7" x14ac:dyDescent="0.4"/>
  <cols>
    <col min="1" max="1" width="35.87890625" bestFit="1" customWidth="1"/>
    <col min="2" max="2" width="8.41015625" style="3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4" t="str" cm="1">
        <f t="array" ref="A1">portfolio</f>
        <v>City of Albuquerque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 x14ac:dyDescent="0.4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" x14ac:dyDescent="0.55000000000000004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35" x14ac:dyDescent="0.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35" x14ac:dyDescent="0.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35" x14ac:dyDescent="0.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35" x14ac:dyDescent="0.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35" x14ac:dyDescent="0.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35" x14ac:dyDescent="0.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35" x14ac:dyDescent="0.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35" x14ac:dyDescent="0.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35" x14ac:dyDescent="0.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35" x14ac:dyDescent="0.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35" x14ac:dyDescent="0.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35" x14ac:dyDescent="0.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" x14ac:dyDescent="0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activeCell="E24" sqref="E24"/>
      <selection pane="bottomLeft" activeCell="E24" sqref="E24"/>
    </sheetView>
  </sheetViews>
  <sheetFormatPr defaultRowHeight="13.7" x14ac:dyDescent="0.4"/>
  <cols>
    <col min="1" max="1" width="35.87890625" bestFit="1" customWidth="1"/>
    <col min="2" max="2" width="8.41015625" style="3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4" t="str" cm="1">
        <f t="array" ref="A1">portfolio</f>
        <v>City of Albuquerque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 x14ac:dyDescent="0.4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" x14ac:dyDescent="0.55000000000000004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35" x14ac:dyDescent="0.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35" x14ac:dyDescent="0.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35" x14ac:dyDescent="0.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35" x14ac:dyDescent="0.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35" x14ac:dyDescent="0.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35" x14ac:dyDescent="0.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35" x14ac:dyDescent="0.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35" x14ac:dyDescent="0.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35" x14ac:dyDescent="0.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35" x14ac:dyDescent="0.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35" x14ac:dyDescent="0.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35" x14ac:dyDescent="0.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" x14ac:dyDescent="0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F17" sqref="F17"/>
    </sheetView>
  </sheetViews>
  <sheetFormatPr defaultRowHeight="13.7" x14ac:dyDescent="0.4"/>
  <cols>
    <col min="1" max="1" width="35.87890625" bestFit="1" customWidth="1"/>
    <col min="2" max="2" width="8.41015625" style="3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4" t="str" cm="1">
        <f t="array" ref="A1">portfolio</f>
        <v>City of Albuquerque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 x14ac:dyDescent="0.4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" x14ac:dyDescent="0.55000000000000004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1" t="str">
        <v>NM: Albuquerque - Rio Grande Zoo</v>
      </c>
      <c r="B5" s="32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" x14ac:dyDescent="0.4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35" x14ac:dyDescent="0.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35" x14ac:dyDescent="0.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 x14ac:dyDescent="0.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35" x14ac:dyDescent="0.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35" x14ac:dyDescent="0.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35" x14ac:dyDescent="0.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35" x14ac:dyDescent="0.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35" x14ac:dyDescent="0.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35" x14ac:dyDescent="0.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35" x14ac:dyDescent="0.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35" x14ac:dyDescent="0.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35" x14ac:dyDescent="0.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35" x14ac:dyDescent="0.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35" x14ac:dyDescent="0.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35" x14ac:dyDescent="0.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" x14ac:dyDescent="0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A6" sqref="A6:XFD6"/>
    </sheetView>
  </sheetViews>
  <sheetFormatPr defaultRowHeight="12.75" customHeight="1" x14ac:dyDescent="0.4"/>
  <cols>
    <col min="1" max="2" width="41.87890625" customWidth="1"/>
    <col min="4" max="4" width="9.1171875" customWidth="1"/>
    <col min="5" max="5" width="18.29296875" customWidth="1"/>
    <col min="6" max="14" width="9.1171875" customWidth="1"/>
  </cols>
  <sheetData>
    <row r="1" spans="1:7" ht="12.75" customHeight="1" x14ac:dyDescent="0.4">
      <c r="A1" t="s">
        <v>46</v>
      </c>
      <c r="B1" t="s">
        <v>47</v>
      </c>
    </row>
    <row r="3" spans="1:7" ht="12.7" x14ac:dyDescent="0.4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35" x14ac:dyDescent="0.5">
      <c r="A4" t="s">
        <v>51</v>
      </c>
      <c r="B4" t="s">
        <v>52</v>
      </c>
      <c r="C4" s="4" t="s">
        <v>53</v>
      </c>
      <c r="G4" s="3"/>
    </row>
    <row r="5" spans="1:7" ht="14.35" x14ac:dyDescent="0.5">
      <c r="A5" t="s">
        <v>54</v>
      </c>
      <c r="B5" t="s">
        <v>55</v>
      </c>
      <c r="C5" s="4" t="s">
        <v>53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6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7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8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9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0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1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2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3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4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5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7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8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9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20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[AGS]</cp:lastModifiedBy>
  <cp:revision/>
  <dcterms:created xsi:type="dcterms:W3CDTF">2021-01-01T16:39:53Z</dcterms:created>
  <dcterms:modified xsi:type="dcterms:W3CDTF">2024-04-09T09:05:50Z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