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March/"/>
    </mc:Choice>
  </mc:AlternateContent>
  <xr:revisionPtr revIDLastSave="50" documentId="8_{8DD44AFA-208B-4BF4-B333-AFA8F799E313}" xr6:coauthVersionLast="47" xr6:coauthVersionMax="47" xr10:uidLastSave="{264C0129-D140-43B3-AF6B-3DC8C6F31D86}"/>
  <bookViews>
    <workbookView xWindow="28890" yWindow="-345" windowWidth="29040" windowHeight="15720" tabRatio="866" firstSheet="1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F5" i="1"/>
  <c r="F5" i="4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<sst xmlns="http://schemas.openxmlformats.org/spreadsheetml/2006/main" count="253" uniqueCount="54">
  <si>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</si>
  <si>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</si>
  <si>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</si>
  <si>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</si>
  <si>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</si>
  <si>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</si>
  <si>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</si>
  <si>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</si>
  <si>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</si>
  <si>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</si>
  <si>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</si>
  <si>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</si>
  <si>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 xml:space="preserve"> 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</si>
  <si>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</si>
  <si>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</si>
  <si>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</si>
  <si>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</si>
  <si>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</si>
  <si>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</si>
  <si>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</si>
  <si>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</si>
  <si>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</si>
  <si>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</si>
  <si>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</si>
  <si>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</si>
  <si>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</si>
  <si>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</si>
  <si>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</si>
  <si>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</si>
  <si>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</si>
  <si>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</si>
  <si>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</si>
  <si>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</si>
  <si>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</si>
  <si>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</si>
  <si>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</si>
  <si>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</si>
  <si>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</si>
  <si>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</si>
  <si>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</si>
  <si>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</si>
  <si>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</si>
  <si>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</si>
  <si>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</si>
  <si>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</si>
  <si>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</si>
  <si>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Plymouth - Seacoast Realty</t>
  </si>
  <si>
    <t>Site DAS Name</t>
  </si>
  <si>
    <t>Update</t>
  </si>
  <si>
    <t>DAS</t>
  </si>
  <si>
    <t>CDF (77 Industrial Park, Plymouth)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</si>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</sst>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4" fontId="36" fillId="0" borderId="0" xfId="0" applyNumberFormat="1" applyFont="1" applyAlignment="1">
      <alignment horizontal="right"/>
    </xf>
    <xf numFmtId="4" fontId="30" fillId="0" borderId="0" xfId="0" applyNumberFormat="1" applyFont="1" applyAlignment="1">
      <alignment horizontal="right"/>
    </xf>
    <xf numFmtId="3" fontId="36" fillId="0" borderId="0" xfId="0" applyNumberFormat="1" applyFont="1" applyAlignment="1">
      <alignment horizontal="right" wrapText="1"/>
    </xf>
    <xf numFmtId="3" fontId="36" fillId="0" borderId="0" xfId="0" applyNumberFormat="1" applyFont="1" applyAlignment="1">
      <alignment horizontal="right"/>
    </xf>
    <xf numFmtId="3" fontId="30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3" fontId="30" fillId="0" borderId="0" xfId="0" applyNumberFormat="1" applyFont="1" applyFill="1" applyAlignment="1">
      <alignment horizontal="right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SUM(C4:C79)</f>
        <v>85550</v>
      </c>
      <c r="D2" s="5">
        <f>SUM(D4:D79)</f>
        <v>93701</v>
      </c>
      <c r="E2" s="5">
        <f>C2-D2</f>
        <v>-8151</v>
      </c>
      <c r="F2" s="6">
        <f>IFERROR(E2/D2, 0)</f>
        <v>-8.6989466494487785E-2</v>
      </c>
      <c r="G2" s="5">
        <f>SUM(G4:G79)</f>
        <v>0</v>
      </c>
      <c r="H2" s="7">
        <f>C2-G2</f>
        <v>85550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MA: Plymouth - Seacoast Realty</v>
      </c>
      <c r="B4" s="9" t="str" cm="1">
        <f t="array" ref="B4">Sites[State]</f>
        <v>MA</v>
      </c>
      <c r="C4" s="23">
        <f>SUM('1st Qtr'!C4, '2nd Qtr'!C4, '3rd Qtr'!C4, '4th Qtr'!C4)</f>
        <v>85550</v>
      </c>
      <c r="D4" s="12">
        <f>SUM('1st Qtr'!D4, '2nd Qtr'!D4, '3rd Qtr'!D4, '4th Qtr'!D4)</f>
        <v>93701</v>
      </c>
      <c r="E4" s="12">
        <f>IF(AND(ISNUMBER(C4),ISNUMBER(D4)), C4-D4, "")</f>
        <v>-8151</v>
      </c>
      <c r="F4" s="13">
        <f>IFERROR(E4/D4, "")</f>
        <v>-8.6989466494487785E-2</v>
      </c>
      <c r="G4" s="14">
        <f>SUM('1st Qtr'!G4, '2nd Qtr'!G4, '3rd Qtr'!G4, '4th Qtr'!G4)</f>
        <v>0</v>
      </c>
      <c r="H4" s="14">
        <f>SUM('1st Qtr'!H4, '2nd Qtr'!H4, '3rd Qtr'!H4, '4th Qtr'!H4)</f>
        <v>85550</v>
      </c>
      <c r="I4" s="15" t="str">
        <f>IFERROR(H4/G4, "")</f>
        <v/>
      </c>
    </row>
    <row r="5" spans="1:9">
      <c r="A5" s="20"/>
      <c r="B5" s="20"/>
      <c r="C5" s="20"/>
      <c r="D5" s="20"/>
      <c r="E5" s="20"/>
      <c r="F5" s="20"/>
      <c r="G5" s="20"/>
      <c r="H5" s="20"/>
      <c r="I5" s="20"/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F5" sqref="E5:F5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SUM(C4:C79)</f>
        <v>85550</v>
      </c>
      <c r="D2" s="5">
        <f>SUM(D4:D79)</f>
        <v>93701</v>
      </c>
      <c r="E2" s="5">
        <f>C2-D2</f>
        <v>-8151</v>
      </c>
      <c r="F2" s="6">
        <f>IFERROR(E2/D2, 0)</f>
        <v>-8.6989466494487785E-2</v>
      </c>
      <c r="G2" s="5">
        <f>SUM(G4:G79)</f>
        <v>0</v>
      </c>
      <c r="H2" s="7">
        <f>C2-G2</f>
        <v>85550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SUM(Jan!C4, Feb!C4, Mar!C4)</f>
        <v>85550</v>
      </c>
      <c r="D4" s="12">
        <f>SUM(Jan!D4, Feb!D4, Mar!D4)</f>
        <v>93701</v>
      </c>
      <c r="E4" s="12">
        <f>IF(AND(ISNUMBER(C4),ISNUMBER(D4)), C4-D4, "")</f>
        <v>-8151</v>
      </c>
      <c r="F4" s="13">
        <f>IFERROR(E4/D4, "")</f>
        <v>-8.6989466494487785E-2</v>
      </c>
      <c r="G4" s="14">
        <f>SUM(Jan!G4, Feb!G4, Mar!G4)</f>
        <v>0</v>
      </c>
      <c r="H4" s="14">
        <f>SUM(Jan!H4, Feb!H4, Mar!H4)</f>
        <v>85550</v>
      </c>
      <c r="I4" s="15" t="str">
        <f>IFERROR(H4/G4, "")</f>
        <v/>
      </c>
    </row>
    <row r="5" spans="1:9" ht="15">
      <c r="A5" s="20"/>
      <c r="B5" s="10"/>
      <c r="C5" s="58" t="s">
        <v>12</v>
      </c>
      <c r="D5" s="58" t="s">
        <v>12</v>
      </c>
      <c r="E5" s="64" t="s">
        <v>12</v>
      </c>
      <c r="F5" s="18" t="str">
        <f>IFERROR(E5/D5, "")</f>
        <v/>
      </c>
      <c r="G5" s="20"/>
      <c r="H5" s="20"/>
      <c r="I5" s="20"/>
    </row>
    <row r="6" spans="1:9">
      <c r="A6" s="20"/>
      <c r="B6" s="20"/>
      <c r="C6" s="20"/>
      <c r="D6" s="20"/>
      <c r="E6" s="58" t="s">
        <v>12</v>
      </c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I4:I79 F4:F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13</v>
      </c>
      <c r="E1" s="62"/>
      <c r="F1" s="62"/>
      <c r="G1" s="60" t="s">
        <v>14</v>
      </c>
      <c r="H1" s="60"/>
      <c r="I1" s="60"/>
    </row>
    <row r="2" spans="1:9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>
      <c r="A5" s="20"/>
      <c r="B5" s="20"/>
      <c r="C5" s="20"/>
      <c r="D5" s="20"/>
      <c r="E5" s="20"/>
      <c r="F5" s="20"/>
      <c r="G5" s="20"/>
      <c r="H5" s="20"/>
      <c r="I5" s="20"/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15</v>
      </c>
      <c r="E1" s="62"/>
      <c r="F1" s="62"/>
      <c r="G1" s="60" t="s">
        <v>16</v>
      </c>
      <c r="H1" s="60"/>
      <c r="I1" s="60"/>
    </row>
    <row r="2" spans="1:9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Plymouth - Seacoast Realty</v>
      </c>
      <c r="B1" s="61"/>
      <c r="C1" s="61"/>
      <c r="D1" s="62" t="s">
        <v>17</v>
      </c>
      <c r="E1" s="62"/>
      <c r="F1" s="62"/>
      <c r="G1" s="60" t="s">
        <v>18</v>
      </c>
      <c r="H1" s="60"/>
      <c r="I1" s="60"/>
    </row>
    <row r="2" spans="1:9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Plymouth - Seacoast Realty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1"/>
      <c r="D5" s="17"/>
      <c r="E5" s="17"/>
      <c r="F5" s="18"/>
      <c r="G5" s="19"/>
      <c r="H5" s="19"/>
      <c r="I5" s="18"/>
    </row>
    <row r="6" spans="1:9" ht="15">
      <c r="A6" s="20"/>
      <c r="B6" s="10"/>
      <c r="C6" s="41"/>
      <c r="D6" s="17"/>
      <c r="E6" s="17"/>
      <c r="F6" s="18"/>
      <c r="G6" s="19"/>
      <c r="H6" s="19"/>
      <c r="I6" s="18"/>
    </row>
    <row r="7" spans="1:9" ht="15">
      <c r="A7" s="20"/>
      <c r="B7" s="10"/>
      <c r="C7" s="41"/>
      <c r="D7" s="17"/>
      <c r="E7" s="17"/>
      <c r="F7" s="18"/>
      <c r="G7" s="19"/>
      <c r="H7" s="19"/>
      <c r="I7" s="18"/>
    </row>
    <row r="8" spans="1:9" ht="15">
      <c r="A8" s="20"/>
      <c r="B8" s="10"/>
      <c r="C8" s="41"/>
      <c r="D8" s="17"/>
      <c r="E8" s="17"/>
      <c r="F8" s="18"/>
      <c r="G8" s="19"/>
      <c r="H8" s="19"/>
      <c r="I8" s="18"/>
    </row>
    <row r="9" spans="1:9" ht="15">
      <c r="A9" s="20"/>
      <c r="B9" s="10"/>
      <c r="C9" s="41"/>
      <c r="D9" s="17"/>
      <c r="E9" s="17"/>
      <c r="F9" s="18"/>
      <c r="G9" s="19"/>
      <c r="H9" s="19"/>
      <c r="I9" s="18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4.2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19</v>
      </c>
      <c r="E1" s="62"/>
      <c r="F1" s="62"/>
      <c r="G1" s="60" t="s">
        <v>20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SUM(C4:C78)</f>
        <v>16990</v>
      </c>
      <c r="D2" s="5">
        <f>SUM(D4:D78)</f>
        <v>20739</v>
      </c>
      <c r="E2" s="5">
        <f>C2-D2</f>
        <v>-3749</v>
      </c>
      <c r="F2" s="6">
        <f>IFERROR(E2/D2, 0)</f>
        <v>-0.18077052895510873</v>
      </c>
      <c r="G2" s="5">
        <f>SUM(G4:G78)</f>
        <v>0</v>
      </c>
      <c r="H2" s="7">
        <f>C2-G2</f>
        <v>16990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46" t="str" cm="1">
        <f t="array" ref="A4">Sites[Site]</f>
        <v>MA: Plymouth - Seacoast Realty</v>
      </c>
      <c r="B4" s="27" t="str" cm="1">
        <f t="array" ref="B4">Sites[State]</f>
        <v>MA</v>
      </c>
      <c r="C4" s="50">
        <v>16990</v>
      </c>
      <c r="D4" s="50">
        <v>20739</v>
      </c>
      <c r="E4" s="12">
        <f>IF(AND(ISNUMBER(C4),ISNUMBER(D4)), C4-D4, "")</f>
        <v>-3749</v>
      </c>
      <c r="F4" s="40">
        <f>IFERROR(E4/D4, "")</f>
        <v>-0.18077052895510873</v>
      </c>
      <c r="G4" s="52">
        <v>0</v>
      </c>
      <c r="H4" s="14">
        <f>IF(AND(ISNUMBER(C4),ISNUMBER(G4)), C4-G4, "")</f>
        <v>16990</v>
      </c>
      <c r="I4" s="15" t="str">
        <f>IFERROR(H4/G4, "")</f>
        <v/>
      </c>
      <c r="J4" s="47"/>
      <c r="K4" s="47"/>
    </row>
    <row r="5" spans="1:11" ht="15">
      <c r="A5" s="20"/>
      <c r="B5" s="29"/>
      <c r="C5" s="55" t="s">
        <v>12</v>
      </c>
      <c r="D5" s="56" t="s">
        <v>12</v>
      </c>
      <c r="E5" s="56" t="s">
        <v>12</v>
      </c>
      <c r="F5" s="40" t="s">
        <v>12</v>
      </c>
      <c r="G5" s="53"/>
      <c r="H5" s="53"/>
      <c r="I5" s="54"/>
      <c r="J5" s="39"/>
      <c r="K5" s="20"/>
    </row>
    <row r="6" spans="1:11" ht="15">
      <c r="A6" s="20"/>
      <c r="B6" s="29"/>
      <c r="C6" s="20"/>
      <c r="D6" s="20"/>
      <c r="E6" s="58" t="s">
        <v>12</v>
      </c>
      <c r="F6" s="20"/>
      <c r="G6" s="20"/>
      <c r="H6" s="20"/>
      <c r="I6" s="20"/>
      <c r="J6" s="37"/>
      <c r="K6" s="20"/>
    </row>
    <row r="7" spans="1:11" ht="1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6:F78">
    <cfRule type="cellIs" dxfId="26" priority="1" stopIfTrue="1" operator="lessThanOrEqual">
      <formula>-0.1</formula>
    </cfRule>
    <cfRule type="expression" dxfId="25" priority="2">
      <formula>AND(ISNUMBER(F6), F6&gt;=0.1)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I20" sqref="I20"/>
      <selection pane="bottomLeft" activeCell="C14" sqref="C14"/>
      <selection pane="topRight" activeCell="C14" sqref="C14"/>
    </sheetView>
  </sheetViews>
  <sheetFormatPr defaultRowHeight="14.2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23</v>
      </c>
      <c r="E1" s="62"/>
      <c r="F1" s="62"/>
      <c r="G1" s="60" t="s">
        <v>24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26890</v>
      </c>
      <c r="D2" s="5">
        <f>SUM(D4:D79)</f>
        <v>32296</v>
      </c>
      <c r="E2" s="5">
        <f>C2-D2</f>
        <v>-5406</v>
      </c>
      <c r="F2" s="6">
        <f>IFERROR(E2/D2, 0)</f>
        <v>-0.16738915035917762</v>
      </c>
      <c r="G2" s="5">
        <f>SUM(G4:G79)</f>
        <v>0</v>
      </c>
      <c r="H2" s="7">
        <f>C2-G2</f>
        <v>26890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46" t="str" cm="1">
        <f t="array" ref="A4">Sites[Site]</f>
        <v>MA: Plymouth - Seacoast Realty</v>
      </c>
      <c r="B4" s="27" t="str" cm="1">
        <f t="array" ref="B4">Sites[State]</f>
        <v>MA</v>
      </c>
      <c r="C4" s="23">
        <v>26890</v>
      </c>
      <c r="D4" s="12">
        <v>32296</v>
      </c>
      <c r="E4" s="12">
        <f>IF(AND(ISNUMBER(C4),ISNUMBER(D4)), C4-D4, "")</f>
        <v>-5406</v>
      </c>
      <c r="F4" s="13">
        <f>IFERROR(E4/D4, "")</f>
        <v>-0.16738915035917762</v>
      </c>
      <c r="G4" s="14">
        <v>0</v>
      </c>
      <c r="H4" s="14">
        <f>IF(AND(ISNUMBER(C4),ISNUMBER(G4)), C4-G4, "")</f>
        <v>26890</v>
      </c>
      <c r="I4" s="15" t="str">
        <f>IFERROR(H4/G4, "")</f>
        <v/>
      </c>
      <c r="J4" s="36"/>
      <c r="K4" s="36"/>
    </row>
    <row r="5" spans="1:11" ht="15">
      <c r="A5" s="20"/>
      <c r="B5" s="29"/>
      <c r="C5" s="57"/>
      <c r="D5" s="57"/>
      <c r="E5" s="57"/>
      <c r="F5" s="18"/>
      <c r="G5" s="20"/>
      <c r="H5" s="20"/>
      <c r="I5" s="20"/>
      <c r="J5" s="20"/>
      <c r="K5" s="20"/>
    </row>
    <row r="6" spans="1:11" ht="1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29"/>
      <c r="C7" s="20"/>
      <c r="D7" s="59" t="s">
        <v>12</v>
      </c>
      <c r="E7" s="20"/>
      <c r="F7" s="20"/>
      <c r="G7" s="20"/>
      <c r="H7" s="20"/>
      <c r="I7" s="20"/>
      <c r="J7" s="20"/>
      <c r="K7" s="20"/>
    </row>
    <row r="8" spans="1:11" ht="1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I4:I79 F4:F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D5" sqref="D5"/>
      <selection pane="bottomLeft" activeCell="C14" sqref="C14"/>
      <selection pane="topRight" activeCell="C14" sqref="C14"/>
    </sheetView>
  </sheetViews>
  <sheetFormatPr defaultRowHeight="14.2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25</v>
      </c>
      <c r="E1" s="62"/>
      <c r="F1" s="62"/>
      <c r="G1" s="60" t="s">
        <v>26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41670</v>
      </c>
      <c r="D2" s="5">
        <f>SUM(D4:D79)</f>
        <v>40666</v>
      </c>
      <c r="E2" s="5">
        <f>C2-D2</f>
        <v>1004</v>
      </c>
      <c r="F2" s="6">
        <f>IFERROR(E2/D2, 0)</f>
        <v>2.4688929326710275E-2</v>
      </c>
      <c r="G2" s="5">
        <f>SUM(G4:G79)</f>
        <v>0</v>
      </c>
      <c r="H2" s="7">
        <f>C2-G2</f>
        <v>41670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41670</v>
      </c>
      <c r="D4" s="12">
        <v>40666</v>
      </c>
      <c r="E4" s="12">
        <f>IF(AND(ISNUMBER(C4),ISNUMBER(D4)), C4-D4, "")</f>
        <v>1004</v>
      </c>
      <c r="F4" s="13">
        <f>IFERROR(E4/D4, "")</f>
        <v>2.4688929326710275E-2</v>
      </c>
      <c r="G4" s="14">
        <v>0</v>
      </c>
      <c r="H4" s="14">
        <f>IF(AND(ISNUMBER(C4),ISNUMBER(G4)), C4-G4, "")</f>
        <v>41670</v>
      </c>
      <c r="I4" s="15" t="str">
        <f>IFERROR(H4/G4, "")</f>
        <v/>
      </c>
      <c r="J4" s="36"/>
      <c r="K4" s="36"/>
    </row>
    <row r="5" spans="1:11" ht="15">
      <c r="A5" s="20"/>
      <c r="B5" s="29"/>
      <c r="C5" s="58" t="s">
        <v>12</v>
      </c>
      <c r="D5" s="58" t="s">
        <v>12</v>
      </c>
      <c r="E5" s="64" t="s">
        <v>12</v>
      </c>
      <c r="F5" s="18" t="str">
        <f>IFERROR(E5/D5, "")</f>
        <v/>
      </c>
      <c r="G5" s="20"/>
      <c r="H5" s="20"/>
      <c r="I5" s="20"/>
      <c r="J5" s="20"/>
      <c r="K5" s="20"/>
    </row>
    <row r="6" spans="1:11" ht="1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I4:I79 F4:F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4.2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27</v>
      </c>
      <c r="E1" s="62"/>
      <c r="F1" s="62"/>
      <c r="G1" s="60" t="s">
        <v>28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4.2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29</v>
      </c>
      <c r="E1" s="62"/>
      <c r="F1" s="62"/>
      <c r="G1" s="60" t="s">
        <v>30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4.2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31</v>
      </c>
      <c r="E1" s="62"/>
      <c r="F1" s="62"/>
      <c r="G1" s="60" t="s">
        <v>32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4.2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33</v>
      </c>
      <c r="E1" s="62"/>
      <c r="F1" s="62"/>
      <c r="G1" s="60" t="s">
        <v>34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4.2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35</v>
      </c>
      <c r="E1" s="62"/>
      <c r="F1" s="62"/>
      <c r="G1" s="60" t="s">
        <v>36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4.2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37</v>
      </c>
      <c r="E1" s="62"/>
      <c r="F1" s="62"/>
      <c r="G1" s="60" t="s">
        <v>38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4.2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39</v>
      </c>
      <c r="E1" s="62"/>
      <c r="F1" s="62"/>
      <c r="G1" s="60" t="s">
        <v>40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4.2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41</v>
      </c>
      <c r="E1" s="62"/>
      <c r="F1" s="62"/>
      <c r="G1" s="60" t="s">
        <v>42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4.2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Plymouth - Seacoast Realty</v>
      </c>
      <c r="B1" s="61"/>
      <c r="C1" s="61"/>
      <c r="D1" s="62" t="s">
        <v>43</v>
      </c>
      <c r="E1" s="62"/>
      <c r="F1" s="62"/>
      <c r="G1" s="60" t="s">
        <v>44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75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2" sqref="A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45</v>
      </c>
      <c r="B1" t="s">
        <v>46</v>
      </c>
    </row>
    <row r="3" spans="1:12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12" ht="15">
      <c r="A4" s="45" t="s">
        <v>50</v>
      </c>
      <c r="B4" t="s">
        <v>46</v>
      </c>
      <c r="C4" s="43" t="s">
        <v>51</v>
      </c>
      <c r="D4" s="42" t="s">
        <v>52</v>
      </c>
      <c r="E4" t="s">
        <v>53</v>
      </c>
      <c r="G4" s="3"/>
    </row>
    <row r="5" spans="1:12" ht="15">
      <c r="A5" s="45"/>
      <c r="C5" s="43"/>
      <c r="D5" s="42"/>
      <c r="G5" s="3"/>
    </row>
    <row r="6" spans="1:12" ht="1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2024-04-25T19:28:59Z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