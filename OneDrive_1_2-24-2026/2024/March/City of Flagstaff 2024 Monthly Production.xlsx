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C3117C49-5E48-4F54-B245-0AA3B77101EF}" xr6:coauthVersionLast="47" xr6:coauthVersionMax="47" xr10:uidLastSave="{00000000-0000-0000-0000-000000000000}"/>
  <bookViews>
    <workbookView xWindow="-93" yWindow="-93" windowWidth="19386" windowHeight="1146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2" l="1"/>
  <c r="I5" i="72"/>
  <c r="I4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27"/>
  <c r="J2" i="20"/>
  <c r="J2" i="2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D2" i="30" s="1"/>
  <c r="C4" i="30"/>
  <c r="E4" i="30" s="1"/>
  <c r="F4" i="30" s="1"/>
  <c r="D6" i="29"/>
  <c r="C6" i="29"/>
  <c r="E6" i="29" s="1"/>
  <c r="F6" i="29" s="1"/>
  <c r="D5" i="29"/>
  <c r="C5" i="29"/>
  <c r="E5" i="29" s="1"/>
  <c r="F5" i="29" s="1"/>
  <c r="D4" i="29"/>
  <c r="C4" i="29"/>
  <c r="D6" i="18"/>
  <c r="C6" i="18"/>
  <c r="E6" i="18" s="1"/>
  <c r="F6" i="18" s="1"/>
  <c r="D5" i="18"/>
  <c r="C5" i="18"/>
  <c r="E5" i="18" s="1"/>
  <c r="F5" i="18" s="1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E2" i="28" s="1"/>
  <c r="F2" i="28" s="1"/>
  <c r="C2" i="28"/>
  <c r="A1" i="28" a="1"/>
  <c r="A1" i="28" s="1"/>
  <c r="H6" i="27"/>
  <c r="I6" i="27" s="1"/>
  <c r="E6" i="27"/>
  <c r="F6" i="27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H2" i="20" s="1"/>
  <c r="I2" i="20" s="1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A1" i="72" a="1"/>
  <c r="A1" i="72" s="1"/>
  <c r="H2" i="4" l="1"/>
  <c r="I2" i="4" s="1"/>
  <c r="G2" i="34"/>
  <c r="H2" i="19"/>
  <c r="I2" i="19" s="1"/>
  <c r="H6" i="30"/>
  <c r="I6" i="30" s="1"/>
  <c r="J2" i="19"/>
  <c r="H2" i="28"/>
  <c r="I2" i="28" s="1"/>
  <c r="H2" i="32"/>
  <c r="I2" i="32" s="1"/>
  <c r="H2" i="26"/>
  <c r="I2" i="26" s="1"/>
  <c r="H6" i="29"/>
  <c r="I6" i="29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<sst xmlns="http://schemas.openxmlformats.org/spreadsheetml/2006/main" count="250" uniqueCount="58">
  <si>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</si>
  <si>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</si>
  <si>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</si>
  <si>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</si>
  <si>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</si>
  <si>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</si>
  <si>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</si>
  <si>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</si>
  <si>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</si>
  <si>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</si>
  <si>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</si>
  <si>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</si>
  <si>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</si>
  <si>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</si>
  <si>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</si>
  <si>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</si>
  <si>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</si>
  <si>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</si>
  <si>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</si>
  <si>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</si>
  <si>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</si>
  <si>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</si>
  <si>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due to a blown 175 AMP fuse on 1/20. The technician replaced the fuse, and the inverter was back online on 02/05</t>
  </si>
  <si>
    <t>1. SR080418</t>
  </si>
  <si>
    <t>February Actual v. Expected</t>
  </si>
  <si>
    <t>February Actual v. Forecasted</t>
  </si>
  <si>
    <t>1. Inverter 3 is offline from 02/12
2. Weather station showing erroneous values</t>
  </si>
  <si>
    <t>1. SR080944
2. 	SR075221</t>
  </si>
  <si>
    <t>March Actual v. Expected</t>
  </si>
  <si>
    <t>March Actual v. Forecasted</t>
  </si>
  <si>
    <t>1. Inverter 3 is offline for whole month.
2. Weather station showing erroneous values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</si>
  <si>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</si>
  <si>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</si>
  <si>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</si>
  <si>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</si>
  <si>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</si>
  <si>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</si>
  <si>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</si>
  <si>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</si>
  <si>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</si>
  <si>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</si>
  <si>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</si>
  <si>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</si>
  <si>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</si>
  <si>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</si>
  <si>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</si>
  <si>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</si>
  <si>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</si>
  <si>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</si>
  <si>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</si>
  <si>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Flagstaff</t>
  </si>
  <si>
    <t>Site DAS Name</t>
  </si>
  <si>
    <t>Update</t>
  </si>
  <si>
    <t>DAS</t>
  </si>
  <si>
    <t>AZ: COF Aquaplex</t>
  </si>
  <si>
    <t>AZ</t>
  </si>
  <si>
    <t>AZ: COF Sun Bear</t>
  </si>
  <si>
    <t>AZ: COF Rio de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</si>
</sst>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5" t="str" cm="1">
        <f t="array" ref="A1">portfolio</f>
        <v>City of Flagstaff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 x14ac:dyDescent="0.4">
      <c r="A2" s="47" t="s">
        <v>2</v>
      </c>
      <c r="B2" s="47"/>
      <c r="C2" s="6">
        <f>SUM(C4:C85)</f>
        <v>239179</v>
      </c>
      <c r="D2" s="6">
        <f>SUM(D4:D85)</f>
        <v>120071.5</v>
      </c>
      <c r="E2" s="6">
        <f>C2-D2</f>
        <v>119107.5</v>
      </c>
      <c r="F2" s="7">
        <f>IFERROR(E2/D2, 0)</f>
        <v>0.99197145034416989</v>
      </c>
      <c r="G2" s="6">
        <f>SUM(G4:G85)</f>
        <v>0</v>
      </c>
      <c r="H2" s="8">
        <f>C2-G2</f>
        <v>239179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" x14ac:dyDescent="0.4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SUM('1st Qtr'!C4, '2nd Qtr'!C4, '3rd Qtr'!C4, '4th Qtr'!C4)</f>
        <v>73407</v>
      </c>
      <c r="D4" s="14">
        <f>SUM('1st Qtr'!D4, '2nd Qtr'!D4, '3rd Qtr'!D4, '4th Qtr'!D4)</f>
        <v>0</v>
      </c>
      <c r="E4" s="14">
        <f>IF(AND(ISNUMBER(C4),ISNUMBER(D4)), C4-D4, "")</f>
        <v>73407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73407</v>
      </c>
      <c r="I4" s="17">
        <f>IFERROR(H4/G4, 0)</f>
        <v>0</v>
      </c>
    </row>
    <row r="5" spans="1:9" ht="15.7" x14ac:dyDescent="0.4">
      <c r="A5" s="19" t="str">
        <v>AZ: COF Sun Bear</v>
      </c>
      <c r="B5" s="11" t="str">
        <v>AZ</v>
      </c>
      <c r="C5" s="12">
        <f>SUM(Jan!C5, Feb!C5, Mar!C5)</f>
        <v>89034</v>
      </c>
      <c r="D5" s="20">
        <f>SUM(Jan!D5, Feb!D5, Mar!D5)</f>
        <v>76259.09</v>
      </c>
      <c r="E5" s="20">
        <f t="shared" ref="E5:E6" si="0">IF(AND(ISNUMBER(C5),ISNUMBER(D5)), C5-D5, "")</f>
        <v>12774.910000000003</v>
      </c>
      <c r="F5" s="21">
        <f>IFERROR(E5/D5, 0)</f>
        <v>0.16751983271764723</v>
      </c>
      <c r="G5" s="22">
        <f>SUM('1st Qtr'!G5,'2nd Qtr'!G5,'3rd Qtr'!G5,'4th Qtr'!G5)</f>
        <v>0</v>
      </c>
      <c r="H5" s="22">
        <f>SUM(Jan!H5, Feb!H5, Mar!H5)</f>
        <v>89034</v>
      </c>
      <c r="I5" s="21">
        <f>IFERROR(H5/G5, 0)</f>
        <v>0</v>
      </c>
    </row>
    <row r="6" spans="1:9" ht="15.7" x14ac:dyDescent="0.4">
      <c r="A6" s="13" t="str">
        <v>AZ: COF Rio de Flag</v>
      </c>
      <c r="B6" s="10" t="str">
        <v>AZ</v>
      </c>
      <c r="C6" s="26">
        <f>SUM(Jan!C6, Feb!C6, Mar!C6)</f>
        <v>76738</v>
      </c>
      <c r="D6" s="14">
        <f>SUM(Jan!D6, Feb!D6, Mar!D6)</f>
        <v>43812.41</v>
      </c>
      <c r="E6" s="14">
        <f t="shared" si="0"/>
        <v>32925.589999999997</v>
      </c>
      <c r="F6" s="15">
        <f>IFERROR(E6/D6, 0)</f>
        <v>0.75151287044013315</v>
      </c>
      <c r="G6" s="16">
        <f>SUM('1st Qtr'!G6,'2nd Qtr'!G6,'3rd Qtr'!G6,'4th Qtr'!G6)</f>
        <v>0</v>
      </c>
      <c r="H6" s="16">
        <f>SUM(Jan!H6, Feb!H6, Mar!H6)</f>
        <v>76738</v>
      </c>
      <c r="I6" s="17">
        <f>IFERROR(H6/G6, 0)</f>
        <v>0</v>
      </c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3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" x14ac:dyDescent="0.4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" x14ac:dyDescent="0.4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" x14ac:dyDescent="0.4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" x14ac:dyDescent="0.4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5 I4:I85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activeCell="A33" sqref="A33"/>
      <selection pane="bottomLeft" activeCell="I7" sqref="I7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5" t="str" cm="1">
        <f t="array" ref="A1">portfolio</f>
        <v>City of Flagstaff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 x14ac:dyDescent="0.4">
      <c r="A2" s="47" t="s">
        <v>2</v>
      </c>
      <c r="B2" s="47"/>
      <c r="C2" s="6">
        <f>SUM(C4:C85)</f>
        <v>239179</v>
      </c>
      <c r="D2" s="6">
        <f>SUM(D4:D85)</f>
        <v>120071.5</v>
      </c>
      <c r="E2" s="6">
        <f>C2-D2</f>
        <v>119107.5</v>
      </c>
      <c r="F2" s="7">
        <f>IFERROR(E2/D2, 0)</f>
        <v>0.99197145034416989</v>
      </c>
      <c r="G2" s="6">
        <f>SUM(G4:G85)</f>
        <v>0</v>
      </c>
      <c r="H2" s="8">
        <f>C2-G2</f>
        <v>239179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" x14ac:dyDescent="0.4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SUM(Jan!C4, Feb!C4, Mar!C4)</f>
        <v>73407</v>
      </c>
      <c r="D4" s="14">
        <f>SUM(Jan!D4, Feb!D4, Mar!D4)</f>
        <v>0</v>
      </c>
      <c r="E4" s="14">
        <f>IF(AND(ISNUMBER(C4),ISNUMBER(D4)), C4-D4, "")</f>
        <v>73407</v>
      </c>
      <c r="F4" s="15">
        <f>IFERROR(E4/D4, 0)</f>
        <v>0</v>
      </c>
      <c r="G4" s="16">
        <f>SUM(Jan!G4, Feb!G4, Mar!G4)</f>
        <v>0</v>
      </c>
      <c r="H4" s="16">
        <f>SUM(Jan!H4, Feb!H4, Mar!H4)</f>
        <v>73407</v>
      </c>
      <c r="I4" s="17">
        <f>IFERROR(H4/G4, 0)</f>
        <v>0</v>
      </c>
    </row>
    <row r="5" spans="1:9" ht="15.7" x14ac:dyDescent="0.4">
      <c r="A5" s="19" t="str">
        <v>AZ: COF Sun Bear</v>
      </c>
      <c r="B5" s="11" t="str">
        <v>AZ</v>
      </c>
      <c r="C5" s="12">
        <f>SUM(Jan!C5, Feb!C5, Mar!C5)</f>
        <v>89034</v>
      </c>
      <c r="D5" s="20">
        <f>SUM(Jan!D5, Feb!D5, Mar!D5)</f>
        <v>76259.09</v>
      </c>
      <c r="E5" s="20">
        <f t="shared" ref="E5:E6" si="0">IF(AND(ISNUMBER(C5),ISNUMBER(D5)), C5-D5, "")</f>
        <v>12774.910000000003</v>
      </c>
      <c r="F5" s="21">
        <f>IFERROR(E5/D5, "")</f>
        <v>0.16751983271764723</v>
      </c>
      <c r="G5" s="22">
        <f>SUM(Jan!G5, Feb!G5, Mar!G5)</f>
        <v>0</v>
      </c>
      <c r="H5" s="22">
        <f>SUM(Jan!H5, Feb!H5, Mar!H5)</f>
        <v>89034</v>
      </c>
      <c r="I5" s="21">
        <f>IFERROR(H5/G5, 0)</f>
        <v>0</v>
      </c>
    </row>
    <row r="6" spans="1:9" ht="15.7" x14ac:dyDescent="0.4">
      <c r="A6" s="13" t="str">
        <v>AZ: COF Rio de Flag</v>
      </c>
      <c r="B6" s="10" t="str">
        <v>AZ</v>
      </c>
      <c r="C6" s="26">
        <f>SUM(Jan!C6, Feb!C6, Mar!C6)</f>
        <v>76738</v>
      </c>
      <c r="D6" s="14">
        <f>SUM(Jan!D6, Feb!D6, Mar!D6)</f>
        <v>43812.41</v>
      </c>
      <c r="E6" s="14">
        <f t="shared" si="0"/>
        <v>32925.589999999997</v>
      </c>
      <c r="F6" s="15">
        <f t="shared" ref="F6" si="1">IFERROR(E6/D6, "")</f>
        <v>0.75151287044013315</v>
      </c>
      <c r="G6" s="16">
        <f>SUM(Jan!G6, Feb!G6, Mar!G6)</f>
        <v>0</v>
      </c>
      <c r="H6" s="16">
        <f>SUM(Jan!H6, Feb!H6, Mar!H6)</f>
        <v>76738</v>
      </c>
      <c r="I6" s="17">
        <f>IFERROR(H6/G6, 0)</f>
        <v>0</v>
      </c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3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" x14ac:dyDescent="0.4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" x14ac:dyDescent="0.4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" x14ac:dyDescent="0.4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" x14ac:dyDescent="0.4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5" t="str" cm="1">
        <f t="array" ref="A1">portfolio</f>
        <v>City of Flagstaff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" x14ac:dyDescent="0.4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" x14ac:dyDescent="0.4">
      <c r="A5" s="19" t="str">
        <v>AZ: COF Sun Bear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" x14ac:dyDescent="0.4">
      <c r="A6" s="13" t="str">
        <v>AZ: COF Rio de Flag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SUM(Apr!H6, May!H6, Jun!H6)</f>
        <v>0</v>
      </c>
      <c r="I6" s="17" t="str">
        <f t="shared" ref="I6" si="2">IFERROR(H6/G6, "")</f>
        <v/>
      </c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3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" x14ac:dyDescent="0.4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" x14ac:dyDescent="0.4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" x14ac:dyDescent="0.4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" x14ac:dyDescent="0.4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5" t="str" cm="1">
        <f t="array" ref="A1">portfolio</f>
        <v>City of Flagstaff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" x14ac:dyDescent="0.4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" x14ac:dyDescent="0.4">
      <c r="A5" s="19" t="str">
        <v>AZ: COF Sun Bear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" x14ac:dyDescent="0.4">
      <c r="A6" s="13" t="str">
        <v>AZ: COF Rio de Flag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3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" x14ac:dyDescent="0.4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" x14ac:dyDescent="0.4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" x14ac:dyDescent="0.4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" x14ac:dyDescent="0.4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2.7" x14ac:dyDescent="0.4"/>
  <cols>
    <col min="1" max="1" width="35.87890625" bestFit="1" customWidth="1"/>
    <col min="2" max="2" width="8.41015625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</cols>
  <sheetData>
    <row r="1" spans="1:9" ht="19.5" customHeight="1" x14ac:dyDescent="0.4">
      <c r="A1" s="45" t="str" cm="1">
        <f t="array" ref="A1">portfolio</f>
        <v>City of Flagstaff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" x14ac:dyDescent="0.4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" x14ac:dyDescent="0.4">
      <c r="A5" s="19" t="str">
        <v>AZ: COF Sun Bear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" x14ac:dyDescent="0.4">
      <c r="A6" s="13" t="str">
        <v>AZ: COF Rio de Flag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" x14ac:dyDescent="0.45">
      <c r="A7" s="23"/>
      <c r="B7" s="23"/>
      <c r="C7" s="23"/>
      <c r="D7" s="23"/>
      <c r="E7" s="23"/>
      <c r="F7" s="23"/>
      <c r="G7" s="23"/>
      <c r="H7" s="23"/>
      <c r="I7" s="23"/>
    </row>
    <row r="8" spans="1:9" ht="13" x14ac:dyDescent="0.45">
      <c r="A8" s="23"/>
      <c r="B8" s="23"/>
      <c r="C8" s="23"/>
      <c r="D8" s="23"/>
      <c r="E8" s="23"/>
      <c r="F8" s="23"/>
      <c r="G8" s="23"/>
      <c r="H8" s="23"/>
      <c r="I8" s="23"/>
    </row>
    <row r="9" spans="1:9" ht="13" x14ac:dyDescent="0.45">
      <c r="A9" s="23"/>
      <c r="B9" s="23"/>
      <c r="C9" s="23"/>
      <c r="D9" s="23"/>
      <c r="E9" s="23"/>
      <c r="F9" s="23"/>
      <c r="G9" s="23"/>
      <c r="H9" s="23"/>
      <c r="I9" s="23"/>
    </row>
    <row r="10" spans="1:9" ht="13" x14ac:dyDescent="0.4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" x14ac:dyDescent="0.4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" x14ac:dyDescent="0.4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" x14ac:dyDescent="0.4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" x14ac:dyDescent="0.4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" x14ac:dyDescent="0.4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" x14ac:dyDescent="0.4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" x14ac:dyDescent="0.4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" x14ac:dyDescent="0.4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" x14ac:dyDescent="0.4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" x14ac:dyDescent="0.4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" x14ac:dyDescent="0.4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" x14ac:dyDescent="0.4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" x14ac:dyDescent="0.4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" x14ac:dyDescent="0.4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" x14ac:dyDescent="0.4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" x14ac:dyDescent="0.4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" x14ac:dyDescent="0.4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" x14ac:dyDescent="0.4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" x14ac:dyDescent="0.4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" x14ac:dyDescent="0.4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" x14ac:dyDescent="0.4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" x14ac:dyDescent="0.4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" x14ac:dyDescent="0.4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" x14ac:dyDescent="0.4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" x14ac:dyDescent="0.4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" x14ac:dyDescent="0.4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" x14ac:dyDescent="0.4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" x14ac:dyDescent="0.4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" x14ac:dyDescent="0.4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" x14ac:dyDescent="0.4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" x14ac:dyDescent="0.4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" x14ac:dyDescent="0.4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" x14ac:dyDescent="0.4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" x14ac:dyDescent="0.4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" x14ac:dyDescent="0.4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" x14ac:dyDescent="0.4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" x14ac:dyDescent="0.4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" x14ac:dyDescent="0.4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" x14ac:dyDescent="0.4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" x14ac:dyDescent="0.4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" x14ac:dyDescent="0.4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" x14ac:dyDescent="0.4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" x14ac:dyDescent="0.4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" x14ac:dyDescent="0.4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" x14ac:dyDescent="0.4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" x14ac:dyDescent="0.4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" x14ac:dyDescent="0.4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" x14ac:dyDescent="0.4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" x14ac:dyDescent="0.4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" x14ac:dyDescent="0.4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" x14ac:dyDescent="0.4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" x14ac:dyDescent="0.4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" x14ac:dyDescent="0.4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" x14ac:dyDescent="0.4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" x14ac:dyDescent="0.4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" x14ac:dyDescent="0.4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" x14ac:dyDescent="0.4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" x14ac:dyDescent="0.4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" x14ac:dyDescent="0.4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" x14ac:dyDescent="0.4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" x14ac:dyDescent="0.4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" x14ac:dyDescent="0.4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" x14ac:dyDescent="0.4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" x14ac:dyDescent="0.4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" x14ac:dyDescent="0.4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" x14ac:dyDescent="0.4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" x14ac:dyDescent="0.4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" x14ac:dyDescent="0.4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" x14ac:dyDescent="0.4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" x14ac:dyDescent="0.4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" x14ac:dyDescent="0.4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" x14ac:dyDescent="0.4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" x14ac:dyDescent="0.4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" x14ac:dyDescent="0.4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" x14ac:dyDescent="0.4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" x14ac:dyDescent="0.4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" x14ac:dyDescent="0.4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" x14ac:dyDescent="0.4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" x14ac:dyDescent="0.4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" x14ac:dyDescent="0.4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" x14ac:dyDescent="0.4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" x14ac:dyDescent="0.4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" x14ac:dyDescent="0.4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" x14ac:dyDescent="0.4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" x14ac:dyDescent="0.4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" x14ac:dyDescent="0.4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" x14ac:dyDescent="0.4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" x14ac:dyDescent="0.4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" x14ac:dyDescent="0.4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" x14ac:dyDescent="0.4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" x14ac:dyDescent="0.4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" x14ac:dyDescent="0.4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" x14ac:dyDescent="0.4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" x14ac:dyDescent="0.4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" x14ac:dyDescent="0.4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" x14ac:dyDescent="0.4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" x14ac:dyDescent="0.4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" x14ac:dyDescent="0.4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" x14ac:dyDescent="0.4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" x14ac:dyDescent="0.4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" x14ac:dyDescent="0.4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" x14ac:dyDescent="0.4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" x14ac:dyDescent="0.4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" x14ac:dyDescent="0.4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" x14ac:dyDescent="0.4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" x14ac:dyDescent="0.4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" x14ac:dyDescent="0.4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" x14ac:dyDescent="0.4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" x14ac:dyDescent="0.4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" x14ac:dyDescent="0.4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" x14ac:dyDescent="0.4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" x14ac:dyDescent="0.4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" x14ac:dyDescent="0.4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" x14ac:dyDescent="0.4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" x14ac:dyDescent="0.4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" x14ac:dyDescent="0.4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" x14ac:dyDescent="0.4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" x14ac:dyDescent="0.4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" x14ac:dyDescent="0.4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" x14ac:dyDescent="0.4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" x14ac:dyDescent="0.4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" x14ac:dyDescent="0.4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" x14ac:dyDescent="0.4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" x14ac:dyDescent="0.4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" x14ac:dyDescent="0.4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" x14ac:dyDescent="0.4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" x14ac:dyDescent="0.4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" x14ac:dyDescent="0.4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" x14ac:dyDescent="0.4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" x14ac:dyDescent="0.4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" x14ac:dyDescent="0.4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" x14ac:dyDescent="0.4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" x14ac:dyDescent="0.4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" x14ac:dyDescent="0.4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" x14ac:dyDescent="0.4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" x14ac:dyDescent="0.4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" x14ac:dyDescent="0.4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" x14ac:dyDescent="0.4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" x14ac:dyDescent="0.4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" x14ac:dyDescent="0.4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" x14ac:dyDescent="0.4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" x14ac:dyDescent="0.4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" x14ac:dyDescent="0.4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" x14ac:dyDescent="0.4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" x14ac:dyDescent="0.4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" x14ac:dyDescent="0.4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" x14ac:dyDescent="0.4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" x14ac:dyDescent="0.4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" x14ac:dyDescent="0.4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" x14ac:dyDescent="0.4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" x14ac:dyDescent="0.4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" x14ac:dyDescent="0.4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" x14ac:dyDescent="0.4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" x14ac:dyDescent="0.4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" x14ac:dyDescent="0.4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" x14ac:dyDescent="0.4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" x14ac:dyDescent="0.4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" x14ac:dyDescent="0.4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" x14ac:dyDescent="0.4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" x14ac:dyDescent="0.4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" x14ac:dyDescent="0.4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" x14ac:dyDescent="0.4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" x14ac:dyDescent="0.4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" x14ac:dyDescent="0.4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" x14ac:dyDescent="0.4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" x14ac:dyDescent="0.4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" x14ac:dyDescent="0.4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" x14ac:dyDescent="0.4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" x14ac:dyDescent="0.4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" x14ac:dyDescent="0.4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" x14ac:dyDescent="0.4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" x14ac:dyDescent="0.4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" x14ac:dyDescent="0.4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" x14ac:dyDescent="0.4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" x14ac:dyDescent="0.4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" x14ac:dyDescent="0.4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" x14ac:dyDescent="0.4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" x14ac:dyDescent="0.4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" x14ac:dyDescent="0.4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" x14ac:dyDescent="0.4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" x14ac:dyDescent="0.4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" x14ac:dyDescent="0.4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" x14ac:dyDescent="0.4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" x14ac:dyDescent="0.4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" x14ac:dyDescent="0.4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" x14ac:dyDescent="0.4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" x14ac:dyDescent="0.4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" x14ac:dyDescent="0.4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" x14ac:dyDescent="0.4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" x14ac:dyDescent="0.4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" x14ac:dyDescent="0.4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" x14ac:dyDescent="0.4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" x14ac:dyDescent="0.4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" x14ac:dyDescent="0.4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" x14ac:dyDescent="0.4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" x14ac:dyDescent="0.4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" x14ac:dyDescent="0.4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" x14ac:dyDescent="0.4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" x14ac:dyDescent="0.4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" x14ac:dyDescent="0.4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" x14ac:dyDescent="0.4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" x14ac:dyDescent="0.4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" x14ac:dyDescent="0.4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" x14ac:dyDescent="0.4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" x14ac:dyDescent="0.4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" x14ac:dyDescent="0.4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" x14ac:dyDescent="0.4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" x14ac:dyDescent="0.4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" x14ac:dyDescent="0.4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" x14ac:dyDescent="0.4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" x14ac:dyDescent="0.4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" x14ac:dyDescent="0.4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" x14ac:dyDescent="0.4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" x14ac:dyDescent="0.4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" x14ac:dyDescent="0.4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" x14ac:dyDescent="0.4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" x14ac:dyDescent="0.4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" x14ac:dyDescent="0.4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" x14ac:dyDescent="0.4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" x14ac:dyDescent="0.4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" x14ac:dyDescent="0.4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" x14ac:dyDescent="0.4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" x14ac:dyDescent="0.4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" x14ac:dyDescent="0.4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" x14ac:dyDescent="0.4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" x14ac:dyDescent="0.4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" x14ac:dyDescent="0.4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" x14ac:dyDescent="0.4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" x14ac:dyDescent="0.4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" x14ac:dyDescent="0.4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" x14ac:dyDescent="0.4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" x14ac:dyDescent="0.4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" x14ac:dyDescent="0.4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" x14ac:dyDescent="0.4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" x14ac:dyDescent="0.4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" x14ac:dyDescent="0.4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" x14ac:dyDescent="0.4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" x14ac:dyDescent="0.4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" x14ac:dyDescent="0.4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" x14ac:dyDescent="0.4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" x14ac:dyDescent="0.4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" x14ac:dyDescent="0.4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" x14ac:dyDescent="0.4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" x14ac:dyDescent="0.4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" x14ac:dyDescent="0.4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" x14ac:dyDescent="0.4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" x14ac:dyDescent="0.4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" x14ac:dyDescent="0.4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" x14ac:dyDescent="0.4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" x14ac:dyDescent="0.4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" x14ac:dyDescent="0.4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" x14ac:dyDescent="0.4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" x14ac:dyDescent="0.4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" x14ac:dyDescent="0.4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" x14ac:dyDescent="0.4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" x14ac:dyDescent="0.4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" x14ac:dyDescent="0.4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" x14ac:dyDescent="0.4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" x14ac:dyDescent="0.4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" x14ac:dyDescent="0.4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" x14ac:dyDescent="0.4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" x14ac:dyDescent="0.4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" x14ac:dyDescent="0.4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" x14ac:dyDescent="0.4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" x14ac:dyDescent="0.4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" x14ac:dyDescent="0.4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" x14ac:dyDescent="0.4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" x14ac:dyDescent="0.4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" x14ac:dyDescent="0.4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" x14ac:dyDescent="0.4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" x14ac:dyDescent="0.4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" x14ac:dyDescent="0.4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" x14ac:dyDescent="0.4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" x14ac:dyDescent="0.4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" x14ac:dyDescent="0.4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" x14ac:dyDescent="0.4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" x14ac:dyDescent="0.4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" x14ac:dyDescent="0.4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" x14ac:dyDescent="0.4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" x14ac:dyDescent="0.4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" x14ac:dyDescent="0.4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" x14ac:dyDescent="0.4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" x14ac:dyDescent="0.4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" x14ac:dyDescent="0.4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" x14ac:dyDescent="0.4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" x14ac:dyDescent="0.4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" x14ac:dyDescent="0.4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" x14ac:dyDescent="0.4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" x14ac:dyDescent="0.4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" x14ac:dyDescent="0.4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" x14ac:dyDescent="0.4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" x14ac:dyDescent="0.4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" x14ac:dyDescent="0.4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" x14ac:dyDescent="0.4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" x14ac:dyDescent="0.4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" x14ac:dyDescent="0.4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" x14ac:dyDescent="0.4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" x14ac:dyDescent="0.4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" x14ac:dyDescent="0.4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" x14ac:dyDescent="0.4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" x14ac:dyDescent="0.4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" x14ac:dyDescent="0.4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" x14ac:dyDescent="0.4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" x14ac:dyDescent="0.4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" x14ac:dyDescent="0.4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" x14ac:dyDescent="0.4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" x14ac:dyDescent="0.4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" x14ac:dyDescent="0.4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" x14ac:dyDescent="0.4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" x14ac:dyDescent="0.4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" x14ac:dyDescent="0.4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" x14ac:dyDescent="0.4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" x14ac:dyDescent="0.4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" x14ac:dyDescent="0.4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" x14ac:dyDescent="0.4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" x14ac:dyDescent="0.4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" x14ac:dyDescent="0.45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workbookViewId="0">
      <pane ySplit="3" topLeftCell="A4" activePane="bottomLeft" state="frozen"/>
      <selection activeCell="A33" sqref="A33"/>
      <selection pane="bottomLeft" activeCell="J17" sqref="J17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SUM(C4:C84)</f>
        <v>72473</v>
      </c>
      <c r="D2" s="6">
        <f>SUM(D4:D84)</f>
        <v>49976.5</v>
      </c>
      <c r="E2" s="6">
        <f>C2-D2</f>
        <v>22496.5</v>
      </c>
      <c r="F2" s="7">
        <f>IFERROR(E2/D2, 0)</f>
        <v>0.45014156653627208</v>
      </c>
      <c r="G2" s="6">
        <f>SUM(G4:G84)</f>
        <v>0</v>
      </c>
      <c r="H2" s="8">
        <f>C2-G2</f>
        <v>72473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21093</v>
      </c>
      <c r="D4" s="14">
        <v>0</v>
      </c>
      <c r="E4" s="14">
        <f>IF(AND(ISNUMBER(C4),ISNUMBER(D4)), C4-D4, "")</f>
        <v>21093</v>
      </c>
      <c r="F4" s="15">
        <f>IFERROR(E4/D4, 0)</f>
        <v>0</v>
      </c>
      <c r="G4" s="16">
        <v>0</v>
      </c>
      <c r="H4" s="16">
        <f>IF(AND(ISNUMBER(C4),ISNUMBER(G4)), C4-G4, "")</f>
        <v>21093</v>
      </c>
      <c r="I4" s="17">
        <f>IFERROR(H4/G4, 0)</f>
        <v>0</v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>
        <v>26537</v>
      </c>
      <c r="D5" s="20">
        <v>24317.09</v>
      </c>
      <c r="E5" s="20">
        <f t="shared" ref="E5:E6" si="0">IF(AND(ISNUMBER(C5),ISNUMBER(D5)), C5-D5, "")</f>
        <v>2219.91</v>
      </c>
      <c r="F5" s="21">
        <f>IFERROR(E5/D5, "")</f>
        <v>9.1290117361904732E-2</v>
      </c>
      <c r="G5" s="22">
        <v>0</v>
      </c>
      <c r="H5" s="22">
        <f t="shared" ref="H5:H6" si="1">IF(AND(ISNUMBER(C5),ISNUMBER(G5)), C5-G5, "")</f>
        <v>26537</v>
      </c>
      <c r="I5" s="21">
        <f>IFERROR(H5/G5, 0)</f>
        <v>0</v>
      </c>
      <c r="J5" s="11"/>
      <c r="K5" s="19"/>
    </row>
    <row r="6" spans="1:11" ht="28.7" x14ac:dyDescent="0.4">
      <c r="A6" s="30" t="str">
        <v>AZ: COF Rio de Flag</v>
      </c>
      <c r="B6" s="31" t="str">
        <v>AZ</v>
      </c>
      <c r="C6" s="26">
        <v>24843</v>
      </c>
      <c r="D6" s="14">
        <v>25659.41</v>
      </c>
      <c r="E6" s="14">
        <f t="shared" si="0"/>
        <v>-816.40999999999985</v>
      </c>
      <c r="F6" s="15">
        <f t="shared" ref="F6" si="2">IFERROR(E6/D6, "")</f>
        <v>-3.1817177401974553E-2</v>
      </c>
      <c r="G6" s="16">
        <v>0</v>
      </c>
      <c r="H6" s="16">
        <f t="shared" si="1"/>
        <v>24843</v>
      </c>
      <c r="I6" s="17">
        <f>IFERROR(H6/G6, 0)</f>
        <v>0</v>
      </c>
      <c r="J6" s="18" t="s">
        <v>22</v>
      </c>
      <c r="K6" s="18" t="s">
        <v>23</v>
      </c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J6" sqref="J6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74421</v>
      </c>
      <c r="D2" s="6">
        <f>SUM(D4:D85)</f>
        <v>41480</v>
      </c>
      <c r="E2" s="6">
        <f>C2-D2</f>
        <v>32941</v>
      </c>
      <c r="F2" s="7">
        <f>IFERROR(E2/D2, 0)</f>
        <v>0.79414175506268081</v>
      </c>
      <c r="G2" s="6">
        <f>SUM(G4:G85)</f>
        <v>0</v>
      </c>
      <c r="H2" s="8">
        <f>C2-G2</f>
        <v>74421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19187</v>
      </c>
      <c r="D4" s="14">
        <v>0</v>
      </c>
      <c r="E4" s="14">
        <f>IF(AND(ISNUMBER(C4),ISNUMBER(D4)), C4-D4, "")</f>
        <v>19187</v>
      </c>
      <c r="F4" s="15" t="str">
        <f>IFERROR(E4/D4, "")</f>
        <v/>
      </c>
      <c r="G4" s="16">
        <v>0</v>
      </c>
      <c r="H4" s="16">
        <f>IF(AND(ISNUMBER(C4),ISNUMBER(G4)), C4-G4, "")</f>
        <v>19187</v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>
        <v>29462</v>
      </c>
      <c r="D5" s="20">
        <v>24923</v>
      </c>
      <c r="E5" s="20">
        <f t="shared" ref="E5:E6" si="0">IF(AND(ISNUMBER(C5),ISNUMBER(D5)), C5-D5, "")</f>
        <v>4539</v>
      </c>
      <c r="F5" s="21">
        <f>IFERROR(E5/D5, "")</f>
        <v>0.1821209324720138</v>
      </c>
      <c r="G5" s="22">
        <v>0</v>
      </c>
      <c r="H5" s="22">
        <f t="shared" ref="H5:H6" si="1">IF(AND(ISNUMBER(C5),ISNUMBER(G5)), C5-G5, "")</f>
        <v>29462</v>
      </c>
      <c r="I5" s="21" t="str">
        <f t="shared" ref="I5:I6" si="2">IFERROR(H5/G5, "")</f>
        <v/>
      </c>
      <c r="J5" s="11"/>
      <c r="K5" s="19"/>
    </row>
    <row r="6" spans="1:11" ht="28.7" x14ac:dyDescent="0.4">
      <c r="A6" s="30" t="str">
        <v>AZ: COF Rio de Flag</v>
      </c>
      <c r="B6" s="31" t="str">
        <v>AZ</v>
      </c>
      <c r="C6" s="26">
        <v>25772</v>
      </c>
      <c r="D6" s="14">
        <v>16557</v>
      </c>
      <c r="E6" s="14">
        <f t="shared" si="0"/>
        <v>9215</v>
      </c>
      <c r="F6" s="15">
        <f t="shared" ref="F6" si="3">IFERROR(E6/D6, "")</f>
        <v>0.55656217913873285</v>
      </c>
      <c r="G6" s="16">
        <v>0</v>
      </c>
      <c r="H6" s="16">
        <f t="shared" si="1"/>
        <v>25772</v>
      </c>
      <c r="I6" s="17" t="str">
        <f t="shared" si="2"/>
        <v/>
      </c>
      <c r="J6" s="18" t="s">
        <v>26</v>
      </c>
      <c r="K6" s="18" t="s">
        <v>27</v>
      </c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J23" sqref="J2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92285</v>
      </c>
      <c r="D2" s="6">
        <f>SUM(D4:D85)</f>
        <v>28615</v>
      </c>
      <c r="E2" s="6">
        <f>C2-D2</f>
        <v>63670</v>
      </c>
      <c r="F2" s="7">
        <f>IFERROR(E2/D2, 0)</f>
        <v>2.2250567883976937</v>
      </c>
      <c r="G2" s="6">
        <f>SUM(G4:G85)</f>
        <v>0</v>
      </c>
      <c r="H2" s="8">
        <f>C2-G2</f>
        <v>92285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33127</v>
      </c>
      <c r="D4" s="14">
        <v>0</v>
      </c>
      <c r="E4" s="14">
        <f>IF(AND(ISNUMBER(C4),ISNUMBER(D4)), C4-D4, "")</f>
        <v>33127</v>
      </c>
      <c r="F4" s="15" t="str">
        <f>IFERROR(E4/D4, "")</f>
        <v/>
      </c>
      <c r="G4" s="16">
        <v>0</v>
      </c>
      <c r="H4" s="16">
        <f>IF(AND(ISNUMBER(C4),ISNUMBER(G4)), C4-G4, "")</f>
        <v>33127</v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>
        <v>33035</v>
      </c>
      <c r="D5" s="20">
        <v>27019</v>
      </c>
      <c r="E5" s="20">
        <f t="shared" ref="E5:E6" si="0">IF(AND(ISNUMBER(C5),ISNUMBER(D5)), C5-D5, "")</f>
        <v>6016</v>
      </c>
      <c r="F5" s="21">
        <f>IFERROR(E5/D5, "")</f>
        <v>0.22265812946445093</v>
      </c>
      <c r="G5" s="22">
        <v>0</v>
      </c>
      <c r="H5" s="22">
        <f t="shared" ref="H5:H6" si="1">IF(AND(ISNUMBER(C5),ISNUMBER(G5)), C5-G5, "")</f>
        <v>33035</v>
      </c>
      <c r="I5" s="21" t="str">
        <f t="shared" ref="I5:I6" si="2">IFERROR(H5/G5, "")</f>
        <v/>
      </c>
      <c r="J5" s="11"/>
      <c r="K5" s="19"/>
    </row>
    <row r="6" spans="1:11" ht="28.7" x14ac:dyDescent="0.4">
      <c r="A6" s="30" t="str">
        <v>AZ: COF Rio de Flag</v>
      </c>
      <c r="B6" s="31" t="str">
        <v>AZ</v>
      </c>
      <c r="C6" s="26">
        <v>26123</v>
      </c>
      <c r="D6" s="14">
        <v>1596</v>
      </c>
      <c r="E6" s="14">
        <f t="shared" si="0"/>
        <v>24527</v>
      </c>
      <c r="F6" s="15">
        <f t="shared" ref="F6" si="3">IFERROR(E6/D6, "")</f>
        <v>15.367794486215539</v>
      </c>
      <c r="G6" s="16">
        <v>0</v>
      </c>
      <c r="H6" s="16">
        <f t="shared" si="1"/>
        <v>26123</v>
      </c>
      <c r="I6" s="17" t="str">
        <f t="shared" si="2"/>
        <v/>
      </c>
      <c r="J6" s="18" t="s">
        <v>30</v>
      </c>
      <c r="K6" s="18" t="s">
        <v>27</v>
      </c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31</v>
      </c>
      <c r="E1" s="46"/>
      <c r="F1" s="46"/>
      <c r="G1" s="44" t="s">
        <v>32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33</v>
      </c>
      <c r="E1" s="46"/>
      <c r="F1" s="46"/>
      <c r="G1" s="44" t="s">
        <v>34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37</v>
      </c>
      <c r="E1" s="46"/>
      <c r="F1" s="46"/>
      <c r="G1" s="44" t="s">
        <v>38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41</v>
      </c>
      <c r="E1" s="46"/>
      <c r="F1" s="46"/>
      <c r="G1" s="44" t="s">
        <v>42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45</v>
      </c>
      <c r="E1" s="46"/>
      <c r="F1" s="46"/>
      <c r="G1" s="44" t="s">
        <v>46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7"/>
  <sheetViews>
    <sheetView workbookViewId="0">
      <pane ySplit="2" topLeftCell="A3" activePane="bottomLeft" state="frozen"/>
      <selection activeCell="A33" sqref="A33"/>
      <selection pane="bottomLeft" activeCell="A33" sqref="A33"/>
    </sheetView>
  </sheetViews>
  <sheetFormatPr defaultRowHeight="13.7" x14ac:dyDescent="0.4"/>
  <cols>
    <col min="1" max="1" width="35.87890625" bestFit="1" customWidth="1"/>
    <col min="2" max="2" width="8.41015625" style="36" customWidth="1"/>
    <col min="3" max="3" width="11.703125" customWidth="1"/>
    <col min="4" max="5" width="13.29296875" customWidth="1"/>
    <col min="6" max="6" width="13.29296875" style="1" customWidth="1"/>
    <col min="7" max="8" width="13.29296875" customWidth="1"/>
    <col min="9" max="9" width="13.29296875" style="1" customWidth="1"/>
    <col min="10" max="10" width="71.5859375" customWidth="1"/>
    <col min="11" max="11" width="20.5859375" bestFit="1" customWidth="1"/>
  </cols>
  <sheetData>
    <row r="1" spans="1:11" ht="19.5" customHeight="1" x14ac:dyDescent="0.4">
      <c r="A1" s="45" t="str" cm="1">
        <f t="array" ref="A1">portfolio</f>
        <v>City of Flagstaff</v>
      </c>
      <c r="B1" s="45"/>
      <c r="C1" s="45"/>
      <c r="D1" s="46" t="s">
        <v>47</v>
      </c>
      <c r="E1" s="46"/>
      <c r="F1" s="46"/>
      <c r="G1" s="44" t="s">
        <v>48</v>
      </c>
      <c r="H1" s="44"/>
      <c r="I1" s="44"/>
      <c r="J1" s="5"/>
      <c r="K1" s="5"/>
    </row>
    <row r="2" spans="1:11" ht="19.5" customHeight="1" x14ac:dyDescent="0.4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4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" x14ac:dyDescent="0.55000000000000004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" x14ac:dyDescent="0.4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" x14ac:dyDescent="0.4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35" x14ac:dyDescent="0.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35" x14ac:dyDescent="0.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35" x14ac:dyDescent="0.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35" x14ac:dyDescent="0.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35" x14ac:dyDescent="0.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35" x14ac:dyDescent="0.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35" x14ac:dyDescent="0.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35" x14ac:dyDescent="0.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35" x14ac:dyDescent="0.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35" x14ac:dyDescent="0.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35" x14ac:dyDescent="0.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35" x14ac:dyDescent="0.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35" x14ac:dyDescent="0.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35" x14ac:dyDescent="0.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35" x14ac:dyDescent="0.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35" x14ac:dyDescent="0.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35" x14ac:dyDescent="0.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35" x14ac:dyDescent="0.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35" x14ac:dyDescent="0.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35" x14ac:dyDescent="0.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35" x14ac:dyDescent="0.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35" x14ac:dyDescent="0.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35" x14ac:dyDescent="0.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35" x14ac:dyDescent="0.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35" x14ac:dyDescent="0.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35" x14ac:dyDescent="0.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35" x14ac:dyDescent="0.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35" x14ac:dyDescent="0.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35" x14ac:dyDescent="0.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35" x14ac:dyDescent="0.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35" x14ac:dyDescent="0.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35" x14ac:dyDescent="0.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35" x14ac:dyDescent="0.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35" x14ac:dyDescent="0.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35" x14ac:dyDescent="0.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35" x14ac:dyDescent="0.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35" x14ac:dyDescent="0.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35" x14ac:dyDescent="0.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35" x14ac:dyDescent="0.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35" x14ac:dyDescent="0.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35" x14ac:dyDescent="0.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35" x14ac:dyDescent="0.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35" x14ac:dyDescent="0.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35" x14ac:dyDescent="0.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35" x14ac:dyDescent="0.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35" x14ac:dyDescent="0.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35" x14ac:dyDescent="0.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35" x14ac:dyDescent="0.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35" x14ac:dyDescent="0.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35" x14ac:dyDescent="0.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35" x14ac:dyDescent="0.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35" x14ac:dyDescent="0.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35" x14ac:dyDescent="0.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35" x14ac:dyDescent="0.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35" x14ac:dyDescent="0.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35" x14ac:dyDescent="0.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35" x14ac:dyDescent="0.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35" x14ac:dyDescent="0.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35" x14ac:dyDescent="0.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35" x14ac:dyDescent="0.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35" x14ac:dyDescent="0.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35" x14ac:dyDescent="0.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35" x14ac:dyDescent="0.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35" x14ac:dyDescent="0.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35" x14ac:dyDescent="0.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35" x14ac:dyDescent="0.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35" x14ac:dyDescent="0.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35" x14ac:dyDescent="0.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35" x14ac:dyDescent="0.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35" x14ac:dyDescent="0.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35" x14ac:dyDescent="0.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35" x14ac:dyDescent="0.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35" x14ac:dyDescent="0.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35" x14ac:dyDescent="0.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35" x14ac:dyDescent="0.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35" x14ac:dyDescent="0.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35" x14ac:dyDescent="0.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35" x14ac:dyDescent="0.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35" x14ac:dyDescent="0.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35" x14ac:dyDescent="0.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35" x14ac:dyDescent="0.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35" x14ac:dyDescent="0.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35" x14ac:dyDescent="0.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35" x14ac:dyDescent="0.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35" x14ac:dyDescent="0.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35" x14ac:dyDescent="0.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35" x14ac:dyDescent="0.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35" x14ac:dyDescent="0.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35" x14ac:dyDescent="0.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35" x14ac:dyDescent="0.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35" x14ac:dyDescent="0.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35" x14ac:dyDescent="0.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35" x14ac:dyDescent="0.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35" x14ac:dyDescent="0.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35" x14ac:dyDescent="0.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35" x14ac:dyDescent="0.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35" x14ac:dyDescent="0.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35" x14ac:dyDescent="0.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35" x14ac:dyDescent="0.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35" x14ac:dyDescent="0.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35" x14ac:dyDescent="0.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35" x14ac:dyDescent="0.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35" x14ac:dyDescent="0.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35" x14ac:dyDescent="0.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35" x14ac:dyDescent="0.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35" x14ac:dyDescent="0.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35" x14ac:dyDescent="0.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35" x14ac:dyDescent="0.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35" x14ac:dyDescent="0.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35" x14ac:dyDescent="0.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35" x14ac:dyDescent="0.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35" x14ac:dyDescent="0.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35" x14ac:dyDescent="0.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35" x14ac:dyDescent="0.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35" x14ac:dyDescent="0.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35" x14ac:dyDescent="0.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35" x14ac:dyDescent="0.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35" x14ac:dyDescent="0.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35" x14ac:dyDescent="0.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35" x14ac:dyDescent="0.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35" x14ac:dyDescent="0.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35" x14ac:dyDescent="0.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35" x14ac:dyDescent="0.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35" x14ac:dyDescent="0.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35" x14ac:dyDescent="0.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35" x14ac:dyDescent="0.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35" x14ac:dyDescent="0.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35" x14ac:dyDescent="0.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35" x14ac:dyDescent="0.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35" x14ac:dyDescent="0.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35" x14ac:dyDescent="0.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35" x14ac:dyDescent="0.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35" x14ac:dyDescent="0.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35" x14ac:dyDescent="0.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35" x14ac:dyDescent="0.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35" x14ac:dyDescent="0.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35" x14ac:dyDescent="0.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35" x14ac:dyDescent="0.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35" x14ac:dyDescent="0.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35" x14ac:dyDescent="0.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35" x14ac:dyDescent="0.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35" x14ac:dyDescent="0.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35" x14ac:dyDescent="0.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35" x14ac:dyDescent="0.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35" x14ac:dyDescent="0.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35" x14ac:dyDescent="0.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35" x14ac:dyDescent="0.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35" x14ac:dyDescent="0.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35" x14ac:dyDescent="0.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35" x14ac:dyDescent="0.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35" x14ac:dyDescent="0.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35" x14ac:dyDescent="0.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35" x14ac:dyDescent="0.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35" x14ac:dyDescent="0.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35" x14ac:dyDescent="0.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35" x14ac:dyDescent="0.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35" x14ac:dyDescent="0.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35" x14ac:dyDescent="0.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35" x14ac:dyDescent="0.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35" x14ac:dyDescent="0.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35" x14ac:dyDescent="0.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35" x14ac:dyDescent="0.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35" x14ac:dyDescent="0.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35" x14ac:dyDescent="0.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35" x14ac:dyDescent="0.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35" x14ac:dyDescent="0.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35" x14ac:dyDescent="0.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35" x14ac:dyDescent="0.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35" x14ac:dyDescent="0.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35" x14ac:dyDescent="0.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35" x14ac:dyDescent="0.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35" x14ac:dyDescent="0.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35" x14ac:dyDescent="0.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35" x14ac:dyDescent="0.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35" x14ac:dyDescent="0.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35" x14ac:dyDescent="0.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35" x14ac:dyDescent="0.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35" x14ac:dyDescent="0.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35" x14ac:dyDescent="0.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35" x14ac:dyDescent="0.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35" x14ac:dyDescent="0.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35" x14ac:dyDescent="0.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35" x14ac:dyDescent="0.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35" x14ac:dyDescent="0.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35" x14ac:dyDescent="0.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35" x14ac:dyDescent="0.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35" x14ac:dyDescent="0.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35" x14ac:dyDescent="0.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35" x14ac:dyDescent="0.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35" x14ac:dyDescent="0.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35" x14ac:dyDescent="0.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35" x14ac:dyDescent="0.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35" x14ac:dyDescent="0.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35" x14ac:dyDescent="0.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35" x14ac:dyDescent="0.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35" x14ac:dyDescent="0.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35" x14ac:dyDescent="0.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35" x14ac:dyDescent="0.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35" x14ac:dyDescent="0.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35" x14ac:dyDescent="0.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35" x14ac:dyDescent="0.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35" x14ac:dyDescent="0.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35" x14ac:dyDescent="0.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35" x14ac:dyDescent="0.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35" x14ac:dyDescent="0.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35" x14ac:dyDescent="0.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35" x14ac:dyDescent="0.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35" x14ac:dyDescent="0.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35" x14ac:dyDescent="0.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35" x14ac:dyDescent="0.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35" x14ac:dyDescent="0.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35" x14ac:dyDescent="0.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35" x14ac:dyDescent="0.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35" x14ac:dyDescent="0.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35" x14ac:dyDescent="0.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35" x14ac:dyDescent="0.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35" x14ac:dyDescent="0.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35" x14ac:dyDescent="0.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35" x14ac:dyDescent="0.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35" x14ac:dyDescent="0.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35" x14ac:dyDescent="0.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35" x14ac:dyDescent="0.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35" x14ac:dyDescent="0.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35" x14ac:dyDescent="0.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35" x14ac:dyDescent="0.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35" x14ac:dyDescent="0.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35" x14ac:dyDescent="0.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35" x14ac:dyDescent="0.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35" x14ac:dyDescent="0.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35" x14ac:dyDescent="0.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35" x14ac:dyDescent="0.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35" x14ac:dyDescent="0.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35" x14ac:dyDescent="0.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35" x14ac:dyDescent="0.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35" x14ac:dyDescent="0.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35" x14ac:dyDescent="0.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35" x14ac:dyDescent="0.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35" x14ac:dyDescent="0.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35" x14ac:dyDescent="0.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35" x14ac:dyDescent="0.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35" x14ac:dyDescent="0.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35" x14ac:dyDescent="0.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35" x14ac:dyDescent="0.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35" x14ac:dyDescent="0.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35" x14ac:dyDescent="0.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35" x14ac:dyDescent="0.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35" x14ac:dyDescent="0.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35" x14ac:dyDescent="0.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35" x14ac:dyDescent="0.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35" x14ac:dyDescent="0.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35" x14ac:dyDescent="0.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35" x14ac:dyDescent="0.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35" x14ac:dyDescent="0.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35" x14ac:dyDescent="0.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35" x14ac:dyDescent="0.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35" x14ac:dyDescent="0.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35" x14ac:dyDescent="0.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35" x14ac:dyDescent="0.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35" x14ac:dyDescent="0.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35" x14ac:dyDescent="0.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35" x14ac:dyDescent="0.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35" x14ac:dyDescent="0.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35" x14ac:dyDescent="0.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35" x14ac:dyDescent="0.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35" x14ac:dyDescent="0.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35" x14ac:dyDescent="0.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35" x14ac:dyDescent="0.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35" x14ac:dyDescent="0.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35" x14ac:dyDescent="0.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35" x14ac:dyDescent="0.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35" x14ac:dyDescent="0.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35" x14ac:dyDescent="0.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35" x14ac:dyDescent="0.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35" x14ac:dyDescent="0.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35" x14ac:dyDescent="0.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35" x14ac:dyDescent="0.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35" x14ac:dyDescent="0.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35" x14ac:dyDescent="0.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35" x14ac:dyDescent="0.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35" x14ac:dyDescent="0.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35" x14ac:dyDescent="0.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35" x14ac:dyDescent="0.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35" x14ac:dyDescent="0.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35" x14ac:dyDescent="0.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35" x14ac:dyDescent="0.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35" x14ac:dyDescent="0.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35" x14ac:dyDescent="0.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35" x14ac:dyDescent="0.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35" x14ac:dyDescent="0.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35" x14ac:dyDescent="0.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35" x14ac:dyDescent="0.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35" x14ac:dyDescent="0.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35" x14ac:dyDescent="0.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35" x14ac:dyDescent="0.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35" x14ac:dyDescent="0.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35" x14ac:dyDescent="0.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35" x14ac:dyDescent="0.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35" x14ac:dyDescent="0.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35" x14ac:dyDescent="0.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35" x14ac:dyDescent="0.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35" x14ac:dyDescent="0.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35" x14ac:dyDescent="0.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35" x14ac:dyDescent="0.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35" x14ac:dyDescent="0.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35" x14ac:dyDescent="0.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35" x14ac:dyDescent="0.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35" x14ac:dyDescent="0.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35" x14ac:dyDescent="0.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35" x14ac:dyDescent="0.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35" x14ac:dyDescent="0.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35" x14ac:dyDescent="0.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35" x14ac:dyDescent="0.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35" x14ac:dyDescent="0.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35" x14ac:dyDescent="0.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35" x14ac:dyDescent="0.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35" x14ac:dyDescent="0.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35" x14ac:dyDescent="0.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35" x14ac:dyDescent="0.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35" x14ac:dyDescent="0.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35" x14ac:dyDescent="0.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" x14ac:dyDescent="0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activeCell="A33" sqref="A33"/>
      <selection pane="bottomLeft" activeCell="J23" sqref="J23"/>
    </sheetView>
  </sheetViews>
  <sheetFormatPr defaultRowHeight="12.75" customHeight="1" x14ac:dyDescent="0.4"/>
  <cols>
    <col min="1" max="2" width="41.87890625" customWidth="1"/>
    <col min="4" max="4" width="9.1171875" customWidth="1"/>
    <col min="5" max="5" width="18.29296875" customWidth="1"/>
    <col min="6" max="14" width="9.1171875" customWidth="1"/>
  </cols>
  <sheetData>
    <row r="1" spans="1:7" ht="12.75" customHeight="1" x14ac:dyDescent="0.4">
      <c r="A1" t="s">
        <v>49</v>
      </c>
      <c r="B1" s="37" t="s">
        <v>50</v>
      </c>
    </row>
    <row r="3" spans="1:7" ht="12.7" x14ac:dyDescent="0.4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35" x14ac:dyDescent="0.5">
      <c r="A4" s="37" t="s">
        <v>54</v>
      </c>
      <c r="B4" s="37" t="s">
        <v>54</v>
      </c>
      <c r="C4" s="4" t="s">
        <v>55</v>
      </c>
      <c r="G4" s="3"/>
    </row>
    <row r="5" spans="1:7" ht="14.35" x14ac:dyDescent="0.5">
      <c r="A5" s="37" t="s">
        <v>56</v>
      </c>
      <c r="B5" s="37" t="s">
        <v>56</v>
      </c>
      <c r="C5" s="4" t="s">
        <v>55</v>
      </c>
      <c r="G5" s="3"/>
    </row>
    <row r="6" spans="1:7" ht="14.35" x14ac:dyDescent="0.5">
      <c r="A6" s="37" t="s">
        <v>57</v>
      </c>
      <c r="B6" s="37" t="s">
        <v>57</v>
      </c>
      <c r="C6" s="4" t="s">
        <v>55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9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3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6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7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8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9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20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[AGS]</cp:lastModifiedBy>
  <cp:revision/>
  <dcterms:created xsi:type="dcterms:W3CDTF">2021-01-01T16:39:53Z</dcterms:created>
  <dcterms:modified xsi:type="dcterms:W3CDTF">2024-04-09T09:09:07Z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