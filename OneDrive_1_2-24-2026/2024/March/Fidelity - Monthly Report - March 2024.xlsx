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6C758A77-FCF8-4FD4-9B53-B897F19AB18B}" xr6:coauthVersionLast="47" xr6:coauthVersionMax="47" xr10:uidLastSave="{00000000-0000-0000-0000-000000000000}"/>
  <bookViews>
    <workbookView xWindow="-28920" yWindow="7725" windowWidth="29040" windowHeight="15720" tabRatio="713" activeTab="5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6" l="1"/>
  <c r="J13" i="36"/>
  <c r="J10" i="36"/>
  <c r="J13" i="18"/>
  <c r="J13" i="12"/>
  <c r="J10" i="12"/>
  <c r="J7" i="12"/>
  <c r="J10" i="18"/>
  <c r="J7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L90" i="33"/>
  <c r="I90" i="33"/>
  <c r="F90" i="33"/>
  <c r="N89" i="33"/>
  <c r="M89" i="33"/>
  <c r="L89" i="33"/>
  <c r="I89" i="33"/>
  <c r="F89" i="33"/>
  <c r="N88" i="33"/>
  <c r="M88" i="33"/>
  <c r="L88" i="33"/>
  <c r="I88" i="33"/>
  <c r="F88" i="33"/>
  <c r="N87" i="33"/>
  <c r="M87" i="33"/>
  <c r="L87" i="33"/>
  <c r="I87" i="33"/>
  <c r="F87" i="33"/>
  <c r="N86" i="33"/>
  <c r="M86" i="33"/>
  <c r="L86" i="33"/>
  <c r="I86" i="33"/>
  <c r="F86" i="33"/>
  <c r="N85" i="33"/>
  <c r="M85" i="33"/>
  <c r="L85" i="33"/>
  <c r="I85" i="33"/>
  <c r="F85" i="33"/>
  <c r="N84" i="33"/>
  <c r="M84" i="33"/>
  <c r="L84" i="33"/>
  <c r="I84" i="33"/>
  <c r="F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J8" i="18"/>
  <c r="J6" i="18"/>
  <c r="G91" i="33" s="1"/>
  <c r="N72" i="33"/>
  <c r="M72" i="33"/>
  <c r="L72" i="33"/>
  <c r="F72" i="33"/>
  <c r="J8" i="12"/>
  <c r="J6" i="12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J8" i="36"/>
  <c r="J6" i="36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O84" i="33"/>
  <c r="O87" i="33"/>
  <c r="F91" i="33"/>
  <c r="O81" i="33"/>
  <c r="O86" i="33"/>
  <c r="O89" i="33"/>
  <c r="N91" i="33"/>
  <c r="O83" i="33"/>
  <c r="O88" i="33"/>
  <c r="O82" i="33"/>
  <c r="O85" i="33"/>
  <c r="O90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<sst xmlns="http://schemas.openxmlformats.org/spreadsheetml/2006/main" count="505" uniqueCount="91">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</sst>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" fontId="0" fillId="0" borderId="18" xfId="0" applyNumberFormat="1" applyBorder="1" applyAlignment="1">
      <alignment horizontal="right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1" fontId="0" fillId="0" borderId="20" xfId="0" applyNumberFormat="1" applyBorder="1" applyAlignment="1">
      <alignment horizontal="right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" fontId="0" fillId="0" borderId="22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14878.38</c:v>
                </c:pt>
                <c:pt idx="1">
                  <c:v>2760.5</c:v>
                </c:pt>
                <c:pt idx="2">
                  <c:v>8766.375</c:v>
                </c:pt>
                <c:pt idx="3">
                  <c:v>6377.875</c:v>
                </c:pt>
                <c:pt idx="4">
                  <c:v>2000.5</c:v>
                </c:pt>
                <c:pt idx="5">
                  <c:v>6023.625</c:v>
                </c:pt>
                <c:pt idx="6">
                  <c:v>3002.875</c:v>
                </c:pt>
                <c:pt idx="7">
                  <c:v>15539</c:v>
                </c:pt>
                <c:pt idx="8">
                  <c:v>3752</c:v>
                </c:pt>
                <c:pt idx="9">
                  <c:v>7723.125</c:v>
                </c:pt>
                <c:pt idx="10">
                  <c:v>10607.62</c:v>
                </c:pt>
                <c:pt idx="11">
                  <c:v>15999.5</c:v>
                </c:pt>
                <c:pt idx="12">
                  <c:v>14994.5</c:v>
                </c:pt>
                <c:pt idx="13">
                  <c:v>15011.12</c:v>
                </c:pt>
                <c:pt idx="14">
                  <c:v>2480.875</c:v>
                </c:pt>
                <c:pt idx="15">
                  <c:v>11095.62</c:v>
                </c:pt>
                <c:pt idx="16">
                  <c:v>7613.125</c:v>
                </c:pt>
                <c:pt idx="17">
                  <c:v>12717.88</c:v>
                </c:pt>
                <c:pt idx="18">
                  <c:v>11794.62</c:v>
                </c:pt>
                <c:pt idx="19">
                  <c:v>7603.125</c:v>
                </c:pt>
                <c:pt idx="20">
                  <c:v>16837.25</c:v>
                </c:pt>
                <c:pt idx="21">
                  <c:v>13610.5</c:v>
                </c:pt>
                <c:pt idx="22">
                  <c:v>142.5</c:v>
                </c:pt>
                <c:pt idx="23">
                  <c:v>11711.5</c:v>
                </c:pt>
                <c:pt idx="24">
                  <c:v>15250</c:v>
                </c:pt>
                <c:pt idx="25">
                  <c:v>4307.125</c:v>
                </c:pt>
                <c:pt idx="26">
                  <c:v>7482.75</c:v>
                </c:pt>
                <c:pt idx="27">
                  <c:v>2278.625</c:v>
                </c:pt>
                <c:pt idx="28">
                  <c:v>7932.125</c:v>
                </c:pt>
                <c:pt idx="29">
                  <c:v>17368.12</c:v>
                </c:pt>
                <c:pt idx="30">
                  <c:v>13211.75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6445.3909999999996</c:v>
                </c:pt>
                <c:pt idx="1">
                  <c:v>1091.473</c:v>
                </c:pt>
                <c:pt idx="2">
                  <c:v>3967.415</c:v>
                </c:pt>
                <c:pt idx="3">
                  <c:v>2716.5369999999998</c:v>
                </c:pt>
                <c:pt idx="4">
                  <c:v>784.68050000000005</c:v>
                </c:pt>
                <c:pt idx="5">
                  <c:v>2412.913</c:v>
                </c:pt>
                <c:pt idx="6">
                  <c:v>1168.856</c:v>
                </c:pt>
                <c:pt idx="7">
                  <c:v>6967.8040000000001</c:v>
                </c:pt>
                <c:pt idx="8">
                  <c:v>1467.663</c:v>
                </c:pt>
                <c:pt idx="9">
                  <c:v>3277.6419999999998</c:v>
                </c:pt>
                <c:pt idx="10">
                  <c:v>4550.2209999999995</c:v>
                </c:pt>
                <c:pt idx="11">
                  <c:v>7134.5959999999995</c:v>
                </c:pt>
                <c:pt idx="12">
                  <c:v>6659.5420000000004</c:v>
                </c:pt>
                <c:pt idx="13">
                  <c:v>6776.6139999999996</c:v>
                </c:pt>
                <c:pt idx="14">
                  <c:v>985.22140000000002</c:v>
                </c:pt>
                <c:pt idx="15">
                  <c:v>5013.7430000000004</c:v>
                </c:pt>
                <c:pt idx="16">
                  <c:v>3406.3090000000002</c:v>
                </c:pt>
                <c:pt idx="17">
                  <c:v>5824.3959999999997</c:v>
                </c:pt>
                <c:pt idx="18">
                  <c:v>5444.9110000000001</c:v>
                </c:pt>
                <c:pt idx="19">
                  <c:v>3182.1880000000001</c:v>
                </c:pt>
                <c:pt idx="20">
                  <c:v>7718.5050000000001</c:v>
                </c:pt>
                <c:pt idx="21">
                  <c:v>5831.8890000000001</c:v>
                </c:pt>
                <c:pt idx="22">
                  <c:v>485.54820000000001</c:v>
                </c:pt>
                <c:pt idx="23">
                  <c:v>7118.32</c:v>
                </c:pt>
                <c:pt idx="24">
                  <c:v>6439.86</c:v>
                </c:pt>
                <c:pt idx="25">
                  <c:v>1649.1790000000001</c:v>
                </c:pt>
                <c:pt idx="26">
                  <c:v>3125.683</c:v>
                </c:pt>
                <c:pt idx="27">
                  <c:v>901.23770000000002</c:v>
                </c:pt>
                <c:pt idx="28">
                  <c:v>3204.2469999999998</c:v>
                </c:pt>
                <c:pt idx="29">
                  <c:v>7798.3850000000002</c:v>
                </c:pt>
                <c:pt idx="30">
                  <c:v>5961.6369999999997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16196.5</c:v>
                </c:pt>
                <c:pt idx="1">
                  <c:v>4024.75</c:v>
                </c:pt>
                <c:pt idx="2">
                  <c:v>13636</c:v>
                </c:pt>
                <c:pt idx="3">
                  <c:v>15271.25</c:v>
                </c:pt>
                <c:pt idx="4">
                  <c:v>3111.75</c:v>
                </c:pt>
                <c:pt idx="5">
                  <c:v>5029.25</c:v>
                </c:pt>
                <c:pt idx="6">
                  <c:v>3336.25</c:v>
                </c:pt>
                <c:pt idx="7">
                  <c:v>19111.5</c:v>
                </c:pt>
                <c:pt idx="8">
                  <c:v>2982.25</c:v>
                </c:pt>
                <c:pt idx="9">
                  <c:v>12133.5</c:v>
                </c:pt>
                <c:pt idx="10">
                  <c:v>15594.5</c:v>
                </c:pt>
                <c:pt idx="11">
                  <c:v>19590.25</c:v>
                </c:pt>
                <c:pt idx="12">
                  <c:v>19074.75</c:v>
                </c:pt>
                <c:pt idx="13">
                  <c:v>18522.25</c:v>
                </c:pt>
                <c:pt idx="14">
                  <c:v>4799.75</c:v>
                </c:pt>
                <c:pt idx="15">
                  <c:v>14292.5</c:v>
                </c:pt>
                <c:pt idx="16">
                  <c:v>12217.75</c:v>
                </c:pt>
                <c:pt idx="17">
                  <c:v>16038</c:v>
                </c:pt>
                <c:pt idx="18">
                  <c:v>15295.25</c:v>
                </c:pt>
                <c:pt idx="19">
                  <c:v>10235.5</c:v>
                </c:pt>
                <c:pt idx="20">
                  <c:v>20794.5</c:v>
                </c:pt>
                <c:pt idx="21">
                  <c:v>17846.25</c:v>
                </c:pt>
                <c:pt idx="22">
                  <c:v>1363.25</c:v>
                </c:pt>
                <c:pt idx="23">
                  <c:v>17404.5</c:v>
                </c:pt>
                <c:pt idx="24">
                  <c:v>16717.5</c:v>
                </c:pt>
                <c:pt idx="25">
                  <c:v>5446</c:v>
                </c:pt>
                <c:pt idx="26">
                  <c:v>12071</c:v>
                </c:pt>
                <c:pt idx="27">
                  <c:v>2321.5</c:v>
                </c:pt>
                <c:pt idx="28">
                  <c:v>11303.25</c:v>
                </c:pt>
                <c:pt idx="29">
                  <c:v>21296</c:v>
                </c:pt>
                <c:pt idx="30">
                  <c:v>17792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4741.9979999999996</c:v>
                </c:pt>
                <c:pt idx="1">
                  <c:v>1118.596</c:v>
                </c:pt>
                <c:pt idx="2">
                  <c:v>4214.3280000000004</c:v>
                </c:pt>
                <c:pt idx="3">
                  <c:v>4640.1980000000003</c:v>
                </c:pt>
                <c:pt idx="4">
                  <c:v>852.01099999999997</c:v>
                </c:pt>
                <c:pt idx="5">
                  <c:v>1426.3150000000001</c:v>
                </c:pt>
                <c:pt idx="6">
                  <c:v>918.52139999999997</c:v>
                </c:pt>
                <c:pt idx="7">
                  <c:v>5845.3620000000001</c:v>
                </c:pt>
                <c:pt idx="8">
                  <c:v>836.25490000000002</c:v>
                </c:pt>
                <c:pt idx="9">
                  <c:v>3591.4360000000001</c:v>
                </c:pt>
                <c:pt idx="10">
                  <c:v>5012.2709999999997</c:v>
                </c:pt>
                <c:pt idx="11">
                  <c:v>5993.7560000000003</c:v>
                </c:pt>
                <c:pt idx="12">
                  <c:v>5828.9709999999995</c:v>
                </c:pt>
                <c:pt idx="13">
                  <c:v>5704.3220000000001</c:v>
                </c:pt>
                <c:pt idx="14">
                  <c:v>1337.1980000000001</c:v>
                </c:pt>
                <c:pt idx="15">
                  <c:v>4433.1109999999999</c:v>
                </c:pt>
                <c:pt idx="16">
                  <c:v>3847.4430000000002</c:v>
                </c:pt>
                <c:pt idx="17">
                  <c:v>5128.7690000000002</c:v>
                </c:pt>
                <c:pt idx="18">
                  <c:v>4809.9290000000001</c:v>
                </c:pt>
                <c:pt idx="19">
                  <c:v>2935.38</c:v>
                </c:pt>
                <c:pt idx="20">
                  <c:v>6354.848</c:v>
                </c:pt>
                <c:pt idx="21">
                  <c:v>5323.9579999999996</c:v>
                </c:pt>
                <c:pt idx="22">
                  <c:v>370.06810000000002</c:v>
                </c:pt>
                <c:pt idx="23">
                  <c:v>5073.049</c:v>
                </c:pt>
                <c:pt idx="24">
                  <c:v>4705.0159999999996</c:v>
                </c:pt>
                <c:pt idx="25">
                  <c:v>1458.4110000000001</c:v>
                </c:pt>
                <c:pt idx="26">
                  <c:v>3512.1010000000001</c:v>
                </c:pt>
                <c:pt idx="27">
                  <c:v>649.72990000000004</c:v>
                </c:pt>
                <c:pt idx="28">
                  <c:v>3290.1849999999999</c:v>
                </c:pt>
                <c:pt idx="29">
                  <c:v>6783.6589999999997</c:v>
                </c:pt>
                <c:pt idx="30">
                  <c:v>5515.3289999999997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20447.499999999069</c:v>
                </c:pt>
                <c:pt idx="1">
                  <c:v>18953</c:v>
                </c:pt>
                <c:pt idx="2">
                  <c:v>19147</c:v>
                </c:pt>
                <c:pt idx="3">
                  <c:v>15676</c:v>
                </c:pt>
                <c:pt idx="4">
                  <c:v>19521.5</c:v>
                </c:pt>
                <c:pt idx="5">
                  <c:v>19057</c:v>
                </c:pt>
                <c:pt idx="6">
                  <c:v>1066.5</c:v>
                </c:pt>
                <c:pt idx="7">
                  <c:v>9112.5</c:v>
                </c:pt>
                <c:pt idx="8">
                  <c:v>19872.5</c:v>
                </c:pt>
                <c:pt idx="9">
                  <c:v>20260</c:v>
                </c:pt>
                <c:pt idx="10">
                  <c:v>17196</c:v>
                </c:pt>
                <c:pt idx="11">
                  <c:v>15169.5</c:v>
                </c:pt>
                <c:pt idx="12">
                  <c:v>17563</c:v>
                </c:pt>
                <c:pt idx="13">
                  <c:v>7172</c:v>
                </c:pt>
                <c:pt idx="14">
                  <c:v>4477</c:v>
                </c:pt>
                <c:pt idx="15">
                  <c:v>1114.5</c:v>
                </c:pt>
                <c:pt idx="16">
                  <c:v>10435.5</c:v>
                </c:pt>
                <c:pt idx="17">
                  <c:v>21520</c:v>
                </c:pt>
                <c:pt idx="18">
                  <c:v>20932.5</c:v>
                </c:pt>
                <c:pt idx="19">
                  <c:v>16573</c:v>
                </c:pt>
                <c:pt idx="20">
                  <c:v>6221.5</c:v>
                </c:pt>
                <c:pt idx="21">
                  <c:v>8406.5</c:v>
                </c:pt>
                <c:pt idx="22">
                  <c:v>19535.5</c:v>
                </c:pt>
                <c:pt idx="23">
                  <c:v>5157</c:v>
                </c:pt>
                <c:pt idx="24">
                  <c:v>15105.5</c:v>
                </c:pt>
                <c:pt idx="25">
                  <c:v>23108</c:v>
                </c:pt>
                <c:pt idx="26">
                  <c:v>18060</c:v>
                </c:pt>
                <c:pt idx="27">
                  <c:v>22015</c:v>
                </c:pt>
                <c:pt idx="28">
                  <c:v>13753.5</c:v>
                </c:pt>
                <c:pt idx="29">
                  <c:v>16718.5</c:v>
                </c:pt>
                <c:pt idx="30">
                  <c:v>6487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7293.915</c:v>
                </c:pt>
                <c:pt idx="1">
                  <c:v>6782.88</c:v>
                </c:pt>
                <c:pt idx="2">
                  <c:v>6803.808</c:v>
                </c:pt>
                <c:pt idx="3">
                  <c:v>5739.1549999999997</c:v>
                </c:pt>
                <c:pt idx="4">
                  <c:v>6909.0529999999999</c:v>
                </c:pt>
                <c:pt idx="5">
                  <c:v>6644.4229999999998</c:v>
                </c:pt>
                <c:pt idx="6">
                  <c:v>228</c:v>
                </c:pt>
                <c:pt idx="7">
                  <c:v>3075.9560000000001</c:v>
                </c:pt>
                <c:pt idx="8">
                  <c:v>7540.7129999999997</c:v>
                </c:pt>
                <c:pt idx="9">
                  <c:v>7575.107</c:v>
                </c:pt>
                <c:pt idx="10">
                  <c:v>6402.6850000000004</c:v>
                </c:pt>
                <c:pt idx="11">
                  <c:v>5579.3029999999999</c:v>
                </c:pt>
                <c:pt idx="12">
                  <c:v>6878.5039999999999</c:v>
                </c:pt>
                <c:pt idx="13">
                  <c:v>2289.3580000000002</c:v>
                </c:pt>
                <c:pt idx="14">
                  <c:v>1275.2719999999999</c:v>
                </c:pt>
                <c:pt idx="15">
                  <c:v>245</c:v>
                </c:pt>
                <c:pt idx="16">
                  <c:v>3462.1039999999998</c:v>
                </c:pt>
                <c:pt idx="17">
                  <c:v>8106.9939999999997</c:v>
                </c:pt>
                <c:pt idx="18">
                  <c:v>7963.6610000000001</c:v>
                </c:pt>
                <c:pt idx="19">
                  <c:v>5918.9979999999996</c:v>
                </c:pt>
                <c:pt idx="20">
                  <c:v>1663.704</c:v>
                </c:pt>
                <c:pt idx="21">
                  <c:v>2890.4290000000001</c:v>
                </c:pt>
                <c:pt idx="22">
                  <c:v>7104.5640000000003</c:v>
                </c:pt>
                <c:pt idx="23">
                  <c:v>1484.3209999999999</c:v>
                </c:pt>
                <c:pt idx="24">
                  <c:v>5866.1260000000002</c:v>
                </c:pt>
                <c:pt idx="25">
                  <c:v>9162.7330000000002</c:v>
                </c:pt>
                <c:pt idx="26">
                  <c:v>6475.08</c:v>
                </c:pt>
                <c:pt idx="27">
                  <c:v>8869.9930000000004</c:v>
                </c:pt>
                <c:pt idx="28">
                  <c:v>6583.4639999999999</c:v>
                </c:pt>
                <c:pt idx="29">
                  <c:v>6049.16</c:v>
                </c:pt>
                <c:pt idx="30">
                  <c:v>1763.366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J27" sqref="J27"/>
    </sheetView>
  </sheetViews>
  <sheetFormatPr defaultRowHeight="14.25" x14ac:dyDescent="0.45"/>
  <cols>
    <col min="23" max="23" width="12.59765625" customWidth="1"/>
  </cols>
  <sheetData>
    <row r="1" spans="1:31" x14ac:dyDescent="0.45">
      <c r="A1" s="167" t="s">
        <v>0</v>
      </c>
      <c r="B1" s="168"/>
      <c r="C1" s="168"/>
      <c r="D1" s="168"/>
      <c r="E1" s="169"/>
      <c r="F1" s="161" t="s">
        <v>1</v>
      </c>
      <c r="G1" s="162"/>
      <c r="H1" s="162"/>
      <c r="I1" s="162"/>
      <c r="J1" s="162"/>
      <c r="K1" s="16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45">
      <c r="A2" s="170" t="s">
        <v>2</v>
      </c>
      <c r="B2" s="171"/>
      <c r="C2" s="171"/>
      <c r="D2" s="171"/>
      <c r="E2" s="171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45">
      <c r="A3" s="163" t="s">
        <v>4</v>
      </c>
      <c r="B3" s="164"/>
      <c r="C3" s="164"/>
      <c r="D3" s="164"/>
      <c r="E3" s="164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 x14ac:dyDescent="0.45">
      <c r="A4" s="163" t="s">
        <v>6</v>
      </c>
      <c r="B4" s="164"/>
      <c r="C4" s="164"/>
      <c r="D4" s="164"/>
      <c r="E4" s="164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 x14ac:dyDescent="0.45">
      <c r="A5" s="163" t="s">
        <v>8</v>
      </c>
      <c r="B5" s="164"/>
      <c r="C5" s="164"/>
      <c r="D5" s="164"/>
      <c r="E5" s="164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45">
      <c r="A6" s="163" t="s">
        <v>10</v>
      </c>
      <c r="B6" s="164"/>
      <c r="C6" s="164"/>
      <c r="D6" s="164"/>
      <c r="E6" s="164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45">
      <c r="A7" s="163" t="s">
        <v>12</v>
      </c>
      <c r="B7" s="164"/>
      <c r="C7" s="164"/>
      <c r="D7" s="164"/>
      <c r="E7" s="164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45">
      <c r="A8" s="163" t="s">
        <v>14</v>
      </c>
      <c r="B8" s="164"/>
      <c r="C8" s="164"/>
      <c r="D8" s="164"/>
      <c r="E8" s="164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45">
      <c r="A9" s="163" t="s">
        <v>16</v>
      </c>
      <c r="B9" s="164"/>
      <c r="C9" s="164"/>
      <c r="D9" s="164"/>
      <c r="E9" s="164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45">
      <c r="A10" s="163" t="s">
        <v>18</v>
      </c>
      <c r="B10" s="164"/>
      <c r="C10" s="164"/>
      <c r="D10" s="164"/>
      <c r="E10" s="164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45">
      <c r="A11" s="165" t="s">
        <v>20</v>
      </c>
      <c r="B11" s="166"/>
      <c r="C11" s="166"/>
      <c r="D11" s="166"/>
      <c r="E11" s="166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45"/>
    <row r="13" spans="1:31" ht="16.350000000000001" customHeight="1" x14ac:dyDescent="0.45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2"/>
  <sheetViews>
    <sheetView topLeftCell="A12" zoomScale="90" zoomScaleNormal="90" workbookViewId="0">
      <selection activeCell="J14" sqref="J14"/>
    </sheetView>
  </sheetViews>
  <sheetFormatPr defaultRowHeight="14.25" x14ac:dyDescent="0.45"/>
  <cols>
    <col min="6" max="6" width="13.73046875" customWidth="1" collapsed="1"/>
    <col min="7" max="7" width="20" bestFit="1" customWidth="1"/>
    <col min="8" max="8" width="17.3984375" bestFit="1" customWidth="1"/>
    <col min="9" max="9" width="10.73046875" customWidth="1"/>
  </cols>
  <sheetData>
    <row r="1" spans="3:13" ht="18" x14ac:dyDescent="0.55000000000000004">
      <c r="E1" s="173" t="s">
        <v>22</v>
      </c>
      <c r="F1" s="173"/>
      <c r="G1" s="173"/>
      <c r="H1" s="173"/>
      <c r="I1" s="173"/>
      <c r="J1" s="173"/>
    </row>
    <row r="2" spans="3:13" x14ac:dyDescent="0.45">
      <c r="E2" s="174" t="s">
        <v>23</v>
      </c>
      <c r="F2" s="174"/>
      <c r="G2" s="174"/>
      <c r="H2" s="174"/>
      <c r="I2" s="174"/>
      <c r="J2" s="174"/>
    </row>
    <row r="3" spans="3:13" x14ac:dyDescent="0.45">
      <c r="E3" s="175" t="s">
        <v>90</v>
      </c>
      <c r="F3" s="176"/>
      <c r="G3" s="176"/>
      <c r="H3" s="176"/>
      <c r="I3" s="176"/>
      <c r="J3" s="176"/>
    </row>
    <row r="5" spans="3:13" x14ac:dyDescent="0.45">
      <c r="C5" s="177" t="s">
        <v>24</v>
      </c>
      <c r="D5" s="178"/>
      <c r="E5" s="178"/>
      <c r="F5" s="178"/>
      <c r="G5" s="178"/>
      <c r="H5" s="178"/>
      <c r="I5" s="178"/>
      <c r="J5" s="178"/>
      <c r="K5" s="178"/>
      <c r="L5" s="179"/>
    </row>
    <row r="6" spans="3:13" x14ac:dyDescent="0.45">
      <c r="C6" s="20"/>
      <c r="D6" s="21"/>
      <c r="E6" s="168" t="s">
        <v>2</v>
      </c>
      <c r="F6" s="168"/>
      <c r="G6" s="168"/>
      <c r="H6" s="168"/>
      <c r="I6" s="168"/>
      <c r="J6" s="22">
        <f>SUM(G32:G62)</f>
        <v>290874.48499999999</v>
      </c>
      <c r="K6" s="21" t="s">
        <v>25</v>
      </c>
      <c r="L6" s="23"/>
    </row>
    <row r="7" spans="3:13" x14ac:dyDescent="0.45">
      <c r="C7" s="3"/>
      <c r="D7" s="2"/>
      <c r="E7" s="172" t="s">
        <v>4</v>
      </c>
      <c r="F7" s="172"/>
      <c r="G7" s="172"/>
      <c r="H7" s="172"/>
      <c r="I7" s="172"/>
      <c r="J7" s="8">
        <f>'Predicted Data'!D19</f>
        <v>315967.90000000002</v>
      </c>
      <c r="K7" s="69"/>
      <c r="L7" s="4"/>
    </row>
    <row r="8" spans="3:13" ht="15.75" x14ac:dyDescent="0.45">
      <c r="C8" s="3"/>
      <c r="D8" s="2"/>
      <c r="E8" s="172" t="s">
        <v>6</v>
      </c>
      <c r="F8" s="172"/>
      <c r="G8" s="172"/>
      <c r="H8" s="172"/>
      <c r="I8" s="172"/>
      <c r="J8" s="8">
        <f>SUM(H32:H62)</f>
        <v>129512.60680000001</v>
      </c>
      <c r="K8" s="2" t="s">
        <v>25</v>
      </c>
      <c r="L8" s="4"/>
    </row>
    <row r="9" spans="3:13" ht="15.75" x14ac:dyDescent="0.45">
      <c r="C9" s="3"/>
      <c r="D9" s="2"/>
      <c r="E9" s="172" t="s">
        <v>8</v>
      </c>
      <c r="F9" s="172"/>
      <c r="G9" s="172"/>
      <c r="H9" s="172"/>
      <c r="I9" s="172"/>
      <c r="J9" s="79"/>
      <c r="K9" s="69"/>
      <c r="L9" s="4"/>
    </row>
    <row r="10" spans="3:13" x14ac:dyDescent="0.45">
      <c r="C10" s="3"/>
      <c r="D10" s="2"/>
      <c r="E10" s="172" t="s">
        <v>10</v>
      </c>
      <c r="F10" s="172"/>
      <c r="G10" s="172"/>
      <c r="H10" s="172"/>
      <c r="I10" s="172"/>
      <c r="J10" s="85">
        <f>'Plant Health'!H81</f>
        <v>290005</v>
      </c>
      <c r="K10" s="2" t="s">
        <v>25</v>
      </c>
      <c r="L10" s="4"/>
    </row>
    <row r="11" spans="3:13" x14ac:dyDescent="0.45">
      <c r="C11" s="3"/>
      <c r="D11" s="2"/>
      <c r="E11" s="172" t="s">
        <v>12</v>
      </c>
      <c r="F11" s="172"/>
      <c r="G11" s="172"/>
      <c r="H11" s="172"/>
      <c r="I11" s="172"/>
      <c r="J11" s="31">
        <f>J6/J10</f>
        <v>1.0029981724453025</v>
      </c>
      <c r="K11" s="2"/>
      <c r="L11" s="4"/>
      <c r="M11" s="61"/>
    </row>
    <row r="12" spans="3:13" x14ac:dyDescent="0.45">
      <c r="C12" s="3"/>
      <c r="D12" s="2"/>
      <c r="E12" s="172" t="s">
        <v>16</v>
      </c>
      <c r="F12" s="172"/>
      <c r="G12" s="172"/>
      <c r="H12" s="172"/>
      <c r="I12" s="172"/>
      <c r="J12" s="31">
        <f>J6/J7</f>
        <v>0.92058239143913023</v>
      </c>
      <c r="K12" s="2"/>
      <c r="L12" s="4"/>
    </row>
    <row r="13" spans="3:13" x14ac:dyDescent="0.45">
      <c r="C13" s="3"/>
      <c r="D13" s="2"/>
      <c r="E13" s="172" t="s">
        <v>18</v>
      </c>
      <c r="F13" s="172"/>
      <c r="G13" s="172"/>
      <c r="H13" s="172"/>
      <c r="I13" s="172"/>
      <c r="J13" s="31">
        <f>Availability!E40</f>
        <v>1</v>
      </c>
      <c r="K13" s="2"/>
      <c r="L13" s="4"/>
    </row>
    <row r="14" spans="3:13" x14ac:dyDescent="0.45">
      <c r="C14" s="5"/>
      <c r="D14" s="6"/>
      <c r="E14" s="181" t="s">
        <v>20</v>
      </c>
      <c r="F14" s="181"/>
      <c r="G14" s="181"/>
      <c r="H14" s="181"/>
      <c r="I14" s="181"/>
      <c r="J14" s="9">
        <f>Availability!E50</f>
        <v>0.99553333333333338</v>
      </c>
      <c r="K14" s="6"/>
      <c r="L14" s="7"/>
    </row>
    <row r="16" spans="3:13" x14ac:dyDescent="0.45">
      <c r="C16" s="180" t="s">
        <v>26</v>
      </c>
      <c r="D16" s="180"/>
      <c r="E16" s="180"/>
      <c r="F16" s="180"/>
      <c r="G16" s="180"/>
      <c r="H16" s="180"/>
      <c r="I16" s="180"/>
      <c r="J16" s="180"/>
      <c r="K16" s="180"/>
      <c r="L16" s="180"/>
    </row>
    <row r="17" spans="3:12" x14ac:dyDescent="0.45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45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4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4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45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4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45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45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45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45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4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45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45">
      <c r="E30" s="11"/>
      <c r="F30" s="180" t="s">
        <v>27</v>
      </c>
      <c r="G30" s="180"/>
      <c r="H30" s="180"/>
      <c r="I30" s="180"/>
      <c r="J30" s="11"/>
      <c r="K30" s="11"/>
      <c r="L30" s="11"/>
    </row>
    <row r="31" spans="3:12" s="10" customFormat="1" ht="44.1" customHeight="1" x14ac:dyDescent="0.45">
      <c r="E31" s="13"/>
      <c r="F31" s="151" t="s">
        <v>28</v>
      </c>
      <c r="G31" s="139" t="s">
        <v>29</v>
      </c>
      <c r="H31" s="139" t="s">
        <v>30</v>
      </c>
      <c r="I31" s="139" t="s">
        <v>31</v>
      </c>
      <c r="J31" s="12"/>
      <c r="K31" s="13"/>
    </row>
    <row r="32" spans="3:12" x14ac:dyDescent="0.45">
      <c r="E32" s="2"/>
      <c r="F32" s="160">
        <v>45352</v>
      </c>
      <c r="G32" s="150">
        <v>14878.38</v>
      </c>
      <c r="H32" s="147">
        <v>6445.3909999999996</v>
      </c>
      <c r="I32" s="143">
        <v>30.777180000000001</v>
      </c>
      <c r="J32" s="2"/>
      <c r="K32" s="14"/>
    </row>
    <row r="33" spans="5:15" x14ac:dyDescent="0.45">
      <c r="E33" s="2"/>
      <c r="F33" s="160">
        <v>45353</v>
      </c>
      <c r="G33" s="150">
        <v>2760.5</v>
      </c>
      <c r="H33" s="147">
        <v>1091.473</v>
      </c>
      <c r="I33" s="143">
        <v>40.569220000000001</v>
      </c>
      <c r="J33" s="2"/>
      <c r="K33" s="14"/>
    </row>
    <row r="34" spans="5:15" x14ac:dyDescent="0.45">
      <c r="E34" s="2"/>
      <c r="F34" s="160">
        <v>45354</v>
      </c>
      <c r="G34" s="150">
        <v>8766.375</v>
      </c>
      <c r="H34" s="147">
        <v>3967.415</v>
      </c>
      <c r="I34" s="143">
        <v>50.125900000000001</v>
      </c>
      <c r="J34" s="2"/>
      <c r="K34" s="14"/>
    </row>
    <row r="35" spans="5:15" x14ac:dyDescent="0.45">
      <c r="E35" s="2"/>
      <c r="F35" s="160">
        <v>45355</v>
      </c>
      <c r="G35" s="150">
        <v>6377.875</v>
      </c>
      <c r="H35" s="147">
        <v>2716.5369999999998</v>
      </c>
      <c r="I35" s="143">
        <v>47.869349999999997</v>
      </c>
      <c r="J35" s="2"/>
      <c r="K35" s="14"/>
    </row>
    <row r="36" spans="5:15" x14ac:dyDescent="0.45">
      <c r="E36" s="2"/>
      <c r="F36" s="160">
        <v>45356</v>
      </c>
      <c r="G36" s="150">
        <v>2000.5</v>
      </c>
      <c r="H36" s="147">
        <v>784.68050000000005</v>
      </c>
      <c r="I36" s="143">
        <v>41.032200000000003</v>
      </c>
      <c r="J36" s="2"/>
      <c r="K36" s="14"/>
    </row>
    <row r="37" spans="5:15" x14ac:dyDescent="0.45">
      <c r="E37" s="2"/>
      <c r="F37" s="160">
        <v>45357</v>
      </c>
      <c r="G37" s="150">
        <v>6023.625</v>
      </c>
      <c r="H37" s="147">
        <v>2412.913</v>
      </c>
      <c r="I37" s="143">
        <v>45.49286</v>
      </c>
      <c r="J37" s="2"/>
      <c r="K37" s="14"/>
    </row>
    <row r="38" spans="5:15" x14ac:dyDescent="0.45">
      <c r="E38" s="2"/>
      <c r="F38" s="160">
        <v>45358</v>
      </c>
      <c r="G38" s="150">
        <v>3002.875</v>
      </c>
      <c r="H38" s="147">
        <v>1168.856</v>
      </c>
      <c r="I38" s="143">
        <v>44.049079999999996</v>
      </c>
      <c r="J38" s="2"/>
      <c r="K38" s="14"/>
    </row>
    <row r="39" spans="5:15" x14ac:dyDescent="0.45">
      <c r="E39" s="2"/>
      <c r="F39" s="160">
        <v>45359</v>
      </c>
      <c r="G39" s="150">
        <v>15539</v>
      </c>
      <c r="H39" s="147">
        <v>6967.8040000000001</v>
      </c>
      <c r="I39" s="143">
        <v>39.367359999999998</v>
      </c>
      <c r="J39" s="2"/>
      <c r="K39" s="14"/>
    </row>
    <row r="40" spans="5:15" x14ac:dyDescent="0.45">
      <c r="E40" s="2"/>
      <c r="F40" s="160">
        <v>45360</v>
      </c>
      <c r="G40" s="150">
        <v>3752</v>
      </c>
      <c r="H40" s="147">
        <v>1467.663</v>
      </c>
      <c r="I40" s="143">
        <v>35.33905</v>
      </c>
      <c r="J40" s="2"/>
      <c r="K40" s="14"/>
    </row>
    <row r="41" spans="5:15" x14ac:dyDescent="0.45">
      <c r="E41" s="2"/>
      <c r="F41" s="160">
        <v>45361</v>
      </c>
      <c r="G41" s="150">
        <v>7723.125</v>
      </c>
      <c r="H41" s="147">
        <v>3277.6419999999998</v>
      </c>
      <c r="I41" s="143">
        <v>43.678600000000003</v>
      </c>
      <c r="J41" s="2"/>
      <c r="K41" s="14"/>
    </row>
    <row r="42" spans="5:15" x14ac:dyDescent="0.45">
      <c r="E42" s="2"/>
      <c r="F42" s="160">
        <v>45362</v>
      </c>
      <c r="G42" s="150">
        <v>10607.62</v>
      </c>
      <c r="H42" s="147">
        <v>4550.2209999999995</v>
      </c>
      <c r="I42" s="143">
        <v>37.330719999999999</v>
      </c>
      <c r="J42" s="2"/>
      <c r="K42" s="14"/>
    </row>
    <row r="43" spans="5:15" x14ac:dyDescent="0.45">
      <c r="E43" s="2"/>
      <c r="F43" s="160">
        <v>45363</v>
      </c>
      <c r="G43" s="150">
        <v>15999.5</v>
      </c>
      <c r="H43" s="147">
        <v>7134.5959999999995</v>
      </c>
      <c r="I43" s="143">
        <v>42.799300000000002</v>
      </c>
      <c r="J43" s="2"/>
      <c r="K43" s="14"/>
    </row>
    <row r="44" spans="5:15" x14ac:dyDescent="0.45">
      <c r="E44" s="2"/>
      <c r="F44" s="160">
        <v>45364</v>
      </c>
      <c r="G44" s="150">
        <v>14994.5</v>
      </c>
      <c r="H44" s="147">
        <v>6659.5420000000004</v>
      </c>
      <c r="I44" s="143">
        <v>42.920960000000001</v>
      </c>
      <c r="J44" s="2"/>
      <c r="K44" s="14"/>
    </row>
    <row r="45" spans="5:15" x14ac:dyDescent="0.45">
      <c r="E45" s="2"/>
      <c r="F45" s="160">
        <v>45365</v>
      </c>
      <c r="G45" s="150">
        <v>15011.12</v>
      </c>
      <c r="H45" s="147">
        <v>6776.6139999999996</v>
      </c>
      <c r="I45" s="143">
        <v>44.939210000000003</v>
      </c>
      <c r="J45" s="2"/>
      <c r="K45" s="14"/>
    </row>
    <row r="46" spans="5:15" x14ac:dyDescent="0.45">
      <c r="E46" s="2"/>
      <c r="F46" s="160">
        <v>45366</v>
      </c>
      <c r="G46" s="150">
        <v>2480.875</v>
      </c>
      <c r="H46" s="147">
        <v>985.22140000000002</v>
      </c>
      <c r="I46" s="143">
        <v>42.393329999999999</v>
      </c>
      <c r="J46" s="2"/>
      <c r="K46" s="14"/>
    </row>
    <row r="47" spans="5:15" x14ac:dyDescent="0.45">
      <c r="E47" s="2"/>
      <c r="F47" s="160">
        <v>45367</v>
      </c>
      <c r="G47" s="150">
        <v>11095.62</v>
      </c>
      <c r="H47" s="147">
        <v>5013.7430000000004</v>
      </c>
      <c r="I47" s="143">
        <v>44.446770000000001</v>
      </c>
      <c r="J47" s="2"/>
      <c r="K47" s="14"/>
    </row>
    <row r="48" spans="5:15" x14ac:dyDescent="0.45">
      <c r="E48" s="2"/>
      <c r="F48" s="160">
        <v>45368</v>
      </c>
      <c r="G48" s="150">
        <v>7613.125</v>
      </c>
      <c r="H48" s="147">
        <v>3406.3090000000002</v>
      </c>
      <c r="I48" s="143">
        <v>45.452100000000002</v>
      </c>
      <c r="J48" s="2"/>
      <c r="K48" s="14"/>
      <c r="M48" s="2"/>
      <c r="N48" s="2"/>
      <c r="O48" s="2"/>
    </row>
    <row r="49" spans="3:15" x14ac:dyDescent="0.45">
      <c r="E49" s="2"/>
      <c r="F49" s="160">
        <v>45369</v>
      </c>
      <c r="G49" s="150">
        <v>12717.88</v>
      </c>
      <c r="H49" s="147">
        <v>5824.3959999999997</v>
      </c>
      <c r="I49" s="143">
        <v>38.745840000000001</v>
      </c>
      <c r="J49" s="2"/>
      <c r="K49" s="14"/>
      <c r="M49" s="2"/>
      <c r="N49" s="2"/>
      <c r="O49" s="2"/>
    </row>
    <row r="50" spans="3:15" x14ac:dyDescent="0.45">
      <c r="E50" s="2"/>
      <c r="F50" s="160">
        <v>45370</v>
      </c>
      <c r="G50" s="150">
        <v>11794.62</v>
      </c>
      <c r="H50" s="147">
        <v>5444.9110000000001</v>
      </c>
      <c r="I50" s="143">
        <v>35.752740000000003</v>
      </c>
      <c r="J50" s="2"/>
      <c r="K50" s="14"/>
    </row>
    <row r="51" spans="3:15" x14ac:dyDescent="0.45">
      <c r="E51" s="2"/>
      <c r="F51" s="160">
        <v>45371</v>
      </c>
      <c r="G51" s="150">
        <v>7603.125</v>
      </c>
      <c r="H51" s="147">
        <v>3182.1880000000001</v>
      </c>
      <c r="I51" s="143">
        <v>39.554360000000003</v>
      </c>
      <c r="J51" s="2"/>
      <c r="K51" s="14"/>
    </row>
    <row r="52" spans="3:15" x14ac:dyDescent="0.45">
      <c r="E52" s="2"/>
      <c r="F52" s="160">
        <v>45372</v>
      </c>
      <c r="G52" s="150">
        <v>16837.25</v>
      </c>
      <c r="H52" s="147">
        <v>7718.5050000000001</v>
      </c>
      <c r="I52" s="143">
        <v>31.95091</v>
      </c>
      <c r="J52" s="2"/>
      <c r="K52" s="14"/>
    </row>
    <row r="53" spans="3:15" x14ac:dyDescent="0.45">
      <c r="E53" s="2"/>
      <c r="F53" s="160">
        <v>45373</v>
      </c>
      <c r="G53" s="150">
        <v>13610.5</v>
      </c>
      <c r="H53" s="147">
        <v>5831.8890000000001</v>
      </c>
      <c r="I53" s="143">
        <v>32.310890000000001</v>
      </c>
      <c r="J53" s="2"/>
      <c r="K53" s="14"/>
    </row>
    <row r="54" spans="3:15" x14ac:dyDescent="0.45">
      <c r="E54" s="2"/>
      <c r="F54" s="160">
        <v>45374</v>
      </c>
      <c r="G54" s="150">
        <v>142.5</v>
      </c>
      <c r="H54" s="147">
        <v>485.54820000000001</v>
      </c>
      <c r="I54" s="143">
        <v>32.34122</v>
      </c>
      <c r="J54" s="2"/>
      <c r="K54" s="14"/>
    </row>
    <row r="55" spans="3:15" x14ac:dyDescent="0.45">
      <c r="E55" s="2"/>
      <c r="F55" s="160">
        <v>45375</v>
      </c>
      <c r="G55" s="150">
        <v>11711.5</v>
      </c>
      <c r="H55" s="147">
        <v>7118.32</v>
      </c>
      <c r="I55" s="143">
        <v>31.152560000000001</v>
      </c>
      <c r="J55" s="2"/>
      <c r="K55" s="14"/>
    </row>
    <row r="56" spans="3:15" x14ac:dyDescent="0.45">
      <c r="E56" s="2"/>
      <c r="F56" s="160">
        <v>45376</v>
      </c>
      <c r="G56" s="150">
        <v>15250</v>
      </c>
      <c r="H56" s="147">
        <v>6439.86</v>
      </c>
      <c r="I56" s="143">
        <v>33.795740000000002</v>
      </c>
      <c r="J56" s="2"/>
      <c r="K56" s="14"/>
    </row>
    <row r="57" spans="3:15" x14ac:dyDescent="0.45">
      <c r="E57" s="2"/>
      <c r="F57" s="160">
        <v>45377</v>
      </c>
      <c r="G57" s="150">
        <v>4307.125</v>
      </c>
      <c r="H57" s="147">
        <v>1649.1790000000001</v>
      </c>
      <c r="I57" s="143">
        <v>36.052860000000003</v>
      </c>
      <c r="J57" s="2"/>
      <c r="K57" s="14"/>
    </row>
    <row r="58" spans="3:15" x14ac:dyDescent="0.45">
      <c r="E58" s="2"/>
      <c r="F58" s="160">
        <v>45378</v>
      </c>
      <c r="G58" s="150">
        <v>7482.75</v>
      </c>
      <c r="H58" s="147">
        <v>3125.683</v>
      </c>
      <c r="I58" s="143">
        <v>45.060470000000002</v>
      </c>
      <c r="J58" s="2"/>
      <c r="K58" s="14"/>
    </row>
    <row r="59" spans="3:15" x14ac:dyDescent="0.45">
      <c r="E59" s="2"/>
      <c r="F59" s="160">
        <v>45379</v>
      </c>
      <c r="G59" s="150">
        <v>2278.625</v>
      </c>
      <c r="H59" s="147">
        <v>901.23770000000002</v>
      </c>
      <c r="I59" s="143">
        <v>47.905169999999998</v>
      </c>
      <c r="J59" s="2"/>
      <c r="K59" s="14"/>
    </row>
    <row r="60" spans="3:15" x14ac:dyDescent="0.45">
      <c r="E60" s="2"/>
      <c r="F60" s="160">
        <v>45380</v>
      </c>
      <c r="G60" s="150">
        <v>7932.125</v>
      </c>
      <c r="H60" s="147">
        <v>3204.2469999999998</v>
      </c>
      <c r="I60" s="143">
        <v>43.535020000000003</v>
      </c>
      <c r="J60" s="2"/>
      <c r="K60" s="14"/>
    </row>
    <row r="61" spans="3:15" x14ac:dyDescent="0.45">
      <c r="E61" s="2"/>
      <c r="F61" s="160">
        <v>45381</v>
      </c>
      <c r="G61" s="150">
        <v>17368.12</v>
      </c>
      <c r="H61" s="147">
        <v>7798.3850000000002</v>
      </c>
      <c r="I61" s="143">
        <v>45.252600000000001</v>
      </c>
      <c r="J61" s="2"/>
      <c r="K61" s="14"/>
    </row>
    <row r="62" spans="3:15" x14ac:dyDescent="0.45">
      <c r="E62" s="2"/>
      <c r="F62" s="160">
        <v>45382</v>
      </c>
      <c r="G62" s="150">
        <v>13211.75</v>
      </c>
      <c r="H62" s="147">
        <v>5961.6369999999997</v>
      </c>
      <c r="I62" s="143">
        <v>46.048850000000002</v>
      </c>
      <c r="J62" s="2"/>
      <c r="K62" s="14"/>
    </row>
    <row r="63" spans="3:15" x14ac:dyDescent="0.45">
      <c r="F63" s="152"/>
      <c r="G63" s="140"/>
      <c r="H63" s="2"/>
      <c r="I63" s="2"/>
    </row>
    <row r="64" spans="3:15" x14ac:dyDescent="0.45">
      <c r="C64" s="177" t="s">
        <v>32</v>
      </c>
      <c r="D64" s="178"/>
      <c r="E64" s="178"/>
      <c r="F64" s="178"/>
      <c r="G64" s="178"/>
      <c r="H64" s="178"/>
      <c r="I64" s="178"/>
      <c r="J64" s="178"/>
      <c r="K64" s="178"/>
      <c r="L64" s="179"/>
    </row>
    <row r="65" spans="3:12" ht="15" customHeight="1" x14ac:dyDescent="0.45">
      <c r="C65" s="185"/>
      <c r="D65" s="186"/>
      <c r="E65" s="186"/>
      <c r="F65" s="186"/>
      <c r="G65" s="186"/>
      <c r="H65" s="186"/>
      <c r="I65" s="186"/>
      <c r="J65" s="186"/>
      <c r="K65" s="186"/>
      <c r="L65" s="187"/>
    </row>
    <row r="66" spans="3:12" x14ac:dyDescent="0.45">
      <c r="C66" s="188"/>
      <c r="D66" s="189"/>
      <c r="E66" s="189"/>
      <c r="F66" s="189"/>
      <c r="G66" s="189"/>
      <c r="H66" s="189"/>
      <c r="I66" s="189"/>
      <c r="J66" s="189"/>
      <c r="K66" s="189"/>
      <c r="L66" s="190"/>
    </row>
    <row r="67" spans="3:12" x14ac:dyDescent="0.45">
      <c r="C67" s="191"/>
      <c r="D67" s="192"/>
      <c r="E67" s="192"/>
      <c r="F67" s="192"/>
      <c r="G67" s="192"/>
      <c r="H67" s="192"/>
      <c r="I67" s="192"/>
      <c r="J67" s="192"/>
      <c r="K67" s="192"/>
      <c r="L67" s="193"/>
    </row>
    <row r="69" spans="3:12" x14ac:dyDescent="0.45">
      <c r="C69" s="182" t="s">
        <v>33</v>
      </c>
      <c r="D69" s="183"/>
      <c r="E69" s="183"/>
      <c r="F69" s="183"/>
      <c r="G69" s="183"/>
      <c r="H69" s="183"/>
      <c r="I69" s="183"/>
      <c r="J69" s="183"/>
      <c r="K69" s="183"/>
      <c r="L69" s="184"/>
    </row>
    <row r="70" spans="3:12" ht="14.85" customHeight="1" x14ac:dyDescent="0.45">
      <c r="C70" s="185"/>
      <c r="D70" s="186"/>
      <c r="E70" s="186"/>
      <c r="F70" s="186"/>
      <c r="G70" s="186"/>
      <c r="H70" s="186"/>
      <c r="I70" s="186"/>
      <c r="J70" s="186"/>
      <c r="K70" s="186"/>
      <c r="L70" s="187"/>
    </row>
    <row r="71" spans="3:12" x14ac:dyDescent="0.45">
      <c r="C71" s="188"/>
      <c r="D71" s="189"/>
      <c r="E71" s="189"/>
      <c r="F71" s="189"/>
      <c r="G71" s="189"/>
      <c r="H71" s="189"/>
      <c r="I71" s="189"/>
      <c r="J71" s="189"/>
      <c r="K71" s="189"/>
      <c r="L71" s="190"/>
    </row>
    <row r="72" spans="3:12" x14ac:dyDescent="0.45">
      <c r="C72" s="191"/>
      <c r="D72" s="192"/>
      <c r="E72" s="192"/>
      <c r="F72" s="192"/>
      <c r="G72" s="192"/>
      <c r="H72" s="192"/>
      <c r="I72" s="192"/>
      <c r="J72" s="192"/>
      <c r="K72" s="192"/>
      <c r="L72" s="193"/>
    </row>
  </sheetData>
  <mergeCells count="19">
    <mergeCell ref="C69:L69"/>
    <mergeCell ref="C64:L64"/>
    <mergeCell ref="E13:I13"/>
    <mergeCell ref="F30:I30"/>
    <mergeCell ref="C70:L72"/>
    <mergeCell ref="C65:L67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3"/>
  <sheetViews>
    <sheetView zoomScale="70" zoomScaleNormal="70" workbookViewId="0">
      <selection activeCell="J14" sqref="J14"/>
    </sheetView>
  </sheetViews>
  <sheetFormatPr defaultRowHeight="14.25" x14ac:dyDescent="0.45"/>
  <cols>
    <col min="4" max="4" width="9.1328125" customWidth="1"/>
    <col min="6" max="6" width="11.86328125" bestFit="1" customWidth="1" collapsed="1"/>
    <col min="7" max="7" width="21.3984375" bestFit="1" customWidth="1"/>
    <col min="8" max="8" width="19.59765625" bestFit="1" customWidth="1"/>
    <col min="9" max="9" width="17.86328125" bestFit="1" customWidth="1"/>
    <col min="10" max="10" width="10.1328125" customWidth="1"/>
    <col min="18" max="18" width="14.73046875" bestFit="1" customWidth="1"/>
  </cols>
  <sheetData>
    <row r="1" spans="3:18" ht="18" x14ac:dyDescent="0.55000000000000004">
      <c r="E1" s="173" t="s">
        <v>34</v>
      </c>
      <c r="F1" s="173"/>
      <c r="G1" s="173"/>
      <c r="H1" s="173"/>
      <c r="I1" s="173"/>
      <c r="J1" s="173"/>
    </row>
    <row r="2" spans="3:18" x14ac:dyDescent="0.45">
      <c r="E2" s="174" t="s">
        <v>23</v>
      </c>
      <c r="F2" s="174"/>
      <c r="G2" s="174"/>
      <c r="H2" s="174"/>
      <c r="I2" s="174"/>
      <c r="J2" s="174"/>
    </row>
    <row r="3" spans="3:18" ht="14.25" customHeight="1" x14ac:dyDescent="0.45">
      <c r="E3" s="175" t="s">
        <v>90</v>
      </c>
      <c r="F3" s="176"/>
      <c r="G3" s="176"/>
      <c r="H3" s="176"/>
      <c r="I3" s="176"/>
      <c r="J3" s="176"/>
    </row>
    <row r="5" spans="3:18" x14ac:dyDescent="0.45">
      <c r="C5" s="177" t="s">
        <v>24</v>
      </c>
      <c r="D5" s="178"/>
      <c r="E5" s="178"/>
      <c r="F5" s="178"/>
      <c r="G5" s="178"/>
      <c r="H5" s="178"/>
      <c r="I5" s="178"/>
      <c r="J5" s="178"/>
      <c r="K5" s="178"/>
      <c r="L5" s="179"/>
      <c r="R5" s="26"/>
    </row>
    <row r="6" spans="3:18" x14ac:dyDescent="0.45">
      <c r="C6" s="20"/>
      <c r="D6" s="21"/>
      <c r="E6" s="168" t="s">
        <v>2</v>
      </c>
      <c r="F6" s="168"/>
      <c r="G6" s="168"/>
      <c r="H6" s="168"/>
      <c r="I6" s="168"/>
      <c r="J6" s="22">
        <f>SUM(G32:G62)</f>
        <v>384849.25</v>
      </c>
      <c r="K6" s="2"/>
      <c r="L6" s="23"/>
      <c r="R6" s="26"/>
    </row>
    <row r="7" spans="3:18" x14ac:dyDescent="0.45">
      <c r="C7" s="3"/>
      <c r="D7" s="2"/>
      <c r="E7" s="172" t="s">
        <v>4</v>
      </c>
      <c r="F7" s="172"/>
      <c r="G7" s="172"/>
      <c r="H7" s="172"/>
      <c r="I7" s="172"/>
      <c r="J7" s="8">
        <f>'Predicted Data'!D7</f>
        <v>344525.3</v>
      </c>
      <c r="K7" s="69"/>
      <c r="L7" s="4"/>
      <c r="R7" s="26"/>
    </row>
    <row r="8" spans="3:18" ht="15.75" x14ac:dyDescent="0.45">
      <c r="C8" s="3"/>
      <c r="D8" s="2"/>
      <c r="E8" s="172" t="s">
        <v>6</v>
      </c>
      <c r="F8" s="172"/>
      <c r="G8" s="172"/>
      <c r="H8" s="172"/>
      <c r="I8" s="172"/>
      <c r="J8" s="8">
        <f>SUM(H32:H62)</f>
        <v>116252.5243</v>
      </c>
      <c r="K8" s="2"/>
      <c r="L8" s="4"/>
      <c r="R8" s="26"/>
    </row>
    <row r="9" spans="3:18" ht="15.75" x14ac:dyDescent="0.45">
      <c r="C9" s="3"/>
      <c r="D9" s="2"/>
      <c r="E9" s="172" t="s">
        <v>8</v>
      </c>
      <c r="F9" s="172"/>
      <c r="G9" s="172"/>
      <c r="H9" s="172"/>
      <c r="I9" s="172"/>
      <c r="J9" s="79"/>
      <c r="K9" s="69"/>
      <c r="L9" s="4"/>
      <c r="R9" s="44"/>
    </row>
    <row r="10" spans="3:18" x14ac:dyDescent="0.45">
      <c r="C10" s="3"/>
      <c r="D10" s="2"/>
      <c r="E10" s="172" t="s">
        <v>10</v>
      </c>
      <c r="F10" s="172"/>
      <c r="G10" s="172"/>
      <c r="H10" s="172"/>
      <c r="I10" s="172"/>
      <c r="J10" s="84">
        <f>'Plant Health'!E81</f>
        <v>349402</v>
      </c>
      <c r="K10" s="2"/>
      <c r="L10" s="4"/>
      <c r="R10" s="26"/>
    </row>
    <row r="11" spans="3:18" x14ac:dyDescent="0.45">
      <c r="C11" s="3"/>
      <c r="D11" s="2"/>
      <c r="E11" s="172" t="s">
        <v>12</v>
      </c>
      <c r="F11" s="172"/>
      <c r="G11" s="172"/>
      <c r="H11" s="172"/>
      <c r="I11" s="172"/>
      <c r="J11" s="31">
        <f>J6/J10</f>
        <v>1.1014511937538995</v>
      </c>
      <c r="K11" s="2"/>
      <c r="L11" s="4"/>
      <c r="R11" s="26"/>
    </row>
    <row r="12" spans="3:18" x14ac:dyDescent="0.45">
      <c r="C12" s="3"/>
      <c r="D12" s="2"/>
      <c r="E12" s="172" t="s">
        <v>16</v>
      </c>
      <c r="F12" s="172"/>
      <c r="G12" s="172"/>
      <c r="H12" s="172"/>
      <c r="I12" s="172"/>
      <c r="J12" s="31">
        <f>J6/J7</f>
        <v>1.1170420575789355</v>
      </c>
      <c r="K12" s="2"/>
      <c r="L12" s="4"/>
      <c r="R12" s="26"/>
    </row>
    <row r="13" spans="3:18" x14ac:dyDescent="0.45">
      <c r="C13" s="3"/>
      <c r="D13" s="2"/>
      <c r="E13" s="172" t="s">
        <v>18</v>
      </c>
      <c r="F13" s="172"/>
      <c r="G13" s="172"/>
      <c r="H13" s="172"/>
      <c r="I13" s="172"/>
      <c r="J13" s="31">
        <f>Availability!D40</f>
        <v>1</v>
      </c>
      <c r="K13" s="2"/>
      <c r="L13" s="4"/>
      <c r="R13" s="26"/>
    </row>
    <row r="14" spans="3:18" x14ac:dyDescent="0.45">
      <c r="C14" s="5"/>
      <c r="D14" s="6"/>
      <c r="E14" s="181" t="s">
        <v>20</v>
      </c>
      <c r="F14" s="181"/>
      <c r="G14" s="181"/>
      <c r="H14" s="181"/>
      <c r="I14" s="181"/>
      <c r="J14" s="9">
        <f>Availability!D50</f>
        <v>0.9998999999999999</v>
      </c>
      <c r="K14" s="6"/>
      <c r="L14" s="7"/>
      <c r="R14" s="26"/>
    </row>
    <row r="15" spans="3:18" x14ac:dyDescent="0.45">
      <c r="R15" s="26"/>
    </row>
    <row r="16" spans="3:18" x14ac:dyDescent="0.45">
      <c r="C16" s="177" t="s">
        <v>26</v>
      </c>
      <c r="D16" s="178"/>
      <c r="E16" s="178"/>
      <c r="F16" s="178"/>
      <c r="G16" s="178"/>
      <c r="H16" s="178"/>
      <c r="I16" s="178"/>
      <c r="J16" s="178"/>
      <c r="K16" s="178"/>
      <c r="L16" s="179"/>
      <c r="R16" s="26"/>
    </row>
    <row r="17" spans="5:24" x14ac:dyDescent="0.45">
      <c r="R17" s="26"/>
    </row>
    <row r="18" spans="5:24" x14ac:dyDescent="0.45">
      <c r="R18" s="26"/>
    </row>
    <row r="19" spans="5:24" x14ac:dyDescent="0.45">
      <c r="R19" s="26"/>
    </row>
    <row r="20" spans="5:24" x14ac:dyDescent="0.45">
      <c r="R20" s="26"/>
    </row>
    <row r="21" spans="5:24" x14ac:dyDescent="0.45">
      <c r="R21" s="26"/>
    </row>
    <row r="22" spans="5:24" x14ac:dyDescent="0.45">
      <c r="R22" s="26"/>
    </row>
    <row r="23" spans="5:24" x14ac:dyDescent="0.45">
      <c r="R23" s="26"/>
    </row>
    <row r="24" spans="5:24" x14ac:dyDescent="0.45">
      <c r="R24" s="26"/>
    </row>
    <row r="25" spans="5:24" x14ac:dyDescent="0.45">
      <c r="R25" s="26"/>
    </row>
    <row r="26" spans="5:24" x14ac:dyDescent="0.45">
      <c r="R26" s="26"/>
    </row>
    <row r="27" spans="5:24" x14ac:dyDescent="0.45">
      <c r="R27" s="26"/>
    </row>
    <row r="28" spans="5:24" x14ac:dyDescent="0.45">
      <c r="R28" s="26"/>
    </row>
    <row r="29" spans="5:24" x14ac:dyDescent="0.45">
      <c r="F29" s="2"/>
      <c r="G29" s="2"/>
      <c r="H29" s="2"/>
      <c r="I29" s="2"/>
      <c r="R29" s="26"/>
    </row>
    <row r="30" spans="5:24" x14ac:dyDescent="0.45">
      <c r="E30" s="11"/>
      <c r="F30" s="194" t="s">
        <v>27</v>
      </c>
      <c r="G30" s="194"/>
      <c r="H30" s="194"/>
      <c r="I30" s="195"/>
      <c r="J30" s="11"/>
      <c r="K30" s="11"/>
      <c r="L30" s="11"/>
      <c r="R30" s="26"/>
    </row>
    <row r="31" spans="5:24" s="10" customFormat="1" ht="44.1" customHeight="1" x14ac:dyDescent="0.45">
      <c r="E31" s="13"/>
      <c r="F31" s="141" t="s">
        <v>28</v>
      </c>
      <c r="G31" s="142" t="s">
        <v>29</v>
      </c>
      <c r="H31" s="148" t="s">
        <v>30</v>
      </c>
      <c r="I31" s="142" t="s">
        <v>31</v>
      </c>
      <c r="J31" s="12"/>
      <c r="K31" s="13"/>
      <c r="R31" s="45"/>
      <c r="X31"/>
    </row>
    <row r="32" spans="5:24" x14ac:dyDescent="0.45">
      <c r="E32" s="2"/>
      <c r="F32" s="159">
        <v>45352</v>
      </c>
      <c r="G32" s="143">
        <v>16196.5</v>
      </c>
      <c r="H32" s="147">
        <v>4741.9979999999996</v>
      </c>
      <c r="I32" s="143">
        <v>29.912960000000002</v>
      </c>
      <c r="J32" s="14"/>
      <c r="K32" s="14"/>
      <c r="R32" s="26"/>
    </row>
    <row r="33" spans="5:18" x14ac:dyDescent="0.45">
      <c r="E33" s="2"/>
      <c r="F33" s="159">
        <v>45353</v>
      </c>
      <c r="G33" s="143">
        <v>4024.75</v>
      </c>
      <c r="H33" s="147">
        <v>1118.596</v>
      </c>
      <c r="I33" s="143">
        <v>42.752090000000003</v>
      </c>
      <c r="J33" s="14"/>
      <c r="K33" s="14"/>
      <c r="R33" s="26"/>
    </row>
    <row r="34" spans="5:18" x14ac:dyDescent="0.45">
      <c r="E34" s="2"/>
      <c r="F34" s="159">
        <v>45354</v>
      </c>
      <c r="G34" s="143">
        <v>13636</v>
      </c>
      <c r="H34" s="147">
        <v>4214.3280000000004</v>
      </c>
      <c r="I34" s="143">
        <v>51.358829999999998</v>
      </c>
      <c r="J34" s="14"/>
      <c r="K34" s="14"/>
      <c r="R34" s="26"/>
    </row>
    <row r="35" spans="5:18" x14ac:dyDescent="0.45">
      <c r="E35" s="2"/>
      <c r="F35" s="159">
        <v>45355</v>
      </c>
      <c r="G35" s="143">
        <v>15271.25</v>
      </c>
      <c r="H35" s="147">
        <v>4640.1980000000003</v>
      </c>
      <c r="I35" s="143">
        <v>46.644579999999998</v>
      </c>
      <c r="J35" s="14"/>
      <c r="K35" s="14"/>
      <c r="R35" s="26"/>
    </row>
    <row r="36" spans="5:18" x14ac:dyDescent="0.45">
      <c r="E36" s="2"/>
      <c r="F36" s="159">
        <v>45356</v>
      </c>
      <c r="G36" s="143">
        <v>3111.75</v>
      </c>
      <c r="H36" s="147">
        <v>852.01099999999997</v>
      </c>
      <c r="I36" s="143">
        <v>41.969009999999997</v>
      </c>
      <c r="J36" s="14"/>
      <c r="K36" s="14"/>
      <c r="R36" s="26"/>
    </row>
    <row r="37" spans="5:18" x14ac:dyDescent="0.45">
      <c r="E37" s="2"/>
      <c r="F37" s="159">
        <v>45357</v>
      </c>
      <c r="G37" s="143">
        <v>5029.25</v>
      </c>
      <c r="H37" s="147">
        <v>1426.3150000000001</v>
      </c>
      <c r="I37" s="143">
        <v>48.038739999999997</v>
      </c>
      <c r="J37" s="14"/>
      <c r="K37" s="14"/>
      <c r="R37" s="26"/>
    </row>
    <row r="38" spans="5:18" x14ac:dyDescent="0.45">
      <c r="E38" s="2"/>
      <c r="F38" s="159">
        <v>45358</v>
      </c>
      <c r="G38" s="143">
        <v>3336.25</v>
      </c>
      <c r="H38" s="147">
        <v>918.52139999999997</v>
      </c>
      <c r="I38" s="143">
        <v>42.523429999999998</v>
      </c>
      <c r="J38" s="14"/>
      <c r="K38" s="14"/>
    </row>
    <row r="39" spans="5:18" x14ac:dyDescent="0.45">
      <c r="E39" s="2"/>
      <c r="F39" s="159">
        <v>45359</v>
      </c>
      <c r="G39" s="143">
        <v>19111.5</v>
      </c>
      <c r="H39" s="147">
        <v>5845.3620000000001</v>
      </c>
      <c r="I39" s="143">
        <v>39.131509999999999</v>
      </c>
      <c r="J39" s="14"/>
      <c r="K39" s="14"/>
    </row>
    <row r="40" spans="5:18" x14ac:dyDescent="0.45">
      <c r="E40" s="2"/>
      <c r="F40" s="159">
        <v>45360</v>
      </c>
      <c r="G40" s="143">
        <v>2982.25</v>
      </c>
      <c r="H40" s="147">
        <v>836.25490000000002</v>
      </c>
      <c r="I40" s="143">
        <v>35.329949999999997</v>
      </c>
      <c r="J40" s="14"/>
      <c r="K40" s="14"/>
    </row>
    <row r="41" spans="5:18" x14ac:dyDescent="0.45">
      <c r="E41" s="2"/>
      <c r="F41" s="159">
        <v>45361</v>
      </c>
      <c r="G41" s="143">
        <v>12133.5</v>
      </c>
      <c r="H41" s="147">
        <v>3591.4360000000001</v>
      </c>
      <c r="I41" s="143">
        <v>45.662239999999997</v>
      </c>
      <c r="J41" s="14"/>
      <c r="K41" s="14"/>
    </row>
    <row r="42" spans="5:18" x14ac:dyDescent="0.45">
      <c r="E42" s="2"/>
      <c r="F42" s="159">
        <v>45362</v>
      </c>
      <c r="G42" s="143">
        <v>15594.5</v>
      </c>
      <c r="H42" s="147">
        <v>5012.2709999999997</v>
      </c>
      <c r="I42" s="143">
        <v>37.525309999999998</v>
      </c>
      <c r="J42" s="14"/>
      <c r="K42" s="14"/>
    </row>
    <row r="43" spans="5:18" x14ac:dyDescent="0.45">
      <c r="E43" s="2"/>
      <c r="F43" s="159">
        <v>45363</v>
      </c>
      <c r="G43" s="143">
        <v>19590.25</v>
      </c>
      <c r="H43" s="147">
        <v>5993.7560000000003</v>
      </c>
      <c r="I43" s="143">
        <v>43.007330000000003</v>
      </c>
      <c r="J43" s="14"/>
      <c r="K43" s="14"/>
    </row>
    <row r="44" spans="5:18" x14ac:dyDescent="0.45">
      <c r="E44" s="2"/>
      <c r="F44" s="159">
        <v>45364</v>
      </c>
      <c r="G44" s="143">
        <v>19074.75</v>
      </c>
      <c r="H44" s="147">
        <v>5828.9709999999995</v>
      </c>
      <c r="I44" s="143">
        <v>44.457659999999997</v>
      </c>
      <c r="J44" s="14"/>
      <c r="K44" s="14"/>
    </row>
    <row r="45" spans="5:18" x14ac:dyDescent="0.45">
      <c r="E45" s="2"/>
      <c r="F45" s="159">
        <v>45365</v>
      </c>
      <c r="G45" s="143">
        <v>18522.25</v>
      </c>
      <c r="H45" s="147">
        <v>5704.3220000000001</v>
      </c>
      <c r="I45" s="143">
        <v>49.357590000000002</v>
      </c>
      <c r="J45" s="14"/>
      <c r="K45" s="14"/>
    </row>
    <row r="46" spans="5:18" x14ac:dyDescent="0.45">
      <c r="E46" s="2"/>
      <c r="F46" s="159">
        <v>45366</v>
      </c>
      <c r="G46" s="143">
        <v>4799.75</v>
      </c>
      <c r="H46" s="147">
        <v>1337.1980000000001</v>
      </c>
      <c r="I46" s="143">
        <v>44.493569999999998</v>
      </c>
      <c r="J46" s="14"/>
      <c r="K46" s="14"/>
    </row>
    <row r="47" spans="5:18" x14ac:dyDescent="0.45">
      <c r="E47" s="2"/>
      <c r="F47" s="159">
        <v>45367</v>
      </c>
      <c r="G47" s="143">
        <v>14292.5</v>
      </c>
      <c r="H47" s="147">
        <v>4433.1109999999999</v>
      </c>
      <c r="I47" s="143">
        <v>45.829090000000001</v>
      </c>
      <c r="J47" s="14"/>
      <c r="K47" s="14"/>
    </row>
    <row r="48" spans="5:18" x14ac:dyDescent="0.45">
      <c r="E48" s="2"/>
      <c r="F48" s="159">
        <v>45368</v>
      </c>
      <c r="G48" s="143">
        <v>12217.75</v>
      </c>
      <c r="H48" s="147">
        <v>3847.4430000000002</v>
      </c>
      <c r="I48" s="143">
        <v>47.282260000000001</v>
      </c>
      <c r="J48" s="14"/>
      <c r="K48" s="14"/>
    </row>
    <row r="49" spans="3:12" x14ac:dyDescent="0.45">
      <c r="E49" s="2"/>
      <c r="F49" s="159">
        <v>45369</v>
      </c>
      <c r="G49" s="143">
        <v>16038</v>
      </c>
      <c r="H49" s="147">
        <v>5128.7690000000002</v>
      </c>
      <c r="I49" s="143">
        <v>41.584499999999998</v>
      </c>
      <c r="J49" s="14"/>
      <c r="K49" s="14"/>
    </row>
    <row r="50" spans="3:12" x14ac:dyDescent="0.45">
      <c r="E50" s="2"/>
      <c r="F50" s="159">
        <v>45370</v>
      </c>
      <c r="G50" s="143">
        <v>15295.25</v>
      </c>
      <c r="H50" s="147">
        <v>4809.9290000000001</v>
      </c>
      <c r="I50" s="143">
        <v>37.480139999999999</v>
      </c>
      <c r="J50" s="14"/>
      <c r="K50" s="14"/>
    </row>
    <row r="51" spans="3:12" x14ac:dyDescent="0.45">
      <c r="E51" s="2"/>
      <c r="F51" s="159">
        <v>45371</v>
      </c>
      <c r="G51" s="143">
        <v>10235.5</v>
      </c>
      <c r="H51" s="147">
        <v>2935.38</v>
      </c>
      <c r="I51" s="143">
        <v>40.946170000000002</v>
      </c>
      <c r="J51" s="14"/>
      <c r="K51" s="14"/>
    </row>
    <row r="52" spans="3:12" x14ac:dyDescent="0.45">
      <c r="E52" s="2"/>
      <c r="F52" s="159">
        <v>45372</v>
      </c>
      <c r="G52" s="143">
        <v>20794.5</v>
      </c>
      <c r="H52" s="147">
        <v>6354.848</v>
      </c>
      <c r="I52" s="143">
        <v>30.779409999999999</v>
      </c>
      <c r="J52" s="14"/>
      <c r="K52" s="14"/>
    </row>
    <row r="53" spans="3:12" x14ac:dyDescent="0.45">
      <c r="E53" s="2"/>
      <c r="F53" s="159">
        <v>45373</v>
      </c>
      <c r="G53" s="143">
        <v>17846.25</v>
      </c>
      <c r="H53" s="147">
        <v>5323.9579999999996</v>
      </c>
      <c r="I53" s="143">
        <v>33.4651</v>
      </c>
      <c r="J53" s="14"/>
      <c r="K53" s="14"/>
    </row>
    <row r="54" spans="3:12" x14ac:dyDescent="0.45">
      <c r="E54" s="2"/>
      <c r="F54" s="159">
        <v>45374</v>
      </c>
      <c r="G54" s="143">
        <v>1363.25</v>
      </c>
      <c r="H54" s="147">
        <v>370.06810000000002</v>
      </c>
      <c r="I54" s="143">
        <v>35.362630000000003</v>
      </c>
      <c r="J54" s="14"/>
      <c r="K54" s="14"/>
    </row>
    <row r="55" spans="3:12" x14ac:dyDescent="0.45">
      <c r="E55" s="2"/>
      <c r="F55" s="159">
        <v>45375</v>
      </c>
      <c r="G55" s="143">
        <v>17404.5</v>
      </c>
      <c r="H55" s="147">
        <v>5073.049</v>
      </c>
      <c r="I55" s="143">
        <v>32.417479999999998</v>
      </c>
      <c r="J55" s="14"/>
      <c r="K55" s="14"/>
    </row>
    <row r="56" spans="3:12" x14ac:dyDescent="0.45">
      <c r="E56" s="2"/>
      <c r="F56" s="159">
        <v>45376</v>
      </c>
      <c r="G56" s="143">
        <v>16717.5</v>
      </c>
      <c r="H56" s="147">
        <v>4705.0159999999996</v>
      </c>
      <c r="I56" s="143">
        <v>35.499830000000003</v>
      </c>
      <c r="J56" s="14"/>
      <c r="K56" s="14"/>
    </row>
    <row r="57" spans="3:12" x14ac:dyDescent="0.45">
      <c r="E57" s="2"/>
      <c r="F57" s="159">
        <v>45377</v>
      </c>
      <c r="G57" s="143">
        <v>5446</v>
      </c>
      <c r="H57" s="147">
        <v>1458.4110000000001</v>
      </c>
      <c r="I57" s="143">
        <v>35.893680000000003</v>
      </c>
      <c r="J57" s="14"/>
      <c r="K57" s="14"/>
    </row>
    <row r="58" spans="3:12" x14ac:dyDescent="0.45">
      <c r="E58" s="2"/>
      <c r="F58" s="159">
        <v>45378</v>
      </c>
      <c r="G58" s="143">
        <v>12071</v>
      </c>
      <c r="H58" s="147">
        <v>3512.1010000000001</v>
      </c>
      <c r="I58" s="143">
        <v>48.629289999999997</v>
      </c>
      <c r="J58" s="14"/>
      <c r="K58" s="14"/>
    </row>
    <row r="59" spans="3:12" x14ac:dyDescent="0.45">
      <c r="E59" s="2"/>
      <c r="F59" s="159">
        <v>45379</v>
      </c>
      <c r="G59" s="143">
        <v>2321.5</v>
      </c>
      <c r="H59" s="147">
        <v>649.72990000000004</v>
      </c>
      <c r="I59" s="143">
        <v>49.541020000000003</v>
      </c>
      <c r="J59" s="14"/>
      <c r="K59" s="14"/>
    </row>
    <row r="60" spans="3:12" x14ac:dyDescent="0.45">
      <c r="E60" s="2"/>
      <c r="F60" s="159">
        <v>45380</v>
      </c>
      <c r="G60" s="143">
        <v>11303.25</v>
      </c>
      <c r="H60" s="147">
        <v>3290.1849999999999</v>
      </c>
      <c r="I60" s="143">
        <v>42.639980000000001</v>
      </c>
      <c r="J60" s="14"/>
      <c r="K60" s="14"/>
    </row>
    <row r="61" spans="3:12" x14ac:dyDescent="0.45">
      <c r="E61" s="2"/>
      <c r="F61" s="159">
        <v>45381</v>
      </c>
      <c r="G61" s="143">
        <v>21296</v>
      </c>
      <c r="H61" s="147">
        <v>6783.6589999999997</v>
      </c>
      <c r="I61" s="143">
        <v>44.998570000000001</v>
      </c>
      <c r="J61" s="14"/>
      <c r="K61" s="14"/>
    </row>
    <row r="62" spans="3:12" x14ac:dyDescent="0.45">
      <c r="E62" s="2"/>
      <c r="F62" s="159">
        <v>45382</v>
      </c>
      <c r="G62" s="143">
        <v>17792</v>
      </c>
      <c r="H62" s="147">
        <v>5515.3289999999997</v>
      </c>
      <c r="I62" s="143">
        <v>48.946510000000004</v>
      </c>
      <c r="J62" s="14"/>
      <c r="K62" s="14"/>
    </row>
    <row r="63" spans="3:12" x14ac:dyDescent="0.45">
      <c r="F63" s="144"/>
      <c r="G63" s="2"/>
      <c r="H63" s="2"/>
      <c r="I63" s="2"/>
    </row>
    <row r="64" spans="3:12" x14ac:dyDescent="0.45">
      <c r="C64" s="182" t="s">
        <v>32</v>
      </c>
      <c r="D64" s="183"/>
      <c r="E64" s="183"/>
      <c r="F64" s="183"/>
      <c r="G64" s="183"/>
      <c r="H64" s="183"/>
      <c r="I64" s="183"/>
      <c r="J64" s="183"/>
      <c r="K64" s="183"/>
      <c r="L64" s="184"/>
    </row>
    <row r="65" spans="3:12" ht="15" customHeight="1" x14ac:dyDescent="0.45">
      <c r="C65" s="185"/>
      <c r="D65" s="186"/>
      <c r="E65" s="186"/>
      <c r="F65" s="186"/>
      <c r="G65" s="186"/>
      <c r="H65" s="186"/>
      <c r="I65" s="186"/>
      <c r="J65" s="186"/>
      <c r="K65" s="186"/>
      <c r="L65" s="187"/>
    </row>
    <row r="66" spans="3:12" x14ac:dyDescent="0.45">
      <c r="C66" s="188"/>
      <c r="D66" s="189"/>
      <c r="E66" s="189"/>
      <c r="F66" s="189"/>
      <c r="G66" s="189"/>
      <c r="H66" s="189"/>
      <c r="I66" s="189"/>
      <c r="J66" s="189"/>
      <c r="K66" s="189"/>
      <c r="L66" s="190"/>
    </row>
    <row r="67" spans="3:12" x14ac:dyDescent="0.45">
      <c r="C67" s="191"/>
      <c r="D67" s="192"/>
      <c r="E67" s="192"/>
      <c r="F67" s="192"/>
      <c r="G67" s="192"/>
      <c r="H67" s="192"/>
      <c r="I67" s="192"/>
      <c r="J67" s="192"/>
      <c r="K67" s="192"/>
      <c r="L67" s="193"/>
    </row>
    <row r="68" spans="3:12" x14ac:dyDescent="0.45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 x14ac:dyDescent="0.45">
      <c r="C69" s="182" t="s">
        <v>33</v>
      </c>
      <c r="D69" s="183"/>
      <c r="E69" s="183"/>
      <c r="F69" s="183"/>
      <c r="G69" s="183"/>
      <c r="H69" s="183"/>
      <c r="I69" s="183"/>
      <c r="J69" s="183"/>
      <c r="K69" s="183"/>
      <c r="L69" s="184"/>
    </row>
    <row r="70" spans="3:12" ht="14.85" customHeight="1" x14ac:dyDescent="0.45">
      <c r="C70" s="185"/>
      <c r="D70" s="186"/>
      <c r="E70" s="186"/>
      <c r="F70" s="186"/>
      <c r="G70" s="186"/>
      <c r="H70" s="186"/>
      <c r="I70" s="186"/>
      <c r="J70" s="186"/>
      <c r="K70" s="186"/>
      <c r="L70" s="187"/>
    </row>
    <row r="71" spans="3:12" x14ac:dyDescent="0.45">
      <c r="C71" s="188"/>
      <c r="D71" s="189"/>
      <c r="E71" s="189"/>
      <c r="F71" s="189"/>
      <c r="G71" s="189"/>
      <c r="H71" s="189"/>
      <c r="I71" s="189"/>
      <c r="J71" s="189"/>
      <c r="K71" s="189"/>
      <c r="L71" s="190"/>
    </row>
    <row r="72" spans="3:12" x14ac:dyDescent="0.45">
      <c r="C72" s="191"/>
      <c r="D72" s="192"/>
      <c r="E72" s="192"/>
      <c r="F72" s="192"/>
      <c r="G72" s="192"/>
      <c r="H72" s="192"/>
      <c r="I72" s="192"/>
      <c r="J72" s="192"/>
      <c r="K72" s="192"/>
      <c r="L72" s="193"/>
    </row>
    <row r="73" spans="3:12" x14ac:dyDescent="0.45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M72"/>
  <sheetViews>
    <sheetView zoomScale="80" zoomScaleNormal="80" workbookViewId="0">
      <selection activeCell="Q17" sqref="Q17"/>
    </sheetView>
  </sheetViews>
  <sheetFormatPr defaultColWidth="9" defaultRowHeight="14.25" x14ac:dyDescent="0.45"/>
  <cols>
    <col min="1" max="5" width="9" style="106"/>
    <col min="6" max="6" width="13.73046875" style="106" customWidth="1" collapsed="1"/>
    <col min="7" max="7" width="20" style="106" bestFit="1" customWidth="1"/>
    <col min="8" max="8" width="17.3984375" style="106" bestFit="1" customWidth="1"/>
    <col min="9" max="16384" width="9" style="106"/>
  </cols>
  <sheetData>
    <row r="1" spans="3:13" ht="18" x14ac:dyDescent="0.55000000000000004">
      <c r="E1" s="197" t="s">
        <v>35</v>
      </c>
      <c r="F1" s="197"/>
      <c r="G1" s="197"/>
      <c r="H1" s="197"/>
      <c r="I1" s="197"/>
      <c r="J1" s="197"/>
    </row>
    <row r="2" spans="3:13" x14ac:dyDescent="0.45">
      <c r="E2" s="198" t="s">
        <v>23</v>
      </c>
      <c r="F2" s="198"/>
      <c r="G2" s="198"/>
      <c r="H2" s="198"/>
      <c r="I2" s="198"/>
      <c r="J2" s="198"/>
    </row>
    <row r="3" spans="3:13" ht="14.25" customHeight="1" x14ac:dyDescent="0.45">
      <c r="E3" s="175" t="s">
        <v>90</v>
      </c>
      <c r="F3" s="176"/>
      <c r="G3" s="176"/>
      <c r="H3" s="176"/>
      <c r="I3" s="176"/>
      <c r="J3" s="176"/>
    </row>
    <row r="5" spans="3:13" x14ac:dyDescent="0.45">
      <c r="C5" s="199" t="s">
        <v>24</v>
      </c>
      <c r="D5" s="200"/>
      <c r="E5" s="200"/>
      <c r="F5" s="200"/>
      <c r="G5" s="200"/>
      <c r="H5" s="200"/>
      <c r="I5" s="200"/>
      <c r="J5" s="200"/>
      <c r="K5" s="200"/>
      <c r="L5" s="201"/>
    </row>
    <row r="6" spans="3:13" x14ac:dyDescent="0.45">
      <c r="C6" s="107"/>
      <c r="D6" s="108"/>
      <c r="E6" s="202" t="s">
        <v>2</v>
      </c>
      <c r="F6" s="202"/>
      <c r="G6" s="202"/>
      <c r="H6" s="202"/>
      <c r="I6" s="202"/>
      <c r="J6" s="109">
        <f>SUM(G32:G62)</f>
        <v>449834.49999999907</v>
      </c>
      <c r="K6" s="108"/>
      <c r="L6" s="110"/>
    </row>
    <row r="7" spans="3:13" x14ac:dyDescent="0.45">
      <c r="C7" s="111"/>
      <c r="E7" s="196" t="s">
        <v>4</v>
      </c>
      <c r="F7" s="196"/>
      <c r="G7" s="196"/>
      <c r="H7" s="196"/>
      <c r="I7" s="196"/>
      <c r="J7" s="112">
        <f>'Predicted Data'!D31</f>
        <v>409489</v>
      </c>
      <c r="K7" s="113"/>
      <c r="L7" s="114"/>
    </row>
    <row r="8" spans="3:13" ht="15.75" x14ac:dyDescent="0.45">
      <c r="C8" s="111"/>
      <c r="E8" s="196" t="s">
        <v>6</v>
      </c>
      <c r="F8" s="196"/>
      <c r="G8" s="196"/>
      <c r="H8" s="196"/>
      <c r="I8" s="196"/>
      <c r="J8" s="112">
        <f>SUM(H32:H62)</f>
        <v>164627.82900000003</v>
      </c>
      <c r="L8" s="114"/>
    </row>
    <row r="9" spans="3:13" ht="15.75" x14ac:dyDescent="0.45">
      <c r="C9" s="111"/>
      <c r="E9" s="196" t="s">
        <v>8</v>
      </c>
      <c r="F9" s="196"/>
      <c r="G9" s="196"/>
      <c r="H9" s="196"/>
      <c r="I9" s="196"/>
      <c r="J9" s="115"/>
      <c r="K9" s="113"/>
      <c r="L9" s="114"/>
    </row>
    <row r="10" spans="3:13" x14ac:dyDescent="0.45">
      <c r="C10" s="111"/>
      <c r="E10" s="196" t="s">
        <v>10</v>
      </c>
      <c r="F10" s="196"/>
      <c r="G10" s="196"/>
      <c r="H10" s="196"/>
      <c r="I10" s="196"/>
      <c r="J10" s="116">
        <f>'Plant Health'!K81</f>
        <v>418928</v>
      </c>
      <c r="L10" s="114"/>
    </row>
    <row r="11" spans="3:13" x14ac:dyDescent="0.45">
      <c r="C11" s="111"/>
      <c r="E11" s="196" t="s">
        <v>12</v>
      </c>
      <c r="F11" s="196"/>
      <c r="G11" s="196"/>
      <c r="H11" s="196"/>
      <c r="I11" s="196"/>
      <c r="J11" s="117">
        <f>J6/J10</f>
        <v>1.0737752071955062</v>
      </c>
      <c r="L11" s="114"/>
      <c r="M11" s="118"/>
    </row>
    <row r="12" spans="3:13" x14ac:dyDescent="0.45">
      <c r="C12" s="111"/>
      <c r="E12" s="196" t="s">
        <v>16</v>
      </c>
      <c r="F12" s="196"/>
      <c r="G12" s="196"/>
      <c r="H12" s="196"/>
      <c r="I12" s="196"/>
      <c r="J12" s="117">
        <f>J6/J7</f>
        <v>1.0985264561441188</v>
      </c>
      <c r="L12" s="114"/>
    </row>
    <row r="13" spans="3:13" x14ac:dyDescent="0.45">
      <c r="C13" s="111"/>
      <c r="E13" s="196" t="s">
        <v>18</v>
      </c>
      <c r="F13" s="196"/>
      <c r="G13" s="196"/>
      <c r="H13" s="196"/>
      <c r="I13" s="196"/>
      <c r="J13" s="117">
        <f>Availability!F40</f>
        <v>0.99750000000000005</v>
      </c>
      <c r="L13" s="114"/>
    </row>
    <row r="14" spans="3:13" x14ac:dyDescent="0.45">
      <c r="C14" s="119"/>
      <c r="D14" s="120"/>
      <c r="E14" s="212" t="s">
        <v>20</v>
      </c>
      <c r="F14" s="212"/>
      <c r="G14" s="212"/>
      <c r="H14" s="212"/>
      <c r="I14" s="212"/>
      <c r="J14" s="121">
        <f>Availability!F50</f>
        <v>0.99853333333333338</v>
      </c>
      <c r="K14" s="120"/>
      <c r="L14" s="122"/>
    </row>
    <row r="16" spans="3:13" x14ac:dyDescent="0.45">
      <c r="C16" s="199" t="s">
        <v>26</v>
      </c>
      <c r="D16" s="200"/>
      <c r="E16" s="200"/>
      <c r="F16" s="200"/>
      <c r="G16" s="200"/>
      <c r="H16" s="200"/>
      <c r="I16" s="200"/>
      <c r="J16" s="200"/>
      <c r="K16" s="200"/>
      <c r="L16" s="201"/>
    </row>
    <row r="30" spans="5:12" x14ac:dyDescent="0.45">
      <c r="E30" s="123"/>
      <c r="F30" s="213" t="s">
        <v>27</v>
      </c>
      <c r="G30" s="213"/>
      <c r="H30" s="213"/>
      <c r="I30" s="213"/>
      <c r="J30" s="123"/>
      <c r="K30" s="123"/>
      <c r="L30" s="123"/>
    </row>
    <row r="31" spans="5:12" s="127" customFormat="1" ht="44.1" customHeight="1" x14ac:dyDescent="0.45">
      <c r="E31" s="124"/>
      <c r="F31" s="125" t="s">
        <v>28</v>
      </c>
      <c r="G31" s="146" t="s">
        <v>29</v>
      </c>
      <c r="H31" s="146" t="s">
        <v>30</v>
      </c>
      <c r="I31" s="126" t="s">
        <v>31</v>
      </c>
      <c r="K31" s="124"/>
    </row>
    <row r="32" spans="5:12" x14ac:dyDescent="0.45">
      <c r="F32" s="145">
        <v>45352</v>
      </c>
      <c r="G32" s="147">
        <v>20447.499999999069</v>
      </c>
      <c r="H32" s="143">
        <v>7293.915</v>
      </c>
      <c r="I32" s="143">
        <v>53.358089999999997</v>
      </c>
      <c r="K32" s="128"/>
    </row>
    <row r="33" spans="6:11" x14ac:dyDescent="0.45">
      <c r="F33" s="145">
        <v>45353</v>
      </c>
      <c r="G33" s="147">
        <v>18953</v>
      </c>
      <c r="H33" s="143">
        <v>6782.88</v>
      </c>
      <c r="I33" s="143">
        <v>66.578500000000005</v>
      </c>
      <c r="K33" s="128"/>
    </row>
    <row r="34" spans="6:11" x14ac:dyDescent="0.45">
      <c r="F34" s="145">
        <v>45354</v>
      </c>
      <c r="G34" s="147">
        <v>19147</v>
      </c>
      <c r="H34" s="143">
        <v>6803.808</v>
      </c>
      <c r="I34" s="143">
        <v>70.88185</v>
      </c>
      <c r="K34" s="128"/>
    </row>
    <row r="35" spans="6:11" x14ac:dyDescent="0.45">
      <c r="F35" s="145">
        <v>45355</v>
      </c>
      <c r="G35" s="147">
        <v>15676</v>
      </c>
      <c r="H35" s="143">
        <v>5739.1549999999997</v>
      </c>
      <c r="I35" s="143">
        <v>74.371319999999997</v>
      </c>
      <c r="K35" s="128"/>
    </row>
    <row r="36" spans="6:11" x14ac:dyDescent="0.45">
      <c r="F36" s="145">
        <v>45356</v>
      </c>
      <c r="G36" s="147">
        <v>19521.5</v>
      </c>
      <c r="H36" s="143">
        <v>6909.0529999999999</v>
      </c>
      <c r="I36" s="143">
        <v>66.353610000000003</v>
      </c>
      <c r="K36" s="128"/>
    </row>
    <row r="37" spans="6:11" x14ac:dyDescent="0.45">
      <c r="F37" s="145">
        <v>45357</v>
      </c>
      <c r="G37" s="147">
        <v>19057</v>
      </c>
      <c r="H37" s="143">
        <v>6644.4229999999998</v>
      </c>
      <c r="I37" s="143">
        <v>66.344399999999993</v>
      </c>
      <c r="K37" s="128"/>
    </row>
    <row r="38" spans="6:11" x14ac:dyDescent="0.45">
      <c r="F38" s="145">
        <v>45358</v>
      </c>
      <c r="G38" s="147">
        <v>1066.5</v>
      </c>
      <c r="H38" s="143">
        <v>228</v>
      </c>
      <c r="I38" s="143">
        <v>62.61007</v>
      </c>
      <c r="K38" s="128"/>
    </row>
    <row r="39" spans="6:11" x14ac:dyDescent="0.45">
      <c r="F39" s="145">
        <v>45359</v>
      </c>
      <c r="G39" s="147">
        <v>9112.5</v>
      </c>
      <c r="H39" s="143">
        <v>3075.9560000000001</v>
      </c>
      <c r="I39" s="143">
        <v>57.336010000000002</v>
      </c>
      <c r="K39" s="128"/>
    </row>
    <row r="40" spans="6:11" x14ac:dyDescent="0.45">
      <c r="F40" s="145">
        <v>45360</v>
      </c>
      <c r="G40" s="147">
        <v>19872.5</v>
      </c>
      <c r="H40" s="143">
        <v>7540.7129999999997</v>
      </c>
      <c r="I40" s="143">
        <v>48.346640000000001</v>
      </c>
      <c r="K40" s="128"/>
    </row>
    <row r="41" spans="6:11" x14ac:dyDescent="0.45">
      <c r="F41" s="145">
        <v>45361</v>
      </c>
      <c r="G41" s="147">
        <v>20260</v>
      </c>
      <c r="H41" s="143">
        <v>7575.107</v>
      </c>
      <c r="I41" s="143">
        <v>51.800640000000001</v>
      </c>
      <c r="K41" s="128"/>
    </row>
    <row r="42" spans="6:11" x14ac:dyDescent="0.45">
      <c r="F42" s="145">
        <v>45362</v>
      </c>
      <c r="G42" s="147">
        <v>17196</v>
      </c>
      <c r="H42" s="143">
        <v>6402.6850000000004</v>
      </c>
      <c r="I42" s="143">
        <v>59.073830000000001</v>
      </c>
      <c r="K42" s="128"/>
    </row>
    <row r="43" spans="6:11" x14ac:dyDescent="0.45">
      <c r="F43" s="145">
        <v>45363</v>
      </c>
      <c r="G43" s="147">
        <v>15169.5</v>
      </c>
      <c r="H43" s="143">
        <v>5579.3029999999999</v>
      </c>
      <c r="I43" s="143">
        <v>65.750720000000001</v>
      </c>
      <c r="K43" s="128"/>
    </row>
    <row r="44" spans="6:11" x14ac:dyDescent="0.45">
      <c r="F44" s="145">
        <v>45364</v>
      </c>
      <c r="G44" s="147">
        <v>17563</v>
      </c>
      <c r="H44" s="143">
        <v>6878.5039999999999</v>
      </c>
      <c r="I44" s="143">
        <v>72.278589999999994</v>
      </c>
      <c r="K44" s="128"/>
    </row>
    <row r="45" spans="6:11" x14ac:dyDescent="0.45">
      <c r="F45" s="145">
        <v>45365</v>
      </c>
      <c r="G45" s="147">
        <v>7172</v>
      </c>
      <c r="H45" s="143">
        <v>2289.3580000000002</v>
      </c>
      <c r="I45" s="143">
        <v>74.400649999999999</v>
      </c>
      <c r="K45" s="128"/>
    </row>
    <row r="46" spans="6:11" x14ac:dyDescent="0.45">
      <c r="F46" s="145">
        <v>45366</v>
      </c>
      <c r="G46" s="147">
        <v>4477</v>
      </c>
      <c r="H46" s="143">
        <v>1275.2719999999999</v>
      </c>
      <c r="I46" s="143">
        <v>59.31915</v>
      </c>
      <c r="K46" s="128"/>
    </row>
    <row r="47" spans="6:11" x14ac:dyDescent="0.45">
      <c r="F47" s="145">
        <v>45367</v>
      </c>
      <c r="G47" s="147">
        <v>1114.5</v>
      </c>
      <c r="H47" s="143">
        <v>245</v>
      </c>
      <c r="I47" s="143">
        <v>57.744079999999997</v>
      </c>
      <c r="K47" s="128"/>
    </row>
    <row r="48" spans="6:11" x14ac:dyDescent="0.45">
      <c r="F48" s="145">
        <v>45368</v>
      </c>
      <c r="G48" s="147">
        <v>10435.5</v>
      </c>
      <c r="H48" s="143">
        <v>3462.1039999999998</v>
      </c>
      <c r="I48" s="143">
        <v>58.259480000000003</v>
      </c>
      <c r="K48" s="128"/>
    </row>
    <row r="49" spans="3:12" x14ac:dyDescent="0.45">
      <c r="F49" s="145">
        <v>45369</v>
      </c>
      <c r="G49" s="147">
        <v>21520</v>
      </c>
      <c r="H49" s="143">
        <v>8106.9939999999997</v>
      </c>
      <c r="I49" s="143">
        <v>52.161960000000001</v>
      </c>
      <c r="K49" s="128"/>
    </row>
    <row r="50" spans="3:12" x14ac:dyDescent="0.45">
      <c r="F50" s="145">
        <v>45370</v>
      </c>
      <c r="G50" s="147">
        <v>20932.5</v>
      </c>
      <c r="H50" s="143">
        <v>7963.6610000000001</v>
      </c>
      <c r="I50" s="143">
        <v>53.891770000000001</v>
      </c>
      <c r="K50" s="128"/>
    </row>
    <row r="51" spans="3:12" x14ac:dyDescent="0.45">
      <c r="F51" s="145">
        <v>45371</v>
      </c>
      <c r="G51" s="147">
        <v>16573</v>
      </c>
      <c r="H51" s="143">
        <v>5918.9979999999996</v>
      </c>
      <c r="I51" s="143">
        <v>63.370040000000003</v>
      </c>
      <c r="K51" s="128"/>
    </row>
    <row r="52" spans="3:12" x14ac:dyDescent="0.45">
      <c r="F52" s="145">
        <v>45372</v>
      </c>
      <c r="G52" s="147">
        <v>6221.5</v>
      </c>
      <c r="H52" s="143">
        <v>1663.704</v>
      </c>
      <c r="I52" s="143">
        <v>61.366230000000002</v>
      </c>
      <c r="K52" s="128"/>
    </row>
    <row r="53" spans="3:12" x14ac:dyDescent="0.45">
      <c r="F53" s="145">
        <v>45373</v>
      </c>
      <c r="G53" s="147">
        <v>8406.5</v>
      </c>
      <c r="H53" s="143">
        <v>2890.4290000000001</v>
      </c>
      <c r="I53" s="143">
        <v>60.228610000000003</v>
      </c>
      <c r="K53" s="128"/>
    </row>
    <row r="54" spans="3:12" x14ac:dyDescent="0.45">
      <c r="F54" s="145">
        <v>45374</v>
      </c>
      <c r="G54" s="147">
        <v>19535.5</v>
      </c>
      <c r="H54" s="143">
        <v>7104.5640000000003</v>
      </c>
      <c r="I54" s="143">
        <v>58.545720000000003</v>
      </c>
      <c r="K54" s="128"/>
    </row>
    <row r="55" spans="3:12" x14ac:dyDescent="0.45">
      <c r="F55" s="145">
        <v>45375</v>
      </c>
      <c r="G55" s="147">
        <v>5157</v>
      </c>
      <c r="H55" s="143">
        <v>1484.3209999999999</v>
      </c>
      <c r="I55" s="143">
        <v>63.241999999999997</v>
      </c>
      <c r="K55" s="128"/>
    </row>
    <row r="56" spans="3:12" x14ac:dyDescent="0.45">
      <c r="F56" s="145">
        <v>45376</v>
      </c>
      <c r="G56" s="147">
        <v>15105.5</v>
      </c>
      <c r="H56" s="143">
        <v>5866.1260000000002</v>
      </c>
      <c r="I56" s="143">
        <v>60.688499999999998</v>
      </c>
      <c r="K56" s="128"/>
    </row>
    <row r="57" spans="3:12" x14ac:dyDescent="0.45">
      <c r="F57" s="145">
        <v>45377</v>
      </c>
      <c r="G57" s="147">
        <v>23108</v>
      </c>
      <c r="H57" s="143">
        <v>9162.7330000000002</v>
      </c>
      <c r="I57" s="143">
        <v>47.098709999999997</v>
      </c>
      <c r="K57" s="128"/>
    </row>
    <row r="58" spans="3:12" x14ac:dyDescent="0.45">
      <c r="F58" s="145">
        <v>45378</v>
      </c>
      <c r="G58" s="147">
        <v>18060</v>
      </c>
      <c r="H58" s="143">
        <v>6475.08</v>
      </c>
      <c r="I58" s="143">
        <v>53.925980000000003</v>
      </c>
      <c r="K58" s="128"/>
    </row>
    <row r="59" spans="3:12" x14ac:dyDescent="0.45">
      <c r="F59" s="145">
        <v>45379</v>
      </c>
      <c r="G59" s="147">
        <v>22015</v>
      </c>
      <c r="H59" s="143">
        <v>8869.9930000000004</v>
      </c>
      <c r="I59" s="143">
        <v>59.286099999999998</v>
      </c>
      <c r="K59" s="128"/>
    </row>
    <row r="60" spans="3:12" x14ac:dyDescent="0.45">
      <c r="F60" s="145">
        <v>45380</v>
      </c>
      <c r="G60" s="147">
        <v>13753.5</v>
      </c>
      <c r="H60" s="143">
        <v>6583.4639999999999</v>
      </c>
      <c r="I60" s="143">
        <v>67.79298</v>
      </c>
      <c r="K60" s="128"/>
    </row>
    <row r="61" spans="3:12" x14ac:dyDescent="0.45">
      <c r="F61" s="145">
        <v>45381</v>
      </c>
      <c r="G61" s="147">
        <v>16718.5</v>
      </c>
      <c r="H61" s="143">
        <v>6049.16</v>
      </c>
      <c r="I61" s="143">
        <v>72.306150000000002</v>
      </c>
      <c r="K61" s="128"/>
    </row>
    <row r="62" spans="3:12" x14ac:dyDescent="0.45">
      <c r="F62" s="145">
        <v>45382</v>
      </c>
      <c r="G62" s="147">
        <v>6487</v>
      </c>
      <c r="H62" s="143">
        <v>1763.366</v>
      </c>
      <c r="I62" s="143">
        <v>72.350750000000005</v>
      </c>
      <c r="K62" s="128"/>
    </row>
    <row r="63" spans="3:12" x14ac:dyDescent="0.45">
      <c r="F63" s="138"/>
      <c r="G63" s="129"/>
    </row>
    <row r="64" spans="3:12" x14ac:dyDescent="0.45">
      <c r="C64" s="199" t="s">
        <v>32</v>
      </c>
      <c r="D64" s="200"/>
      <c r="E64" s="200"/>
      <c r="F64" s="200"/>
      <c r="G64" s="200"/>
      <c r="H64" s="200"/>
      <c r="I64" s="200"/>
      <c r="J64" s="200"/>
      <c r="K64" s="200"/>
      <c r="L64" s="201"/>
    </row>
    <row r="65" spans="3:12" ht="15" customHeight="1" x14ac:dyDescent="0.45">
      <c r="C65" s="203"/>
      <c r="D65" s="204"/>
      <c r="E65" s="204"/>
      <c r="F65" s="204"/>
      <c r="G65" s="204"/>
      <c r="H65" s="204"/>
      <c r="I65" s="204"/>
      <c r="J65" s="204"/>
      <c r="K65" s="204"/>
      <c r="L65" s="205"/>
    </row>
    <row r="66" spans="3:12" x14ac:dyDescent="0.45">
      <c r="C66" s="206"/>
      <c r="D66" s="207"/>
      <c r="E66" s="207"/>
      <c r="F66" s="207"/>
      <c r="G66" s="207"/>
      <c r="H66" s="207"/>
      <c r="I66" s="207"/>
      <c r="J66" s="207"/>
      <c r="K66" s="207"/>
      <c r="L66" s="208"/>
    </row>
    <row r="67" spans="3:12" x14ac:dyDescent="0.45">
      <c r="C67" s="209"/>
      <c r="D67" s="210"/>
      <c r="E67" s="210"/>
      <c r="F67" s="210"/>
      <c r="G67" s="210"/>
      <c r="H67" s="210"/>
      <c r="I67" s="210"/>
      <c r="J67" s="210"/>
      <c r="K67" s="210"/>
      <c r="L67" s="211"/>
    </row>
    <row r="69" spans="3:12" x14ac:dyDescent="0.45">
      <c r="C69" s="214" t="s">
        <v>33</v>
      </c>
      <c r="D69" s="215"/>
      <c r="E69" s="215"/>
      <c r="F69" s="215"/>
      <c r="G69" s="215"/>
      <c r="H69" s="215"/>
      <c r="I69" s="215"/>
      <c r="J69" s="215"/>
      <c r="K69" s="215"/>
      <c r="L69" s="216"/>
    </row>
    <row r="70" spans="3:12" ht="14.85" customHeight="1" x14ac:dyDescent="0.45">
      <c r="C70" s="203"/>
      <c r="D70" s="204"/>
      <c r="E70" s="204"/>
      <c r="F70" s="204"/>
      <c r="G70" s="204"/>
      <c r="H70" s="204"/>
      <c r="I70" s="204"/>
      <c r="J70" s="204"/>
      <c r="K70" s="204"/>
      <c r="L70" s="205"/>
    </row>
    <row r="71" spans="3:12" x14ac:dyDescent="0.45">
      <c r="C71" s="206"/>
      <c r="D71" s="207"/>
      <c r="E71" s="207"/>
      <c r="F71" s="207"/>
      <c r="G71" s="207"/>
      <c r="H71" s="207"/>
      <c r="I71" s="207"/>
      <c r="J71" s="207"/>
      <c r="K71" s="207"/>
      <c r="L71" s="208"/>
    </row>
    <row r="72" spans="3:12" x14ac:dyDescent="0.45">
      <c r="C72" s="209"/>
      <c r="D72" s="210"/>
      <c r="E72" s="210"/>
      <c r="F72" s="210"/>
      <c r="G72" s="210"/>
      <c r="H72" s="210"/>
      <c r="I72" s="210"/>
      <c r="J72" s="210"/>
      <c r="K72" s="210"/>
      <c r="L72" s="211"/>
    </row>
  </sheetData>
  <mergeCells count="19">
    <mergeCell ref="C70:L72"/>
    <mergeCell ref="E14:I14"/>
    <mergeCell ref="C16:L16"/>
    <mergeCell ref="F30:I30"/>
    <mergeCell ref="C64:L64"/>
    <mergeCell ref="C65:L67"/>
    <mergeCell ref="C69:L69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4" zoomScaleNormal="100" workbookViewId="0">
      <selection activeCell="F50" sqref="F50"/>
    </sheetView>
  </sheetViews>
  <sheetFormatPr defaultRowHeight="14.25" x14ac:dyDescent="0.45"/>
  <cols>
    <col min="3" max="3" width="15.59765625" bestFit="1" customWidth="1"/>
    <col min="4" max="4" width="10.1328125" bestFit="1" customWidth="1"/>
    <col min="5" max="5" width="10.3984375" bestFit="1" customWidth="1"/>
    <col min="7" max="7" width="12.1328125" bestFit="1" customWidth="1"/>
    <col min="8" max="8" width="10.1328125" bestFit="1" customWidth="1"/>
    <col min="9" max="9" width="10.3984375" bestFit="1" customWidth="1"/>
    <col min="11" max="11" width="11.1328125" bestFit="1" customWidth="1"/>
    <col min="12" max="12" width="8.73046875" bestFit="1" customWidth="1"/>
  </cols>
  <sheetData>
    <row r="4" spans="3:9" x14ac:dyDescent="0.45">
      <c r="C4" s="220" t="s">
        <v>36</v>
      </c>
      <c r="D4" s="221"/>
      <c r="E4" s="222"/>
      <c r="G4" s="220" t="s">
        <v>37</v>
      </c>
      <c r="H4" s="221"/>
      <c r="I4" s="222"/>
    </row>
    <row r="5" spans="3:9" x14ac:dyDescent="0.45">
      <c r="C5" s="1"/>
      <c r="D5" s="42" t="s">
        <v>34</v>
      </c>
      <c r="E5" s="42" t="s">
        <v>22</v>
      </c>
      <c r="G5" s="1"/>
      <c r="H5" s="42" t="s">
        <v>34</v>
      </c>
      <c r="I5" s="42" t="s">
        <v>22</v>
      </c>
    </row>
    <row r="6" spans="3:9" x14ac:dyDescent="0.45">
      <c r="C6" s="43" t="s">
        <v>38</v>
      </c>
      <c r="D6" s="46"/>
      <c r="E6" s="46"/>
      <c r="G6" s="43" t="s">
        <v>38</v>
      </c>
      <c r="H6" s="62">
        <v>0.99899000000000004</v>
      </c>
      <c r="I6" s="62">
        <v>0.99677000000000004</v>
      </c>
    </row>
    <row r="7" spans="3:9" x14ac:dyDescent="0.45">
      <c r="C7" s="43" t="s">
        <v>39</v>
      </c>
      <c r="D7" s="46"/>
      <c r="E7" s="46"/>
      <c r="G7" s="43" t="s">
        <v>39</v>
      </c>
      <c r="H7" s="62">
        <v>0.99977000000000005</v>
      </c>
      <c r="I7" s="62">
        <v>0.96015000000000006</v>
      </c>
    </row>
    <row r="8" spans="3:9" x14ac:dyDescent="0.45">
      <c r="C8" s="43" t="s">
        <v>40</v>
      </c>
      <c r="D8" s="46"/>
      <c r="E8" s="46"/>
      <c r="G8" s="43" t="s">
        <v>40</v>
      </c>
      <c r="H8" s="62">
        <v>0.99834999999999996</v>
      </c>
      <c r="I8" s="62">
        <v>0.99973000000000001</v>
      </c>
    </row>
    <row r="9" spans="3:9" x14ac:dyDescent="0.45">
      <c r="C9" s="43" t="s">
        <v>41</v>
      </c>
      <c r="D9" s="46"/>
      <c r="E9" s="46"/>
      <c r="G9" s="43" t="s">
        <v>41</v>
      </c>
      <c r="H9" s="62">
        <v>1</v>
      </c>
      <c r="I9" s="62">
        <v>1</v>
      </c>
    </row>
    <row r="10" spans="3:9" x14ac:dyDescent="0.45">
      <c r="C10" s="43" t="s">
        <v>42</v>
      </c>
      <c r="D10" s="46"/>
      <c r="E10" s="46"/>
      <c r="G10" s="43" t="s">
        <v>42</v>
      </c>
      <c r="H10" s="62">
        <v>1</v>
      </c>
      <c r="I10" s="62">
        <v>1</v>
      </c>
    </row>
    <row r="11" spans="3:9" x14ac:dyDescent="0.45">
      <c r="C11" s="43" t="s">
        <v>43</v>
      </c>
      <c r="D11" s="46"/>
      <c r="E11" s="46"/>
      <c r="G11" s="43" t="s">
        <v>43</v>
      </c>
      <c r="H11" s="62">
        <v>1</v>
      </c>
      <c r="I11" s="62">
        <v>0.99909999999999999</v>
      </c>
    </row>
    <row r="12" spans="3:9" x14ac:dyDescent="0.45">
      <c r="C12" s="43" t="s">
        <v>44</v>
      </c>
      <c r="D12" s="46">
        <v>0.98024</v>
      </c>
      <c r="E12" s="46">
        <v>1</v>
      </c>
      <c r="G12" s="43" t="s">
        <v>44</v>
      </c>
      <c r="H12" s="62">
        <v>1</v>
      </c>
      <c r="I12" s="62">
        <v>1</v>
      </c>
    </row>
    <row r="13" spans="3:9" x14ac:dyDescent="0.45">
      <c r="C13" s="43" t="s">
        <v>45</v>
      </c>
      <c r="D13" s="46">
        <v>0.98093999999999992</v>
      </c>
      <c r="E13" s="46">
        <v>1</v>
      </c>
      <c r="G13" s="43" t="s">
        <v>45</v>
      </c>
      <c r="H13" s="90">
        <v>0.998</v>
      </c>
      <c r="I13" s="91">
        <v>1</v>
      </c>
    </row>
    <row r="14" spans="3:9" x14ac:dyDescent="0.45">
      <c r="C14" s="43" t="s">
        <v>46</v>
      </c>
      <c r="D14" s="46">
        <v>0.97177999999999998</v>
      </c>
      <c r="E14" s="46">
        <v>1</v>
      </c>
      <c r="G14" s="43" t="s">
        <v>46</v>
      </c>
      <c r="H14" s="90">
        <v>1</v>
      </c>
      <c r="I14" s="91">
        <v>0.97929999999999995</v>
      </c>
    </row>
    <row r="15" spans="3:9" x14ac:dyDescent="0.45">
      <c r="C15" s="43" t="s">
        <v>47</v>
      </c>
      <c r="D15" s="46">
        <v>0.99820999999999993</v>
      </c>
      <c r="E15" s="46">
        <v>0.99462000000000006</v>
      </c>
      <c r="G15" s="43" t="s">
        <v>47</v>
      </c>
      <c r="H15" s="62">
        <v>1</v>
      </c>
      <c r="I15" s="62">
        <v>1</v>
      </c>
    </row>
    <row r="16" spans="3:9" x14ac:dyDescent="0.45">
      <c r="C16" s="43" t="s">
        <v>48</v>
      </c>
      <c r="D16" s="46">
        <v>1</v>
      </c>
      <c r="E16" s="46">
        <v>1</v>
      </c>
      <c r="G16" s="43" t="s">
        <v>48</v>
      </c>
      <c r="H16" s="62">
        <v>1</v>
      </c>
      <c r="I16" s="46">
        <v>0.98499999999999999</v>
      </c>
    </row>
    <row r="17" spans="3:12" x14ac:dyDescent="0.45">
      <c r="C17" s="43" t="s">
        <v>49</v>
      </c>
      <c r="D17" s="46">
        <v>1</v>
      </c>
      <c r="E17" s="46">
        <v>0.99820999999999993</v>
      </c>
      <c r="G17" s="43" t="s">
        <v>49</v>
      </c>
      <c r="H17" s="46">
        <v>0.98167000000000004</v>
      </c>
      <c r="I17" s="46">
        <v>1</v>
      </c>
    </row>
    <row r="18" spans="3:12" x14ac:dyDescent="0.45">
      <c r="C18" s="56" t="s">
        <v>50</v>
      </c>
      <c r="D18" s="52">
        <f>AVERAGE(D6:D17)</f>
        <v>0.98852833333333334</v>
      </c>
      <c r="E18" s="52">
        <f>AVERAGE(E6:E17)</f>
        <v>0.99880500000000005</v>
      </c>
      <c r="G18" s="56" t="s">
        <v>50</v>
      </c>
      <c r="H18" s="52">
        <f>AVERAGE(H6:H17)</f>
        <v>0.99806499999999998</v>
      </c>
      <c r="I18" s="52">
        <f>AVERAGE(I6:I17)</f>
        <v>0.99333749999999998</v>
      </c>
    </row>
    <row r="20" spans="3:12" x14ac:dyDescent="0.45">
      <c r="C20" s="220" t="s">
        <v>51</v>
      </c>
      <c r="D20" s="221"/>
      <c r="E20" s="222"/>
      <c r="G20" s="217" t="s">
        <v>52</v>
      </c>
      <c r="H20" s="223"/>
      <c r="I20" s="218"/>
      <c r="K20" s="217" t="s">
        <v>52</v>
      </c>
      <c r="L20" s="218"/>
    </row>
    <row r="21" spans="3:12" x14ac:dyDescent="0.45">
      <c r="C21" s="1"/>
      <c r="D21" s="42" t="s">
        <v>34</v>
      </c>
      <c r="E21" s="42" t="s">
        <v>22</v>
      </c>
      <c r="G21" s="1"/>
      <c r="H21" s="42" t="s">
        <v>34</v>
      </c>
      <c r="I21" s="42" t="s">
        <v>22</v>
      </c>
      <c r="K21" s="1"/>
      <c r="L21" s="42" t="s">
        <v>35</v>
      </c>
    </row>
    <row r="22" spans="3:12" x14ac:dyDescent="0.45">
      <c r="C22" s="43" t="s">
        <v>38</v>
      </c>
      <c r="D22" s="62">
        <v>1</v>
      </c>
      <c r="E22" s="62">
        <v>1</v>
      </c>
      <c r="G22" s="43" t="s">
        <v>38</v>
      </c>
      <c r="H22" s="62">
        <v>1</v>
      </c>
      <c r="I22" s="62">
        <v>0.99860000000000004</v>
      </c>
      <c r="K22" s="43" t="s">
        <v>38</v>
      </c>
      <c r="L22" s="62">
        <v>0.9647</v>
      </c>
    </row>
    <row r="23" spans="3:12" x14ac:dyDescent="0.45">
      <c r="C23" s="43" t="s">
        <v>39</v>
      </c>
      <c r="D23" s="62">
        <v>1</v>
      </c>
      <c r="E23" s="62">
        <v>0.99867000000000006</v>
      </c>
      <c r="G23" s="43" t="s">
        <v>39</v>
      </c>
      <c r="H23" s="62">
        <v>1</v>
      </c>
      <c r="I23" s="62">
        <v>0.99960000000000004</v>
      </c>
      <c r="K23" s="43" t="s">
        <v>39</v>
      </c>
      <c r="L23" s="62">
        <v>0.82140000000000002</v>
      </c>
    </row>
    <row r="24" spans="3:12" x14ac:dyDescent="0.45">
      <c r="C24" s="43" t="s">
        <v>40</v>
      </c>
      <c r="D24" s="62">
        <v>1</v>
      </c>
      <c r="E24" s="62">
        <v>1</v>
      </c>
      <c r="G24" s="43" t="s">
        <v>40</v>
      </c>
      <c r="H24" s="62">
        <v>1</v>
      </c>
      <c r="I24" s="62">
        <v>1</v>
      </c>
      <c r="K24" s="43" t="s">
        <v>40</v>
      </c>
      <c r="L24" s="62">
        <v>1</v>
      </c>
    </row>
    <row r="25" spans="3:12" x14ac:dyDescent="0.45">
      <c r="C25" s="43" t="s">
        <v>41</v>
      </c>
      <c r="D25" s="62">
        <v>1</v>
      </c>
      <c r="E25" s="62">
        <v>1</v>
      </c>
      <c r="G25" s="43" t="s">
        <v>41</v>
      </c>
      <c r="H25" s="62">
        <v>1</v>
      </c>
      <c r="I25" s="62">
        <v>1</v>
      </c>
      <c r="K25" s="43" t="s">
        <v>41</v>
      </c>
      <c r="L25" s="62">
        <v>1</v>
      </c>
    </row>
    <row r="26" spans="3:12" x14ac:dyDescent="0.45">
      <c r="C26" s="43" t="s">
        <v>42</v>
      </c>
      <c r="D26" s="62">
        <v>0.99953999999999998</v>
      </c>
      <c r="E26" s="62">
        <v>0.99919000000000002</v>
      </c>
      <c r="G26" s="43" t="s">
        <v>42</v>
      </c>
      <c r="H26" s="62">
        <v>1</v>
      </c>
      <c r="I26" s="62">
        <v>1</v>
      </c>
      <c r="K26" s="43" t="s">
        <v>42</v>
      </c>
      <c r="L26" s="62">
        <v>1</v>
      </c>
    </row>
    <row r="27" spans="3:12" x14ac:dyDescent="0.45">
      <c r="C27" s="43" t="s">
        <v>43</v>
      </c>
      <c r="D27" s="62">
        <v>1</v>
      </c>
      <c r="E27" s="62">
        <v>1</v>
      </c>
      <c r="G27" s="43" t="s">
        <v>43</v>
      </c>
      <c r="H27" s="62">
        <v>1</v>
      </c>
      <c r="I27" s="62">
        <v>0.88139999999999996</v>
      </c>
      <c r="K27" s="43" t="s">
        <v>43</v>
      </c>
      <c r="L27" s="137">
        <v>1</v>
      </c>
    </row>
    <row r="28" spans="3:12" x14ac:dyDescent="0.45">
      <c r="C28" s="43" t="s">
        <v>44</v>
      </c>
      <c r="D28" s="62">
        <v>1</v>
      </c>
      <c r="E28" s="62">
        <v>1</v>
      </c>
      <c r="G28" s="43" t="s">
        <v>44</v>
      </c>
      <c r="H28" s="62">
        <v>0.99544999999999995</v>
      </c>
      <c r="I28" s="62">
        <v>1</v>
      </c>
      <c r="K28" s="43" t="s">
        <v>44</v>
      </c>
      <c r="L28" s="137">
        <v>1</v>
      </c>
    </row>
    <row r="29" spans="3:12" x14ac:dyDescent="0.45">
      <c r="C29" s="43" t="s">
        <v>45</v>
      </c>
      <c r="D29" s="62">
        <v>1</v>
      </c>
      <c r="E29" s="62">
        <v>0.99942999999999993</v>
      </c>
      <c r="G29" s="43" t="s">
        <v>45</v>
      </c>
      <c r="H29" s="62">
        <v>1</v>
      </c>
      <c r="I29" s="62">
        <v>1</v>
      </c>
      <c r="K29" s="43" t="s">
        <v>45</v>
      </c>
      <c r="L29" s="62">
        <v>0.98</v>
      </c>
    </row>
    <row r="30" spans="3:12" x14ac:dyDescent="0.45">
      <c r="C30" s="43" t="s">
        <v>46</v>
      </c>
      <c r="D30" s="62">
        <v>1</v>
      </c>
      <c r="E30" s="62">
        <v>1</v>
      </c>
      <c r="G30" s="43" t="s">
        <v>46</v>
      </c>
      <c r="H30" s="62">
        <v>1</v>
      </c>
      <c r="I30" s="62">
        <v>1</v>
      </c>
      <c r="K30" s="43" t="s">
        <v>46</v>
      </c>
      <c r="L30" s="62">
        <v>1</v>
      </c>
    </row>
    <row r="31" spans="3:12" x14ac:dyDescent="0.45">
      <c r="C31" s="43" t="s">
        <v>47</v>
      </c>
      <c r="D31" s="46">
        <v>1</v>
      </c>
      <c r="E31" s="46">
        <v>0.99968000000000001</v>
      </c>
      <c r="G31" s="43" t="s">
        <v>47</v>
      </c>
      <c r="H31" s="62">
        <v>0.99950000000000006</v>
      </c>
      <c r="I31" s="62">
        <v>1</v>
      </c>
      <c r="K31" s="43" t="s">
        <v>47</v>
      </c>
      <c r="L31" s="62">
        <v>1</v>
      </c>
    </row>
    <row r="32" spans="3:12" x14ac:dyDescent="0.45">
      <c r="C32" s="43" t="s">
        <v>48</v>
      </c>
      <c r="D32" s="46">
        <v>1</v>
      </c>
      <c r="E32" s="46">
        <v>0.99951999999999996</v>
      </c>
      <c r="G32" s="43" t="s">
        <v>48</v>
      </c>
      <c r="H32" s="62">
        <v>1</v>
      </c>
      <c r="I32" s="46" t="s">
        <v>53</v>
      </c>
      <c r="K32" s="43" t="s">
        <v>48</v>
      </c>
      <c r="L32" s="149">
        <v>0.96</v>
      </c>
    </row>
    <row r="33" spans="3:12" x14ac:dyDescent="0.45">
      <c r="C33" s="43" t="s">
        <v>49</v>
      </c>
      <c r="D33" s="46">
        <v>1</v>
      </c>
      <c r="E33" s="46">
        <v>1</v>
      </c>
      <c r="G33" s="43" t="s">
        <v>49</v>
      </c>
      <c r="H33" s="46">
        <v>1</v>
      </c>
      <c r="I33" s="46">
        <v>1</v>
      </c>
      <c r="K33" s="43" t="s">
        <v>49</v>
      </c>
      <c r="L33" s="46">
        <v>1</v>
      </c>
    </row>
    <row r="34" spans="3:12" x14ac:dyDescent="0.45">
      <c r="C34" s="56" t="s">
        <v>50</v>
      </c>
      <c r="D34" s="52">
        <f>AVERAGE(D22:D33)</f>
        <v>0.99996166666666664</v>
      </c>
      <c r="E34" s="52">
        <f>AVERAGE(E22:E33)</f>
        <v>0.99970749999999997</v>
      </c>
      <c r="G34" s="56" t="s">
        <v>50</v>
      </c>
      <c r="H34" s="52">
        <f>AVERAGE(H22:H33)</f>
        <v>0.99957916666666657</v>
      </c>
      <c r="I34" s="52">
        <f>AVERAGE(I22:I33)</f>
        <v>0.98905454545454541</v>
      </c>
      <c r="K34" s="56" t="s">
        <v>50</v>
      </c>
      <c r="L34" s="52">
        <f>AVERAGE(L22:L33)</f>
        <v>0.9771749999999999</v>
      </c>
    </row>
    <row r="36" spans="3:12" x14ac:dyDescent="0.45">
      <c r="C36" s="219" t="s">
        <v>54</v>
      </c>
      <c r="D36" s="219"/>
      <c r="E36" s="219"/>
      <c r="F36" s="219"/>
    </row>
    <row r="37" spans="3:12" x14ac:dyDescent="0.45">
      <c r="C37" s="1"/>
      <c r="D37" s="42" t="s">
        <v>34</v>
      </c>
      <c r="E37" s="42" t="s">
        <v>22</v>
      </c>
      <c r="F37" s="42" t="s">
        <v>35</v>
      </c>
    </row>
    <row r="38" spans="3:12" x14ac:dyDescent="0.45">
      <c r="C38" s="43" t="s">
        <v>38</v>
      </c>
      <c r="D38" s="62">
        <v>1</v>
      </c>
      <c r="E38" s="62">
        <v>0.98660000000000003</v>
      </c>
      <c r="F38" s="62">
        <v>1</v>
      </c>
    </row>
    <row r="39" spans="3:12" x14ac:dyDescent="0.45">
      <c r="C39" s="43" t="s">
        <v>39</v>
      </c>
      <c r="D39" s="62">
        <v>0.99970000000000003</v>
      </c>
      <c r="E39" s="62">
        <v>1</v>
      </c>
      <c r="F39" s="62">
        <v>0.99809999999999999</v>
      </c>
    </row>
    <row r="40" spans="3:12" x14ac:dyDescent="0.45">
      <c r="C40" s="43" t="s">
        <v>40</v>
      </c>
      <c r="D40" s="62">
        <v>1</v>
      </c>
      <c r="E40" s="62">
        <v>1</v>
      </c>
      <c r="F40" s="62">
        <v>0.99750000000000005</v>
      </c>
    </row>
    <row r="41" spans="3:12" x14ac:dyDescent="0.45">
      <c r="C41" s="43" t="s">
        <v>41</v>
      </c>
      <c r="D41" s="62"/>
      <c r="E41" s="158"/>
      <c r="F41" s="62"/>
    </row>
    <row r="42" spans="3:12" x14ac:dyDescent="0.45">
      <c r="C42" s="43" t="s">
        <v>42</v>
      </c>
      <c r="D42" s="62"/>
      <c r="E42" s="158"/>
      <c r="F42" s="62"/>
    </row>
    <row r="43" spans="3:12" x14ac:dyDescent="0.45">
      <c r="C43" s="43" t="s">
        <v>43</v>
      </c>
      <c r="D43" s="62"/>
      <c r="E43" s="158"/>
      <c r="F43" s="62"/>
    </row>
    <row r="44" spans="3:12" x14ac:dyDescent="0.45">
      <c r="C44" s="43" t="s">
        <v>44</v>
      </c>
      <c r="D44" s="62"/>
      <c r="E44" s="158"/>
      <c r="F44" s="62"/>
    </row>
    <row r="45" spans="3:12" x14ac:dyDescent="0.45">
      <c r="C45" s="43" t="s">
        <v>45</v>
      </c>
      <c r="D45" s="62"/>
      <c r="E45" s="62"/>
      <c r="F45" s="62"/>
    </row>
    <row r="46" spans="3:12" x14ac:dyDescent="0.45">
      <c r="C46" s="43" t="s">
        <v>46</v>
      </c>
      <c r="D46" s="62"/>
      <c r="E46" s="62"/>
      <c r="F46" s="62"/>
    </row>
    <row r="47" spans="3:12" x14ac:dyDescent="0.45">
      <c r="C47" s="43" t="s">
        <v>47</v>
      </c>
      <c r="D47" s="62"/>
      <c r="E47" s="62"/>
      <c r="F47" s="62"/>
    </row>
    <row r="48" spans="3:12" x14ac:dyDescent="0.45">
      <c r="C48" s="43" t="s">
        <v>48</v>
      </c>
      <c r="D48" s="62"/>
      <c r="E48" s="46"/>
      <c r="F48" s="149"/>
    </row>
    <row r="49" spans="3:6" x14ac:dyDescent="0.45">
      <c r="C49" s="43" t="s">
        <v>49</v>
      </c>
      <c r="D49" s="46"/>
      <c r="E49" s="46"/>
      <c r="F49" s="46"/>
    </row>
    <row r="50" spans="3:6" x14ac:dyDescent="0.45">
      <c r="C50" s="56" t="s">
        <v>50</v>
      </c>
      <c r="D50" s="52">
        <f>AVERAGE(D38:D49)</f>
        <v>0.9998999999999999</v>
      </c>
      <c r="E50" s="52">
        <f>AVERAGE(E38:E49)</f>
        <v>0.99553333333333338</v>
      </c>
      <c r="F50" s="52">
        <f>AVERAGE(F38:F49)</f>
        <v>0.99853333333333338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abSelected="1" topLeftCell="A40" zoomScaleNormal="100" workbookViewId="0">
      <selection activeCell="L81" sqref="L81"/>
    </sheetView>
  </sheetViews>
  <sheetFormatPr defaultColWidth="9.1328125" defaultRowHeight="14.25" x14ac:dyDescent="0.45"/>
  <cols>
    <col min="3" max="3" width="10.59765625" bestFit="1" customWidth="1"/>
    <col min="4" max="4" width="9.1328125" customWidth="1"/>
    <col min="5" max="5" width="10.1328125" customWidth="1"/>
    <col min="6" max="6" width="9.1328125" customWidth="1"/>
    <col min="7" max="8" width="10.1328125" customWidth="1"/>
    <col min="9" max="9" width="7.73046875" customWidth="1"/>
    <col min="10" max="11" width="10.73046875" customWidth="1"/>
    <col min="13" max="13" width="11" bestFit="1" customWidth="1"/>
    <col min="14" max="14" width="12.59765625" customWidth="1"/>
  </cols>
  <sheetData>
    <row r="4" spans="3:12" x14ac:dyDescent="0.45">
      <c r="C4" s="230" t="s">
        <v>55</v>
      </c>
      <c r="D4" s="231"/>
      <c r="E4" s="231"/>
      <c r="F4" s="231"/>
      <c r="G4" s="231"/>
      <c r="H4" s="231"/>
      <c r="I4" s="231"/>
      <c r="J4" s="77"/>
      <c r="K4" s="77"/>
      <c r="L4" s="78"/>
    </row>
    <row r="5" spans="3:12" ht="15.75" x14ac:dyDescent="0.5">
      <c r="C5" s="42"/>
      <c r="D5" s="224" t="s">
        <v>34</v>
      </c>
      <c r="E5" s="225"/>
      <c r="F5" s="226"/>
      <c r="G5" s="224" t="s">
        <v>22</v>
      </c>
      <c r="H5" s="225"/>
      <c r="I5" s="226"/>
      <c r="J5" s="227" t="s">
        <v>56</v>
      </c>
      <c r="K5" s="228"/>
      <c r="L5" s="229"/>
    </row>
    <row r="6" spans="3:12" x14ac:dyDescent="0.45">
      <c r="C6" s="42"/>
      <c r="D6" s="42" t="s">
        <v>57</v>
      </c>
      <c r="E6" s="42" t="s">
        <v>58</v>
      </c>
      <c r="F6" s="42" t="s">
        <v>59</v>
      </c>
      <c r="G6" s="42" t="s">
        <v>57</v>
      </c>
      <c r="H6" s="42" t="s">
        <v>58</v>
      </c>
      <c r="I6" s="42" t="s">
        <v>59</v>
      </c>
      <c r="J6" s="49" t="s">
        <v>57</v>
      </c>
      <c r="K6" s="49" t="s">
        <v>58</v>
      </c>
      <c r="L6" s="49" t="s">
        <v>59</v>
      </c>
    </row>
    <row r="7" spans="3:12" x14ac:dyDescent="0.45">
      <c r="C7" s="47" t="s">
        <v>38</v>
      </c>
      <c r="D7" s="86" t="s">
        <v>60</v>
      </c>
      <c r="E7" s="86" t="s">
        <v>60</v>
      </c>
      <c r="F7" s="86" t="s">
        <v>60</v>
      </c>
      <c r="G7" s="86" t="s">
        <v>60</v>
      </c>
      <c r="H7" s="86" t="s">
        <v>60</v>
      </c>
      <c r="I7" s="86" t="s">
        <v>60</v>
      </c>
      <c r="J7" s="86" t="s">
        <v>60</v>
      </c>
      <c r="K7" s="86" t="s">
        <v>60</v>
      </c>
      <c r="L7" s="86" t="s">
        <v>60</v>
      </c>
    </row>
    <row r="8" spans="3:12" x14ac:dyDescent="0.45">
      <c r="C8" s="47" t="s">
        <v>39</v>
      </c>
      <c r="D8" s="86" t="s">
        <v>60</v>
      </c>
      <c r="E8" s="86" t="s">
        <v>60</v>
      </c>
      <c r="F8" s="86" t="s">
        <v>60</v>
      </c>
      <c r="G8" s="86" t="s">
        <v>60</v>
      </c>
      <c r="H8" s="86" t="s">
        <v>60</v>
      </c>
      <c r="I8" s="86" t="s">
        <v>60</v>
      </c>
      <c r="J8" s="86" t="s">
        <v>60</v>
      </c>
      <c r="K8" s="86" t="s">
        <v>60</v>
      </c>
      <c r="L8" s="86" t="s">
        <v>60</v>
      </c>
    </row>
    <row r="9" spans="3:12" x14ac:dyDescent="0.45">
      <c r="C9" s="47" t="s">
        <v>40</v>
      </c>
      <c r="D9" s="86" t="s">
        <v>60</v>
      </c>
      <c r="E9" s="86" t="s">
        <v>60</v>
      </c>
      <c r="F9" s="86" t="s">
        <v>60</v>
      </c>
      <c r="G9" s="86" t="s">
        <v>60</v>
      </c>
      <c r="H9" s="86" t="s">
        <v>60</v>
      </c>
      <c r="I9" s="86" t="s">
        <v>60</v>
      </c>
      <c r="J9" s="86" t="s">
        <v>60</v>
      </c>
      <c r="K9" s="86" t="s">
        <v>60</v>
      </c>
      <c r="L9" s="86" t="s">
        <v>60</v>
      </c>
    </row>
    <row r="10" spans="3:12" x14ac:dyDescent="0.45">
      <c r="C10" s="47" t="s">
        <v>41</v>
      </c>
      <c r="D10" s="86" t="s">
        <v>60</v>
      </c>
      <c r="E10" s="86" t="s">
        <v>60</v>
      </c>
      <c r="F10" s="86" t="s">
        <v>60</v>
      </c>
      <c r="G10" s="86" t="s">
        <v>60</v>
      </c>
      <c r="H10" s="86" t="s">
        <v>60</v>
      </c>
      <c r="I10" s="86" t="s">
        <v>60</v>
      </c>
      <c r="J10" s="86" t="s">
        <v>60</v>
      </c>
      <c r="K10" s="86" t="s">
        <v>60</v>
      </c>
      <c r="L10" s="86" t="s">
        <v>60</v>
      </c>
    </row>
    <row r="11" spans="3:12" x14ac:dyDescent="0.45">
      <c r="C11" s="47" t="s">
        <v>42</v>
      </c>
      <c r="D11" s="86" t="s">
        <v>60</v>
      </c>
      <c r="E11" s="86" t="s">
        <v>60</v>
      </c>
      <c r="F11" s="86" t="s">
        <v>60</v>
      </c>
      <c r="G11" s="86" t="s">
        <v>60</v>
      </c>
      <c r="H11" s="86" t="s">
        <v>60</v>
      </c>
      <c r="I11" s="86" t="s">
        <v>60</v>
      </c>
      <c r="J11" s="86" t="s">
        <v>60</v>
      </c>
      <c r="K11" s="86" t="s">
        <v>60</v>
      </c>
      <c r="L11" s="86" t="s">
        <v>60</v>
      </c>
    </row>
    <row r="12" spans="3:12" x14ac:dyDescent="0.45">
      <c r="C12" s="47" t="s">
        <v>43</v>
      </c>
      <c r="D12" s="86" t="s">
        <v>60</v>
      </c>
      <c r="E12" s="86" t="s">
        <v>60</v>
      </c>
      <c r="F12" s="86" t="s">
        <v>60</v>
      </c>
      <c r="G12" s="86" t="s">
        <v>60</v>
      </c>
      <c r="H12" s="86" t="s">
        <v>60</v>
      </c>
      <c r="I12" s="86" t="s">
        <v>60</v>
      </c>
      <c r="J12" s="86" t="s">
        <v>60</v>
      </c>
      <c r="K12" s="86" t="s">
        <v>60</v>
      </c>
      <c r="L12" s="86" t="s">
        <v>60</v>
      </c>
    </row>
    <row r="13" spans="3:12" x14ac:dyDescent="0.45">
      <c r="C13" s="47" t="s">
        <v>44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45">
      <c r="C14" s="47" t="s">
        <v>45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60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45">
      <c r="C15" s="47" t="s">
        <v>46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60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45">
      <c r="C16" s="47" t="s">
        <v>47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45">
      <c r="C17" s="47" t="s">
        <v>48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45">
      <c r="C18" s="47" t="s">
        <v>49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45">
      <c r="C19" s="49" t="s">
        <v>61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45">
      <c r="C22" s="230" t="s">
        <v>62</v>
      </c>
      <c r="D22" s="231"/>
      <c r="E22" s="231"/>
      <c r="F22" s="231"/>
      <c r="G22" s="231"/>
      <c r="H22" s="231"/>
      <c r="I22" s="231"/>
      <c r="J22" s="77"/>
      <c r="K22" s="77"/>
      <c r="L22" s="78"/>
    </row>
    <row r="23" spans="3:12" ht="15.75" x14ac:dyDescent="0.5">
      <c r="C23" s="42"/>
      <c r="D23" s="224" t="s">
        <v>34</v>
      </c>
      <c r="E23" s="225"/>
      <c r="F23" s="226"/>
      <c r="G23" s="224" t="s">
        <v>22</v>
      </c>
      <c r="H23" s="225"/>
      <c r="I23" s="226"/>
      <c r="J23" s="227" t="s">
        <v>56</v>
      </c>
      <c r="K23" s="228"/>
      <c r="L23" s="229"/>
    </row>
    <row r="24" spans="3:12" x14ac:dyDescent="0.45">
      <c r="C24" s="42"/>
      <c r="D24" s="42" t="s">
        <v>57</v>
      </c>
      <c r="E24" s="42" t="s">
        <v>58</v>
      </c>
      <c r="F24" s="42" t="s">
        <v>59</v>
      </c>
      <c r="G24" s="42" t="s">
        <v>57</v>
      </c>
      <c r="H24" s="42" t="s">
        <v>58</v>
      </c>
      <c r="I24" s="42" t="s">
        <v>59</v>
      </c>
      <c r="J24" s="49" t="s">
        <v>57</v>
      </c>
      <c r="K24" s="49" t="s">
        <v>58</v>
      </c>
      <c r="L24" s="49" t="s">
        <v>59</v>
      </c>
    </row>
    <row r="25" spans="3:12" x14ac:dyDescent="0.45">
      <c r="C25" s="47" t="s">
        <v>38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45">
      <c r="C26" s="47" t="s">
        <v>39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45">
      <c r="C27" s="47" t="s">
        <v>40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45">
      <c r="C28" s="47" t="s">
        <v>41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45">
      <c r="C29" s="47" t="s">
        <v>42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45">
      <c r="C30" s="47" t="s">
        <v>43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45">
      <c r="C31" s="47" t="s">
        <v>44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45">
      <c r="C32" s="47" t="s">
        <v>45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45">
      <c r="C33" s="47" t="s">
        <v>46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45">
      <c r="C34" s="47" t="s">
        <v>47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45">
      <c r="C35" s="47" t="s">
        <v>48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45">
      <c r="C36" s="47" t="s">
        <v>49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45">
      <c r="C37" s="49" t="s">
        <v>61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45">
      <c r="C40" s="230" t="s">
        <v>63</v>
      </c>
      <c r="D40" s="231"/>
      <c r="E40" s="231"/>
      <c r="F40" s="231"/>
      <c r="G40" s="231"/>
      <c r="H40" s="231"/>
      <c r="I40" s="231"/>
      <c r="J40" s="77"/>
      <c r="K40" s="77"/>
      <c r="L40" s="78"/>
    </row>
    <row r="41" spans="3:43" ht="15.75" x14ac:dyDescent="0.5">
      <c r="C41" s="42"/>
      <c r="D41" s="224" t="s">
        <v>34</v>
      </c>
      <c r="E41" s="225"/>
      <c r="F41" s="226"/>
      <c r="G41" s="224" t="s">
        <v>22</v>
      </c>
      <c r="H41" s="225"/>
      <c r="I41" s="226"/>
      <c r="J41" s="227" t="s">
        <v>56</v>
      </c>
      <c r="K41" s="228"/>
      <c r="L41" s="229"/>
    </row>
    <row r="42" spans="3:43" x14ac:dyDescent="0.45">
      <c r="C42" s="42"/>
      <c r="D42" s="42" t="s">
        <v>57</v>
      </c>
      <c r="E42" s="42" t="s">
        <v>58</v>
      </c>
      <c r="F42" s="42" t="s">
        <v>59</v>
      </c>
      <c r="G42" s="42" t="s">
        <v>57</v>
      </c>
      <c r="H42" s="42" t="s">
        <v>58</v>
      </c>
      <c r="I42" s="42" t="s">
        <v>59</v>
      </c>
      <c r="J42" s="49" t="s">
        <v>57</v>
      </c>
      <c r="K42" s="49" t="s">
        <v>58</v>
      </c>
      <c r="L42" s="49" t="s">
        <v>59</v>
      </c>
    </row>
    <row r="43" spans="3:43" x14ac:dyDescent="0.45">
      <c r="C43" s="47" t="s">
        <v>38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45">
      <c r="C44" s="47" t="s">
        <v>39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45">
      <c r="C45" s="47" t="s">
        <v>40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45">
      <c r="C46" s="47" t="s">
        <v>41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45">
      <c r="C47" s="47" t="s">
        <v>42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45">
      <c r="C48" s="47" t="s">
        <v>43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45">
      <c r="C49" s="47" t="s">
        <v>44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2"/>
      <c r="AO49" s="232"/>
      <c r="AP49" s="232"/>
      <c r="AQ49" s="232"/>
    </row>
    <row r="50" spans="3:43" ht="15.75" x14ac:dyDescent="0.5">
      <c r="C50" s="47" t="s">
        <v>45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3"/>
      <c r="AP50" s="233"/>
      <c r="AQ50" s="233"/>
    </row>
    <row r="51" spans="3:43" x14ac:dyDescent="0.45">
      <c r="C51" s="47" t="s">
        <v>46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 x14ac:dyDescent="0.45">
      <c r="C52" s="47" t="s">
        <v>47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 x14ac:dyDescent="0.45">
      <c r="C53" s="47" t="s">
        <v>48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 x14ac:dyDescent="0.45">
      <c r="C54" s="47" t="s">
        <v>49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 x14ac:dyDescent="0.45">
      <c r="C55" s="49" t="s">
        <v>61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 x14ac:dyDescent="0.45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 x14ac:dyDescent="0.45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45">
      <c r="C58" s="230" t="s">
        <v>64</v>
      </c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4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 x14ac:dyDescent="0.5">
      <c r="C59" s="42"/>
      <c r="D59" s="227" t="s">
        <v>34</v>
      </c>
      <c r="E59" s="228"/>
      <c r="F59" s="229"/>
      <c r="G59" s="227" t="s">
        <v>22</v>
      </c>
      <c r="H59" s="228"/>
      <c r="I59" s="229"/>
      <c r="J59" s="227" t="s">
        <v>35</v>
      </c>
      <c r="K59" s="228"/>
      <c r="L59" s="229"/>
      <c r="M59" s="227" t="s">
        <v>56</v>
      </c>
      <c r="N59" s="228"/>
      <c r="O59" s="229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45">
      <c r="C60" s="42"/>
      <c r="D60" s="42" t="s">
        <v>57</v>
      </c>
      <c r="E60" s="42" t="s">
        <v>58</v>
      </c>
      <c r="F60" s="42" t="s">
        <v>59</v>
      </c>
      <c r="G60" s="42" t="s">
        <v>57</v>
      </c>
      <c r="H60" s="42" t="s">
        <v>58</v>
      </c>
      <c r="I60" s="42" t="s">
        <v>59</v>
      </c>
      <c r="J60" s="42" t="s">
        <v>57</v>
      </c>
      <c r="K60" s="42" t="s">
        <v>58</v>
      </c>
      <c r="L60" s="42" t="s">
        <v>59</v>
      </c>
      <c r="M60" s="49" t="s">
        <v>57</v>
      </c>
      <c r="N60" s="49" t="s">
        <v>58</v>
      </c>
      <c r="O60" s="49" t="s">
        <v>59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45">
      <c r="C61" s="47" t="s">
        <v>38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45">
      <c r="C62" s="47" t="s">
        <v>39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45">
      <c r="C63" s="93" t="s">
        <v>40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45">
      <c r="C64" s="47" t="s">
        <v>41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45">
      <c r="C65" s="47" t="s">
        <v>42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45">
      <c r="C66" s="47" t="s">
        <v>43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45">
      <c r="C67" s="47" t="s">
        <v>44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45">
      <c r="C68" s="47" t="s">
        <v>45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45">
      <c r="C69" s="47" t="s">
        <v>46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45">
      <c r="C70" s="47" t="s">
        <v>47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45">
      <c r="C71" s="47" t="s">
        <v>48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45">
      <c r="C72" s="47" t="s">
        <v>49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45">
      <c r="C73" s="49" t="s">
        <v>61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45">
      <c r="C76" s="230" t="s">
        <v>65</v>
      </c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4"/>
    </row>
    <row r="77" spans="3:43" ht="15.75" x14ac:dyDescent="0.5">
      <c r="C77" s="42"/>
      <c r="D77" s="227" t="s">
        <v>34</v>
      </c>
      <c r="E77" s="228"/>
      <c r="F77" s="229"/>
      <c r="G77" s="227" t="s">
        <v>22</v>
      </c>
      <c r="H77" s="228"/>
      <c r="I77" s="229"/>
      <c r="J77" s="227" t="s">
        <v>35</v>
      </c>
      <c r="K77" s="228"/>
      <c r="L77" s="229"/>
      <c r="M77" s="227" t="s">
        <v>56</v>
      </c>
      <c r="N77" s="228"/>
      <c r="O77" s="229"/>
    </row>
    <row r="78" spans="3:43" x14ac:dyDescent="0.45">
      <c r="C78" s="42"/>
      <c r="D78" s="42" t="s">
        <v>57</v>
      </c>
      <c r="E78" s="42" t="s">
        <v>58</v>
      </c>
      <c r="F78" s="42" t="s">
        <v>59</v>
      </c>
      <c r="G78" s="42" t="s">
        <v>57</v>
      </c>
      <c r="H78" s="42" t="s">
        <v>58</v>
      </c>
      <c r="I78" s="42" t="s">
        <v>59</v>
      </c>
      <c r="J78" s="42" t="s">
        <v>57</v>
      </c>
      <c r="K78" s="42" t="s">
        <v>58</v>
      </c>
      <c r="L78" s="42" t="s">
        <v>59</v>
      </c>
      <c r="M78" s="49" t="s">
        <v>57</v>
      </c>
      <c r="N78" s="49" t="s">
        <v>58</v>
      </c>
      <c r="O78" s="49" t="s">
        <v>59</v>
      </c>
    </row>
    <row r="79" spans="3:43" x14ac:dyDescent="0.45">
      <c r="C79" s="47" t="s">
        <v>38</v>
      </c>
      <c r="D79" s="48">
        <v>108163</v>
      </c>
      <c r="E79" s="48">
        <v>172809.64279999997</v>
      </c>
      <c r="F79" s="46">
        <f t="shared" ref="F79:F88" si="29">D79/E79</f>
        <v>0.62590835932218025</v>
      </c>
      <c r="G79" s="48">
        <v>86767.62</v>
      </c>
      <c r="H79" s="48">
        <v>151534.5576</v>
      </c>
      <c r="I79" s="46">
        <f t="shared" ref="I79:I88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8" si="32">M79/N79</f>
        <v>0.79311235683040071</v>
      </c>
    </row>
    <row r="80" spans="3:43" x14ac:dyDescent="0.45">
      <c r="C80" s="47" t="s">
        <v>39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45">
      <c r="C81" s="93" t="s">
        <v>40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66</v>
      </c>
    </row>
    <row r="82" spans="3:16" x14ac:dyDescent="0.45">
      <c r="C82" s="47" t="s">
        <v>41</v>
      </c>
      <c r="D82" s="92"/>
      <c r="E82" s="48"/>
      <c r="F82" s="46" t="e">
        <f t="shared" si="29"/>
        <v>#DIV/0!</v>
      </c>
      <c r="G82" s="103"/>
      <c r="H82" s="48"/>
      <c r="I82" s="46" t="e">
        <f t="shared" si="30"/>
        <v>#DIV/0!</v>
      </c>
      <c r="J82" s="86"/>
      <c r="K82" s="48"/>
      <c r="L82" s="46" t="e">
        <f t="shared" si="31"/>
        <v>#DIV/0!</v>
      </c>
      <c r="M82" s="50">
        <f t="shared" si="33"/>
        <v>0</v>
      </c>
      <c r="N82" s="50">
        <f t="shared" si="34"/>
        <v>0</v>
      </c>
      <c r="O82" s="51" t="e">
        <f t="shared" si="32"/>
        <v>#DIV/0!</v>
      </c>
    </row>
    <row r="83" spans="3:16" x14ac:dyDescent="0.45">
      <c r="C83" s="47" t="s">
        <v>42</v>
      </c>
      <c r="D83" s="105"/>
      <c r="E83" s="48"/>
      <c r="F83" s="46" t="e">
        <f t="shared" si="29"/>
        <v>#DIV/0!</v>
      </c>
      <c r="G83" s="105"/>
      <c r="H83" s="48"/>
      <c r="I83" s="46" t="e">
        <f t="shared" si="30"/>
        <v>#DIV/0!</v>
      </c>
      <c r="J83" s="48"/>
      <c r="K83" s="48"/>
      <c r="L83" s="46" t="e">
        <f t="shared" si="31"/>
        <v>#DIV/0!</v>
      </c>
      <c r="M83" s="50">
        <f t="shared" si="33"/>
        <v>0</v>
      </c>
      <c r="N83" s="50">
        <f t="shared" si="34"/>
        <v>0</v>
      </c>
      <c r="O83" s="51" t="e">
        <f t="shared" si="32"/>
        <v>#DIV/0!</v>
      </c>
    </row>
    <row r="84" spans="3:16" x14ac:dyDescent="0.45">
      <c r="C84" s="47" t="s">
        <v>43</v>
      </c>
      <c r="D84" s="48"/>
      <c r="E84" s="48"/>
      <c r="F84" s="46" t="e">
        <f t="shared" si="29"/>
        <v>#DIV/0!</v>
      </c>
      <c r="G84" s="48"/>
      <c r="H84" s="48"/>
      <c r="I84" s="46" t="e">
        <f t="shared" si="30"/>
        <v>#DIV/0!</v>
      </c>
      <c r="J84" s="48"/>
      <c r="K84" s="48"/>
      <c r="L84" s="46" t="e">
        <f t="shared" si="31"/>
        <v>#DIV/0!</v>
      </c>
      <c r="M84" s="50">
        <f>SUM(D84,G84,J84)</f>
        <v>0</v>
      </c>
      <c r="N84" s="50">
        <f t="shared" si="34"/>
        <v>0</v>
      </c>
      <c r="O84" s="51" t="e">
        <f t="shared" si="32"/>
        <v>#DIV/0!</v>
      </c>
    </row>
    <row r="85" spans="3:16" x14ac:dyDescent="0.45">
      <c r="C85" s="47" t="s">
        <v>44</v>
      </c>
      <c r="D85" s="48"/>
      <c r="E85" s="48"/>
      <c r="F85" s="46" t="e">
        <f t="shared" si="29"/>
        <v>#DIV/0!</v>
      </c>
      <c r="G85" s="48"/>
      <c r="H85" s="48"/>
      <c r="I85" s="46" t="e">
        <f t="shared" si="30"/>
        <v>#DIV/0!</v>
      </c>
      <c r="J85" s="48"/>
      <c r="K85" s="48"/>
      <c r="L85" s="46" t="e">
        <f t="shared" si="31"/>
        <v>#DIV/0!</v>
      </c>
      <c r="M85" s="50">
        <f>SUM(D85,G85,J85)</f>
        <v>0</v>
      </c>
      <c r="N85" s="50">
        <f t="shared" si="34"/>
        <v>0</v>
      </c>
      <c r="O85" s="51" t="e">
        <f t="shared" si="32"/>
        <v>#DIV/0!</v>
      </c>
    </row>
    <row r="86" spans="3:16" x14ac:dyDescent="0.45">
      <c r="C86" s="47" t="s">
        <v>45</v>
      </c>
      <c r="D86" s="86"/>
      <c r="E86" s="86"/>
      <c r="F86" s="46" t="e">
        <f t="shared" si="29"/>
        <v>#DIV/0!</v>
      </c>
      <c r="G86" s="86"/>
      <c r="H86" s="86"/>
      <c r="I86" s="46" t="e">
        <f t="shared" si="30"/>
        <v>#DIV/0!</v>
      </c>
      <c r="J86" s="86"/>
      <c r="K86" s="86"/>
      <c r="L86" s="46" t="e">
        <f t="shared" si="31"/>
        <v>#DIV/0!</v>
      </c>
      <c r="M86" s="50">
        <f>SUM(D86,G86,J86)</f>
        <v>0</v>
      </c>
      <c r="N86" s="50">
        <f t="shared" si="34"/>
        <v>0</v>
      </c>
      <c r="O86" s="51" t="e">
        <f t="shared" si="32"/>
        <v>#DIV/0!</v>
      </c>
    </row>
    <row r="87" spans="3:16" x14ac:dyDescent="0.45">
      <c r="C87" s="47" t="s">
        <v>46</v>
      </c>
      <c r="D87" s="86"/>
      <c r="E87" s="86"/>
      <c r="F87" s="46" t="e">
        <f t="shared" si="29"/>
        <v>#DIV/0!</v>
      </c>
      <c r="G87" s="86"/>
      <c r="H87" s="86"/>
      <c r="I87" s="46" t="e">
        <f t="shared" si="30"/>
        <v>#DIV/0!</v>
      </c>
      <c r="J87" s="86"/>
      <c r="K87" s="86"/>
      <c r="L87" s="46" t="e">
        <f t="shared" si="31"/>
        <v>#DIV/0!</v>
      </c>
      <c r="M87" s="50">
        <f t="shared" ref="M87:M91" si="35">SUM(D87,G87,J87)</f>
        <v>0</v>
      </c>
      <c r="N87" s="50">
        <f t="shared" si="34"/>
        <v>0</v>
      </c>
      <c r="O87" s="51" t="e">
        <f t="shared" si="32"/>
        <v>#DIV/0!</v>
      </c>
    </row>
    <row r="88" spans="3:16" x14ac:dyDescent="0.45">
      <c r="C88" s="47" t="s">
        <v>47</v>
      </c>
      <c r="D88" s="86"/>
      <c r="E88" s="19"/>
      <c r="F88" s="46" t="e">
        <f t="shared" si="29"/>
        <v>#DIV/0!</v>
      </c>
      <c r="G88" s="48"/>
      <c r="H88" s="86"/>
      <c r="I88" s="46" t="e">
        <f t="shared" si="30"/>
        <v>#DIV/0!</v>
      </c>
      <c r="J88" s="86"/>
      <c r="K88" s="19"/>
      <c r="L88" s="46" t="e">
        <f t="shared" si="31"/>
        <v>#DIV/0!</v>
      </c>
      <c r="M88" s="50">
        <f t="shared" si="35"/>
        <v>0</v>
      </c>
      <c r="N88" s="50">
        <f t="shared" si="34"/>
        <v>0</v>
      </c>
      <c r="O88" s="51" t="e">
        <f t="shared" si="32"/>
        <v>#DIV/0!</v>
      </c>
    </row>
    <row r="89" spans="3:16" x14ac:dyDescent="0.45">
      <c r="C89" s="47" t="s">
        <v>48</v>
      </c>
      <c r="D89" s="48"/>
      <c r="E89" s="48"/>
      <c r="F89" s="46" t="e">
        <f>D89/E89</f>
        <v>#DIV/0!</v>
      </c>
      <c r="G89" s="48"/>
      <c r="H89" s="48"/>
      <c r="I89" s="46" t="e">
        <f>G89/H89</f>
        <v>#DIV/0!</v>
      </c>
      <c r="J89" s="86"/>
      <c r="K89" s="105"/>
      <c r="L89" s="46" t="e">
        <f t="shared" si="31"/>
        <v>#DIV/0!</v>
      </c>
      <c r="M89" s="50">
        <f t="shared" si="35"/>
        <v>0</v>
      </c>
      <c r="N89" s="50">
        <f t="shared" si="34"/>
        <v>0</v>
      </c>
      <c r="O89" s="51" t="e">
        <f>M89/N89</f>
        <v>#DIV/0!</v>
      </c>
    </row>
    <row r="90" spans="3:16" x14ac:dyDescent="0.45">
      <c r="C90" s="47" t="s">
        <v>49</v>
      </c>
      <c r="D90" s="86"/>
      <c r="E90" s="86"/>
      <c r="F90" s="46" t="e">
        <f>D90/E90</f>
        <v>#DIV/0!</v>
      </c>
      <c r="G90" s="86"/>
      <c r="H90" s="86"/>
      <c r="I90" s="46" t="e">
        <f>G90/H90</f>
        <v>#DIV/0!</v>
      </c>
      <c r="J90" s="86"/>
      <c r="K90" s="86"/>
      <c r="L90" s="46" t="e">
        <f t="shared" si="31"/>
        <v>#DIV/0!</v>
      </c>
      <c r="M90" s="50">
        <f t="shared" si="35"/>
        <v>0</v>
      </c>
      <c r="N90" s="50">
        <f t="shared" si="34"/>
        <v>0</v>
      </c>
      <c r="O90" s="51" t="e">
        <f>M90/N90</f>
        <v>#DIV/0!</v>
      </c>
    </row>
    <row r="91" spans="3:16" x14ac:dyDescent="0.45">
      <c r="C91" s="49" t="s">
        <v>61</v>
      </c>
      <c r="D91" s="53">
        <f>SUM(D79:D90)</f>
        <v>784721.5</v>
      </c>
      <c r="E91" s="53">
        <f>SUM(E79:E90)</f>
        <v>821748.64280000003</v>
      </c>
      <c r="F91" s="55">
        <f>D91/E91</f>
        <v>0.9549410356507132</v>
      </c>
      <c r="G91" s="53">
        <f>SUM(G79:G90)</f>
        <v>654359.59499999997</v>
      </c>
      <c r="H91" s="53">
        <f>SUM(H79:H90)</f>
        <v>720180.55759999994</v>
      </c>
      <c r="I91" s="55">
        <f t="shared" ref="I91" si="36">G91/H91</f>
        <v>0.90860491594031889</v>
      </c>
      <c r="J91" s="53">
        <f>SUM(J79:J90)</f>
        <v>1096340.0000000009</v>
      </c>
      <c r="K91" s="53">
        <f>SUM(K79:K90)</f>
        <v>1041685.1013</v>
      </c>
      <c r="L91" s="55">
        <f>J91/K91</f>
        <v>1.0524677742167885</v>
      </c>
      <c r="M91" s="54">
        <f t="shared" si="35"/>
        <v>2535421.0950000007</v>
      </c>
      <c r="N91" s="54">
        <f t="shared" si="34"/>
        <v>2583614.3016999997</v>
      </c>
      <c r="O91" s="55">
        <f t="shared" ref="O91" si="37">M91/N91</f>
        <v>0.98134659392917578</v>
      </c>
    </row>
  </sheetData>
  <mergeCells count="24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topLeftCell="A8" workbookViewId="0">
      <selection activeCell="D31" sqref="D31"/>
    </sheetView>
  </sheetViews>
  <sheetFormatPr defaultRowHeight="14.25" x14ac:dyDescent="0.45"/>
  <cols>
    <col min="1" max="1" width="11.3984375" customWidth="1"/>
    <col min="4" max="4" width="15.73046875" bestFit="1" customWidth="1"/>
    <col min="5" max="5" width="17.1328125" bestFit="1" customWidth="1"/>
  </cols>
  <sheetData>
    <row r="4" spans="1:8" s="59" customFormat="1" ht="30" x14ac:dyDescent="0.45">
      <c r="A4" s="70" t="s">
        <v>67</v>
      </c>
      <c r="B4" s="71" t="s">
        <v>68</v>
      </c>
      <c r="C4" s="71" t="s">
        <v>69</v>
      </c>
      <c r="D4" s="72" t="s">
        <v>4</v>
      </c>
      <c r="E4" s="73" t="s">
        <v>70</v>
      </c>
      <c r="F4" s="60"/>
      <c r="G4" s="60"/>
      <c r="H4" s="60"/>
    </row>
    <row r="5" spans="1:8" x14ac:dyDescent="0.45">
      <c r="A5" s="1" t="s">
        <v>34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45">
      <c r="A6" s="1" t="s">
        <v>34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45">
      <c r="A7" s="1" t="s">
        <v>34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45">
      <c r="A8" s="1" t="s">
        <v>34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45">
      <c r="A9" s="1" t="s">
        <v>34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45">
      <c r="A10" s="1" t="s">
        <v>34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45">
      <c r="A11" s="1" t="s">
        <v>34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45">
      <c r="A12" s="1" t="s">
        <v>34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45">
      <c r="A13" s="1" t="s">
        <v>34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45">
      <c r="A14" s="1" t="s">
        <v>34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45">
      <c r="A15" s="1" t="s">
        <v>34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45">
      <c r="A16" s="1" t="s">
        <v>34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45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45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45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45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45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45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45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45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45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45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45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45">
      <c r="A28" s="156" t="s">
        <v>22</v>
      </c>
      <c r="B28" s="156">
        <v>12</v>
      </c>
      <c r="C28" s="1">
        <f>2024</f>
        <v>2024</v>
      </c>
      <c r="D28" s="157">
        <v>140863.4</v>
      </c>
      <c r="E28" s="82"/>
      <c r="F28" s="89"/>
    </row>
    <row r="29" spans="1:6" x14ac:dyDescent="0.45">
      <c r="A29" s="153" t="s">
        <v>35</v>
      </c>
      <c r="B29" s="153">
        <v>1</v>
      </c>
      <c r="C29" s="1">
        <f>2024</f>
        <v>2024</v>
      </c>
      <c r="D29" s="136">
        <v>359065</v>
      </c>
      <c r="E29" s="81"/>
    </row>
    <row r="30" spans="1:6" x14ac:dyDescent="0.45">
      <c r="A30" s="153" t="s">
        <v>35</v>
      </c>
      <c r="B30" s="153">
        <v>2</v>
      </c>
      <c r="C30" s="1">
        <f>2024</f>
        <v>2024</v>
      </c>
      <c r="D30" s="136">
        <v>341764</v>
      </c>
      <c r="E30" s="81"/>
    </row>
    <row r="31" spans="1:6" x14ac:dyDescent="0.45">
      <c r="A31" s="153" t="s">
        <v>35</v>
      </c>
      <c r="B31" s="153">
        <v>3</v>
      </c>
      <c r="C31" s="1">
        <f>2024</f>
        <v>2024</v>
      </c>
      <c r="D31" s="136">
        <v>409489</v>
      </c>
      <c r="E31" s="81"/>
    </row>
    <row r="32" spans="1:6" x14ac:dyDescent="0.45">
      <c r="A32" s="153" t="s">
        <v>35</v>
      </c>
      <c r="B32" s="153">
        <v>4</v>
      </c>
      <c r="C32" s="1">
        <f>2024</f>
        <v>2024</v>
      </c>
      <c r="D32" s="136">
        <v>426854</v>
      </c>
      <c r="E32" s="81"/>
    </row>
    <row r="33" spans="1:5" x14ac:dyDescent="0.45">
      <c r="A33" s="153" t="s">
        <v>35</v>
      </c>
      <c r="B33" s="153">
        <v>5</v>
      </c>
      <c r="C33" s="1">
        <f>2024</f>
        <v>2024</v>
      </c>
      <c r="D33" s="136">
        <v>491560</v>
      </c>
      <c r="E33" s="81"/>
    </row>
    <row r="34" spans="1:5" x14ac:dyDescent="0.45">
      <c r="A34" s="153" t="s">
        <v>35</v>
      </c>
      <c r="B34" s="153">
        <v>6</v>
      </c>
      <c r="C34" s="1">
        <f>2024</f>
        <v>2024</v>
      </c>
      <c r="D34" s="136">
        <v>511081</v>
      </c>
      <c r="E34" s="81"/>
    </row>
    <row r="35" spans="1:5" x14ac:dyDescent="0.45">
      <c r="A35" s="153" t="s">
        <v>35</v>
      </c>
      <c r="B35" s="153">
        <v>7</v>
      </c>
      <c r="C35" s="1">
        <f>2024</f>
        <v>2024</v>
      </c>
      <c r="D35" s="154">
        <v>528500</v>
      </c>
      <c r="E35" s="81"/>
    </row>
    <row r="36" spans="1:5" x14ac:dyDescent="0.45">
      <c r="A36" s="153" t="s">
        <v>35</v>
      </c>
      <c r="B36" s="153">
        <v>8</v>
      </c>
      <c r="C36" s="1">
        <f>2024</f>
        <v>2024</v>
      </c>
      <c r="D36" s="136">
        <v>491649</v>
      </c>
      <c r="E36" s="81"/>
    </row>
    <row r="37" spans="1:5" x14ac:dyDescent="0.45">
      <c r="A37" s="153" t="s">
        <v>35</v>
      </c>
      <c r="B37" s="153">
        <v>9</v>
      </c>
      <c r="C37" s="1">
        <f>2024</f>
        <v>2024</v>
      </c>
      <c r="D37" s="136">
        <v>422985</v>
      </c>
      <c r="E37" s="81"/>
    </row>
    <row r="38" spans="1:5" x14ac:dyDescent="0.45">
      <c r="A38" s="153" t="s">
        <v>35</v>
      </c>
      <c r="B38" s="153">
        <v>10</v>
      </c>
      <c r="C38" s="1">
        <f>2024</f>
        <v>2024</v>
      </c>
      <c r="D38" s="136">
        <v>426835</v>
      </c>
      <c r="E38" s="81"/>
    </row>
    <row r="39" spans="1:5" x14ac:dyDescent="0.45">
      <c r="A39" s="153" t="s">
        <v>35</v>
      </c>
      <c r="B39" s="153">
        <v>11</v>
      </c>
      <c r="C39" s="1">
        <f>2024</f>
        <v>2024</v>
      </c>
      <c r="D39" s="136">
        <v>378158</v>
      </c>
      <c r="E39" s="81"/>
    </row>
    <row r="40" spans="1:5" x14ac:dyDescent="0.45">
      <c r="A40" s="153" t="s">
        <v>35</v>
      </c>
      <c r="B40" s="153">
        <v>12</v>
      </c>
      <c r="C40" s="1">
        <f>2024</f>
        <v>2024</v>
      </c>
      <c r="D40" s="155">
        <v>357864</v>
      </c>
      <c r="E40" s="82"/>
    </row>
    <row r="41" spans="1:5" x14ac:dyDescent="0.4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25" x14ac:dyDescent="0.45"/>
  <cols>
    <col min="2" max="2" width="9.1328125" style="19" bestFit="1" collapsed="1"/>
    <col min="3" max="3" width="8.73046875" style="19" collapsed="1"/>
    <col min="7" max="7" width="14.73046875" bestFit="1" customWidth="1"/>
    <col min="8" max="8" width="20.73046875" customWidth="1"/>
    <col min="9" max="9" width="19.1328125" customWidth="1"/>
  </cols>
  <sheetData>
    <row r="1" spans="1:17" x14ac:dyDescent="0.45">
      <c r="A1" s="33" t="s">
        <v>71</v>
      </c>
      <c r="B1" s="17" t="s">
        <v>72</v>
      </c>
      <c r="C1" s="17" t="s">
        <v>73</v>
      </c>
      <c r="D1" s="32"/>
      <c r="H1" s="174" t="s">
        <v>74</v>
      </c>
      <c r="I1" s="174"/>
      <c r="J1" s="174"/>
      <c r="K1" s="174"/>
      <c r="L1" s="174"/>
      <c r="M1" s="174"/>
      <c r="N1" s="174"/>
      <c r="O1" s="174"/>
      <c r="Q1" s="32" t="s">
        <v>75</v>
      </c>
    </row>
    <row r="2" spans="1:17" x14ac:dyDescent="0.45">
      <c r="A2" s="33" t="s">
        <v>76</v>
      </c>
      <c r="B2" s="34" t="s">
        <v>77</v>
      </c>
      <c r="C2" s="34" t="s">
        <v>78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45">
      <c r="A3" s="35">
        <v>42005</v>
      </c>
      <c r="B3" s="19">
        <v>430600</v>
      </c>
      <c r="C3" s="19">
        <v>88900</v>
      </c>
      <c r="D3" s="32"/>
      <c r="F3" s="27"/>
      <c r="G3" t="s">
        <v>38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45">
      <c r="A4" s="35">
        <v>42036</v>
      </c>
      <c r="B4" s="19">
        <v>472000</v>
      </c>
      <c r="C4" s="19">
        <v>99800</v>
      </c>
      <c r="D4" s="32"/>
      <c r="F4" s="27"/>
      <c r="G4" t="s">
        <v>39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45">
      <c r="A5" s="36">
        <v>42064</v>
      </c>
      <c r="B5" s="25">
        <v>637500</v>
      </c>
      <c r="C5" s="25">
        <v>138300</v>
      </c>
      <c r="D5" s="37" t="s">
        <v>79</v>
      </c>
      <c r="F5" s="19"/>
      <c r="G5" t="s">
        <v>80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45">
      <c r="A6" s="35">
        <v>42095</v>
      </c>
      <c r="B6" s="19">
        <v>719700</v>
      </c>
      <c r="C6" s="19">
        <v>158700</v>
      </c>
      <c r="D6" s="32"/>
      <c r="F6" s="19"/>
      <c r="G6" t="s">
        <v>41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45">
      <c r="A7" s="35">
        <v>42125</v>
      </c>
      <c r="B7" s="19">
        <v>729800</v>
      </c>
      <c r="C7" s="19">
        <v>162100</v>
      </c>
      <c r="D7" s="32"/>
      <c r="F7" s="19"/>
      <c r="G7" t="s">
        <v>42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45">
      <c r="A8" s="35">
        <v>42156</v>
      </c>
      <c r="B8" s="19">
        <v>764800</v>
      </c>
      <c r="C8" s="19">
        <v>172600</v>
      </c>
      <c r="D8" s="32"/>
      <c r="F8" s="19"/>
      <c r="G8" t="s">
        <v>43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45">
      <c r="A9" s="35">
        <v>42186</v>
      </c>
      <c r="B9" s="19">
        <v>773600</v>
      </c>
      <c r="C9" s="19">
        <v>175600</v>
      </c>
      <c r="D9" s="32"/>
      <c r="F9" s="19"/>
      <c r="G9" t="s">
        <v>44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45">
      <c r="A10" s="35">
        <v>42217</v>
      </c>
      <c r="B10" s="19">
        <v>753100</v>
      </c>
      <c r="C10" s="19">
        <v>170100</v>
      </c>
      <c r="D10" s="32"/>
      <c r="F10" s="19"/>
      <c r="G10" t="s">
        <v>45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45">
      <c r="A11" s="35">
        <v>42248</v>
      </c>
      <c r="B11" s="19">
        <v>622300</v>
      </c>
      <c r="C11" s="19">
        <v>138000</v>
      </c>
      <c r="D11" s="32"/>
      <c r="F11" s="19"/>
      <c r="G11" t="s">
        <v>46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45">
      <c r="A12" s="35">
        <v>42278</v>
      </c>
      <c r="B12" s="19">
        <v>572800</v>
      </c>
      <c r="C12" s="19">
        <v>124400</v>
      </c>
      <c r="D12" s="32"/>
      <c r="F12" s="19"/>
      <c r="G12" t="s">
        <v>47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45">
      <c r="A13" s="35">
        <v>42309</v>
      </c>
      <c r="B13" s="19">
        <v>413200</v>
      </c>
      <c r="C13" s="19">
        <v>88700</v>
      </c>
      <c r="D13" s="32"/>
      <c r="F13" s="27"/>
      <c r="G13" t="s">
        <v>48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45">
      <c r="A14" s="35">
        <v>42339</v>
      </c>
      <c r="B14" s="19">
        <v>420700</v>
      </c>
      <c r="C14" s="19">
        <v>88000</v>
      </c>
      <c r="D14" s="32"/>
      <c r="F14" s="27"/>
      <c r="G14" t="s">
        <v>49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45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45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45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45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45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45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45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45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45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45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45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45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45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45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45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45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45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45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45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45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45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45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45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45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45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45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45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45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45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45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45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45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45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45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45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45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45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45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45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45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45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45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45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45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45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45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45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45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45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45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45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45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45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45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45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45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45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45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45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45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45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45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45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45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45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45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45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45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45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45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45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45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45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45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45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45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45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45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45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45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45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45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45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45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45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6" max="6" width="13.73046875" bestFit="1" customWidth="1"/>
    <col min="7" max="7" width="11.73046875" bestFit="1" customWidth="1"/>
    <col min="8" max="8" width="18.1328125" customWidth="1"/>
    <col min="10" max="10" width="10" bestFit="1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t="s">
        <v>81</v>
      </c>
      <c r="P1" t="s">
        <v>82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45">
      <c r="A3" s="15">
        <v>42005</v>
      </c>
      <c r="B3" s="19">
        <v>558000</v>
      </c>
      <c r="C3" s="19">
        <v>89800</v>
      </c>
      <c r="F3" t="s">
        <v>38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45">
      <c r="A4" s="15">
        <v>42036</v>
      </c>
      <c r="B4" s="19">
        <v>618000</v>
      </c>
      <c r="C4" s="19">
        <v>100200</v>
      </c>
      <c r="F4" s="26" t="s">
        <v>39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45">
      <c r="A5" s="15">
        <v>42064</v>
      </c>
      <c r="B5" s="19">
        <v>832000</v>
      </c>
      <c r="C5" s="19">
        <v>140000</v>
      </c>
      <c r="F5" s="26" t="s">
        <v>80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45">
      <c r="A6" s="15">
        <v>42095</v>
      </c>
      <c r="B6" s="19">
        <v>960000</v>
      </c>
      <c r="C6" s="19">
        <v>164500</v>
      </c>
      <c r="F6" s="26" t="s">
        <v>41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45">
      <c r="A7" s="15">
        <v>42125</v>
      </c>
      <c r="B7" s="19">
        <v>965000</v>
      </c>
      <c r="C7" s="19">
        <v>166700</v>
      </c>
      <c r="F7" s="26" t="s">
        <v>42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45">
      <c r="A8" s="15">
        <v>42156</v>
      </c>
      <c r="B8" s="19">
        <v>1010000</v>
      </c>
      <c r="C8" s="19">
        <v>175600</v>
      </c>
      <c r="F8" s="26" t="s">
        <v>43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45">
      <c r="A9" s="15">
        <v>42186</v>
      </c>
      <c r="B9" s="19">
        <v>1006000</v>
      </c>
      <c r="C9" s="19">
        <v>175400</v>
      </c>
      <c r="F9" s="26" t="s">
        <v>44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45">
      <c r="A10" s="15">
        <v>42217</v>
      </c>
      <c r="B10" s="19">
        <v>958000</v>
      </c>
      <c r="C10" s="19">
        <v>166400</v>
      </c>
      <c r="F10" s="26" t="s">
        <v>45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45">
      <c r="A11" s="15">
        <v>42248</v>
      </c>
      <c r="B11" s="19">
        <v>804000</v>
      </c>
      <c r="C11" s="19">
        <v>138400</v>
      </c>
      <c r="F11" s="26" t="s">
        <v>46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45">
      <c r="A12" s="24">
        <v>42278</v>
      </c>
      <c r="B12" s="25">
        <v>772000</v>
      </c>
      <c r="C12" s="25">
        <v>129600</v>
      </c>
      <c r="D12" s="38" t="s">
        <v>83</v>
      </c>
      <c r="F12" s="26" t="s">
        <v>47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45">
      <c r="A13" s="15">
        <v>42309</v>
      </c>
      <c r="B13" s="19">
        <v>546000</v>
      </c>
      <c r="C13" s="19">
        <v>90200</v>
      </c>
      <c r="F13" s="26" t="s">
        <v>48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45">
      <c r="A14" s="15">
        <v>42339</v>
      </c>
      <c r="B14" s="19">
        <v>546000</v>
      </c>
      <c r="C14" s="19">
        <v>88300</v>
      </c>
      <c r="F14" s="26" t="s">
        <v>49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45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45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45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45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45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45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45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45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45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45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45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45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45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45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45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45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45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45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45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45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45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45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45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45">
      <c r="A38" s="15">
        <v>43070</v>
      </c>
      <c r="B38" s="19">
        <f t="shared" si="2"/>
        <v>540540</v>
      </c>
      <c r="C38" s="19">
        <v>88300</v>
      </c>
    </row>
    <row r="39" spans="1:10" x14ac:dyDescent="0.45">
      <c r="A39" s="24">
        <v>43101</v>
      </c>
      <c r="B39" s="25">
        <f>B15*0.99</f>
        <v>552420</v>
      </c>
      <c r="C39" s="25">
        <v>89800</v>
      </c>
    </row>
    <row r="40" spans="1:10" x14ac:dyDescent="0.45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45">
      <c r="A41" s="24">
        <v>43160</v>
      </c>
      <c r="B41" s="25">
        <f t="shared" si="3"/>
        <v>823680</v>
      </c>
      <c r="C41" s="25">
        <v>140000</v>
      </c>
    </row>
    <row r="42" spans="1:10" x14ac:dyDescent="0.45">
      <c r="A42" s="24">
        <v>43191</v>
      </c>
      <c r="B42" s="25">
        <f t="shared" si="3"/>
        <v>950400</v>
      </c>
      <c r="C42" s="25">
        <v>164500</v>
      </c>
    </row>
    <row r="43" spans="1:10" x14ac:dyDescent="0.45">
      <c r="A43" s="24">
        <v>43221</v>
      </c>
      <c r="B43" s="25">
        <f t="shared" si="3"/>
        <v>955350</v>
      </c>
      <c r="C43" s="25">
        <v>166700</v>
      </c>
    </row>
    <row r="44" spans="1:10" x14ac:dyDescent="0.45">
      <c r="A44" s="24">
        <v>43252</v>
      </c>
      <c r="B44" s="25">
        <f t="shared" si="3"/>
        <v>999900</v>
      </c>
      <c r="C44" s="25">
        <v>175600</v>
      </c>
    </row>
    <row r="45" spans="1:10" x14ac:dyDescent="0.45">
      <c r="A45" s="24">
        <v>43282</v>
      </c>
      <c r="B45" s="25">
        <f t="shared" si="3"/>
        <v>995940</v>
      </c>
      <c r="C45" s="25">
        <v>175400</v>
      </c>
    </row>
    <row r="46" spans="1:10" x14ac:dyDescent="0.45">
      <c r="A46" s="24">
        <v>43313</v>
      </c>
      <c r="B46" s="25">
        <f t="shared" si="3"/>
        <v>948420</v>
      </c>
      <c r="C46" s="25">
        <v>166400</v>
      </c>
    </row>
    <row r="47" spans="1:10" x14ac:dyDescent="0.45">
      <c r="A47" s="24">
        <v>43344</v>
      </c>
      <c r="B47" s="25">
        <f t="shared" si="3"/>
        <v>795960</v>
      </c>
      <c r="C47" s="25">
        <v>138400</v>
      </c>
    </row>
    <row r="48" spans="1:10" x14ac:dyDescent="0.45">
      <c r="A48" s="24">
        <v>43374</v>
      </c>
      <c r="B48" s="25">
        <f>B12*0.985</f>
        <v>760420</v>
      </c>
      <c r="C48" s="25">
        <v>129600</v>
      </c>
    </row>
    <row r="49" spans="1:3" x14ac:dyDescent="0.45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45">
      <c r="A50" s="24">
        <v>43435</v>
      </c>
      <c r="B50" s="25">
        <f t="shared" si="4"/>
        <v>537810</v>
      </c>
      <c r="C50" s="25">
        <v>88300</v>
      </c>
    </row>
    <row r="51" spans="1:3" x14ac:dyDescent="0.45">
      <c r="A51" s="15">
        <v>43466</v>
      </c>
      <c r="B51" s="19">
        <f>B15*0.985</f>
        <v>549630</v>
      </c>
      <c r="C51" s="19">
        <v>89800</v>
      </c>
    </row>
    <row r="52" spans="1:3" x14ac:dyDescent="0.45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45">
      <c r="A53" s="15">
        <v>43525</v>
      </c>
      <c r="B53" s="19">
        <f t="shared" si="5"/>
        <v>819520</v>
      </c>
      <c r="C53" s="19">
        <v>140000</v>
      </c>
    </row>
    <row r="54" spans="1:3" x14ac:dyDescent="0.45">
      <c r="A54" s="15">
        <v>43556</v>
      </c>
      <c r="B54" s="19">
        <f t="shared" si="5"/>
        <v>945600</v>
      </c>
      <c r="C54" s="19">
        <v>164500</v>
      </c>
    </row>
    <row r="55" spans="1:3" x14ac:dyDescent="0.45">
      <c r="A55" s="15">
        <v>43586</v>
      </c>
      <c r="B55" s="19">
        <f t="shared" si="5"/>
        <v>950525</v>
      </c>
      <c r="C55" s="19">
        <v>166700</v>
      </c>
    </row>
    <row r="56" spans="1:3" x14ac:dyDescent="0.45">
      <c r="A56" s="15">
        <v>43617</v>
      </c>
      <c r="B56" s="19">
        <f t="shared" si="5"/>
        <v>994850</v>
      </c>
      <c r="C56" s="19">
        <v>175600</v>
      </c>
    </row>
    <row r="57" spans="1:3" x14ac:dyDescent="0.45">
      <c r="A57" s="15">
        <v>43647</v>
      </c>
      <c r="B57" s="19">
        <f t="shared" si="5"/>
        <v>990910</v>
      </c>
      <c r="C57" s="19">
        <v>175400</v>
      </c>
    </row>
    <row r="58" spans="1:3" x14ac:dyDescent="0.45">
      <c r="A58" s="15">
        <v>43678</v>
      </c>
      <c r="B58" s="19">
        <f t="shared" si="5"/>
        <v>943630</v>
      </c>
      <c r="C58" s="19">
        <v>166400</v>
      </c>
    </row>
    <row r="59" spans="1:3" x14ac:dyDescent="0.45">
      <c r="A59" s="15">
        <v>43709</v>
      </c>
      <c r="B59" s="19">
        <f t="shared" si="5"/>
        <v>791940</v>
      </c>
      <c r="C59" s="19">
        <v>138400</v>
      </c>
    </row>
    <row r="60" spans="1:3" x14ac:dyDescent="0.45">
      <c r="A60" s="15">
        <v>43739</v>
      </c>
      <c r="B60" s="19">
        <f>B12*0.98</f>
        <v>756560</v>
      </c>
      <c r="C60" s="19">
        <v>129600</v>
      </c>
    </row>
    <row r="61" spans="1:3" x14ac:dyDescent="0.45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45">
      <c r="A62" s="15">
        <v>43800</v>
      </c>
      <c r="B62" s="19">
        <f t="shared" si="6"/>
        <v>535080</v>
      </c>
      <c r="C62" s="19">
        <v>88300</v>
      </c>
    </row>
    <row r="63" spans="1:3" x14ac:dyDescent="0.45">
      <c r="A63" s="24">
        <v>43831</v>
      </c>
      <c r="B63" s="25">
        <f>B3*0.98</f>
        <v>546840</v>
      </c>
      <c r="C63" s="25">
        <v>89800</v>
      </c>
    </row>
    <row r="64" spans="1:3" x14ac:dyDescent="0.45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45">
      <c r="A65" s="24">
        <v>43891</v>
      </c>
      <c r="B65" s="25">
        <f t="shared" si="7"/>
        <v>815360</v>
      </c>
      <c r="C65" s="25">
        <v>140000</v>
      </c>
    </row>
    <row r="66" spans="1:3" x14ac:dyDescent="0.45">
      <c r="A66" s="24">
        <v>43922</v>
      </c>
      <c r="B66" s="25">
        <f t="shared" si="7"/>
        <v>940800</v>
      </c>
      <c r="C66" s="25">
        <v>164500</v>
      </c>
    </row>
    <row r="67" spans="1:3" x14ac:dyDescent="0.45">
      <c r="A67" s="24">
        <v>43952</v>
      </c>
      <c r="B67" s="25">
        <f t="shared" si="7"/>
        <v>945700</v>
      </c>
      <c r="C67" s="25">
        <v>166700</v>
      </c>
    </row>
    <row r="68" spans="1:3" x14ac:dyDescent="0.45">
      <c r="A68" s="24">
        <v>43983</v>
      </c>
      <c r="B68" s="25">
        <f t="shared" si="7"/>
        <v>989800</v>
      </c>
      <c r="C68" s="25">
        <v>175600</v>
      </c>
    </row>
    <row r="69" spans="1:3" x14ac:dyDescent="0.45">
      <c r="A69" s="24">
        <v>44013</v>
      </c>
      <c r="B69" s="25">
        <f t="shared" si="7"/>
        <v>985880</v>
      </c>
      <c r="C69" s="25">
        <v>175400</v>
      </c>
    </row>
    <row r="70" spans="1:3" x14ac:dyDescent="0.45">
      <c r="A70" s="24">
        <v>44044</v>
      </c>
      <c r="B70" s="25">
        <f t="shared" si="7"/>
        <v>938840</v>
      </c>
      <c r="C70" s="25">
        <v>166400</v>
      </c>
    </row>
    <row r="71" spans="1:3" x14ac:dyDescent="0.45">
      <c r="A71" s="24">
        <v>44075</v>
      </c>
      <c r="B71" s="25">
        <f t="shared" si="7"/>
        <v>787920</v>
      </c>
      <c r="C71" s="25">
        <v>138400</v>
      </c>
    </row>
    <row r="72" spans="1:3" x14ac:dyDescent="0.45">
      <c r="A72" s="24">
        <v>44105</v>
      </c>
      <c r="B72" s="25">
        <f>B12*0.975</f>
        <v>752700</v>
      </c>
      <c r="C72" s="25">
        <v>129600</v>
      </c>
    </row>
    <row r="73" spans="1:3" x14ac:dyDescent="0.45">
      <c r="A73" s="24">
        <v>44136</v>
      </c>
      <c r="B73" s="25">
        <f>B13*0.975</f>
        <v>532350</v>
      </c>
      <c r="C73" s="25">
        <v>90200</v>
      </c>
    </row>
    <row r="74" spans="1:3" x14ac:dyDescent="0.45">
      <c r="A74" s="24">
        <v>44166</v>
      </c>
      <c r="B74" s="25">
        <f>B14*0.975</f>
        <v>532350</v>
      </c>
      <c r="C74" s="25">
        <v>88300</v>
      </c>
    </row>
    <row r="75" spans="1:3" x14ac:dyDescent="0.45">
      <c r="A75" s="15">
        <v>44197</v>
      </c>
      <c r="B75" s="19">
        <f>B3*0.975</f>
        <v>544050</v>
      </c>
      <c r="C75" s="19">
        <v>89800</v>
      </c>
    </row>
    <row r="76" spans="1:3" x14ac:dyDescent="0.45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45">
      <c r="A77" s="15">
        <v>44256</v>
      </c>
      <c r="B77" s="19">
        <f t="shared" si="8"/>
        <v>811200</v>
      </c>
      <c r="C77" s="19">
        <v>140000</v>
      </c>
    </row>
    <row r="78" spans="1:3" x14ac:dyDescent="0.45">
      <c r="A78" s="15">
        <v>44287</v>
      </c>
      <c r="B78" s="19">
        <f t="shared" si="8"/>
        <v>936000</v>
      </c>
      <c r="C78" s="19">
        <v>164500</v>
      </c>
    </row>
    <row r="79" spans="1:3" x14ac:dyDescent="0.45">
      <c r="A79" s="15">
        <v>44317</v>
      </c>
      <c r="B79" s="19">
        <f t="shared" si="8"/>
        <v>940875</v>
      </c>
      <c r="C79" s="19">
        <v>166700</v>
      </c>
    </row>
    <row r="80" spans="1:3" x14ac:dyDescent="0.45">
      <c r="A80" s="15">
        <v>44348</v>
      </c>
      <c r="B80" s="19">
        <f t="shared" si="8"/>
        <v>984750</v>
      </c>
      <c r="C80" s="19">
        <v>175600</v>
      </c>
    </row>
    <row r="81" spans="1:3" x14ac:dyDescent="0.45">
      <c r="A81" s="15">
        <v>44378</v>
      </c>
      <c r="B81" s="19">
        <f t="shared" si="8"/>
        <v>980850</v>
      </c>
      <c r="C81" s="19">
        <v>175400</v>
      </c>
    </row>
    <row r="82" spans="1:3" x14ac:dyDescent="0.45">
      <c r="A82" s="15">
        <v>44409</v>
      </c>
      <c r="B82" s="19">
        <f t="shared" si="8"/>
        <v>934050</v>
      </c>
      <c r="C82" s="19">
        <v>166400</v>
      </c>
    </row>
    <row r="83" spans="1:3" x14ac:dyDescent="0.45">
      <c r="A83" s="15">
        <v>44440</v>
      </c>
      <c r="B83" s="19">
        <f t="shared" si="8"/>
        <v>783900</v>
      </c>
      <c r="C83" s="19">
        <v>138400</v>
      </c>
    </row>
    <row r="84" spans="1:3" x14ac:dyDescent="0.45">
      <c r="A84" s="15">
        <v>44470</v>
      </c>
      <c r="B84" s="19">
        <f t="shared" si="8"/>
        <v>752700</v>
      </c>
      <c r="C84" s="19">
        <v>129600</v>
      </c>
    </row>
    <row r="85" spans="1:3" x14ac:dyDescent="0.45">
      <c r="A85" s="15">
        <v>44501</v>
      </c>
      <c r="B85" s="19">
        <f t="shared" si="8"/>
        <v>532350</v>
      </c>
      <c r="C85" s="19">
        <v>90200</v>
      </c>
    </row>
    <row r="86" spans="1:3" x14ac:dyDescent="0.45">
      <c r="A86" s="15">
        <v>44531</v>
      </c>
      <c r="B86" s="19">
        <f t="shared" si="8"/>
        <v>532350</v>
      </c>
      <c r="C86" s="19">
        <v>88300</v>
      </c>
    </row>
    <row r="87" spans="1:3" x14ac:dyDescent="0.45">
      <c r="A87" s="24">
        <v>44562</v>
      </c>
      <c r="B87" s="25">
        <v>541467.86022079608</v>
      </c>
      <c r="C87" s="25">
        <v>99500</v>
      </c>
    </row>
    <row r="88" spans="1:3" x14ac:dyDescent="0.45">
      <c r="A88" s="24">
        <v>44593</v>
      </c>
      <c r="B88" s="25">
        <v>599690.21078217216</v>
      </c>
      <c r="C88" s="25">
        <v>110300</v>
      </c>
    </row>
    <row r="89" spans="1:3" x14ac:dyDescent="0.45">
      <c r="A89" s="24">
        <v>44621</v>
      </c>
      <c r="B89" s="25">
        <v>807349.9277844131</v>
      </c>
      <c r="C89" s="25">
        <v>152700</v>
      </c>
    </row>
    <row r="90" spans="1:3" x14ac:dyDescent="0.45">
      <c r="A90" s="24">
        <v>44652</v>
      </c>
      <c r="B90" s="25">
        <v>931557.60898201505</v>
      </c>
      <c r="C90" s="25">
        <v>177600</v>
      </c>
    </row>
    <row r="91" spans="1:3" x14ac:dyDescent="0.45">
      <c r="A91" s="24">
        <v>44682</v>
      </c>
      <c r="B91" s="25">
        <v>936409.47152879636</v>
      </c>
      <c r="C91" s="25">
        <v>178000</v>
      </c>
    </row>
    <row r="92" spans="1:3" x14ac:dyDescent="0.45">
      <c r="A92" s="24">
        <v>44713</v>
      </c>
      <c r="B92" s="25">
        <v>980076.23444982816</v>
      </c>
      <c r="C92" s="25">
        <v>186200</v>
      </c>
    </row>
    <row r="93" spans="1:3" x14ac:dyDescent="0.45">
      <c r="A93" s="24">
        <v>44743</v>
      </c>
      <c r="B93" s="25">
        <v>976194.7444124032</v>
      </c>
      <c r="C93" s="25">
        <v>184400</v>
      </c>
    </row>
    <row r="94" spans="1:3" x14ac:dyDescent="0.45">
      <c r="A94" s="24">
        <v>44774</v>
      </c>
      <c r="B94" s="25">
        <v>929616.86396330222</v>
      </c>
      <c r="C94" s="25">
        <v>176400</v>
      </c>
    </row>
    <row r="95" spans="1:3" x14ac:dyDescent="0.45">
      <c r="A95" s="24">
        <v>44805</v>
      </c>
      <c r="B95" s="25">
        <v>780179.49752243748</v>
      </c>
      <c r="C95" s="25">
        <v>147200</v>
      </c>
    </row>
    <row r="96" spans="1:3" x14ac:dyDescent="0.45">
      <c r="A96" s="24">
        <v>44835</v>
      </c>
      <c r="B96" s="25">
        <v>745381.9393369219</v>
      </c>
      <c r="C96" s="25">
        <v>139100</v>
      </c>
    </row>
    <row r="97" spans="1:3" x14ac:dyDescent="0.45">
      <c r="A97" s="24">
        <v>44866</v>
      </c>
      <c r="B97" s="25">
        <v>527174.27315797843</v>
      </c>
      <c r="C97" s="25">
        <v>97900</v>
      </c>
    </row>
    <row r="98" spans="1:3" x14ac:dyDescent="0.45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73046875" bestFit="1" customWidth="1"/>
    <col min="6" max="6" width="14.73046875" customWidth="1"/>
    <col min="7" max="7" width="10" bestFit="1" customWidth="1"/>
    <col min="10" max="10" width="10.1328125" customWidth="1"/>
    <col min="11" max="11" width="12" customWidth="1"/>
    <col min="13" max="13" width="12.1328125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s="174" t="s">
        <v>84</v>
      </c>
      <c r="H1" s="174"/>
      <c r="I1" s="174"/>
      <c r="J1" s="174"/>
      <c r="K1" s="174"/>
      <c r="L1" s="174"/>
      <c r="M1" s="174"/>
      <c r="N1" s="174"/>
      <c r="P1" s="32" t="s">
        <v>85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596000</v>
      </c>
      <c r="C3" s="19">
        <v>95500</v>
      </c>
      <c r="F3" t="s">
        <v>38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45">
      <c r="A4" s="15">
        <v>42036</v>
      </c>
      <c r="B4" s="19">
        <v>602000</v>
      </c>
      <c r="C4" s="19">
        <v>98900</v>
      </c>
      <c r="E4" s="26"/>
      <c r="F4" t="s">
        <v>39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45">
      <c r="A5" s="15">
        <v>42064</v>
      </c>
      <c r="B5" s="19">
        <v>866000</v>
      </c>
      <c r="C5" s="19">
        <v>144000</v>
      </c>
      <c r="E5" s="26"/>
      <c r="F5" t="s">
        <v>80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45">
      <c r="A6" s="15">
        <v>42095</v>
      </c>
      <c r="B6" s="19">
        <v>967000</v>
      </c>
      <c r="C6" s="19">
        <v>164800</v>
      </c>
      <c r="E6" s="26"/>
      <c r="F6" t="s">
        <v>41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45">
      <c r="A7" s="15">
        <v>42125</v>
      </c>
      <c r="B7" s="19">
        <v>1006000</v>
      </c>
      <c r="C7" s="19">
        <v>172700</v>
      </c>
      <c r="E7" s="26"/>
      <c r="F7" t="s">
        <v>42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45">
      <c r="A8" s="15">
        <v>42156</v>
      </c>
      <c r="B8" s="19">
        <v>1031000</v>
      </c>
      <c r="C8" s="19">
        <v>178800</v>
      </c>
      <c r="E8" s="26"/>
      <c r="F8" t="s">
        <v>43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45">
      <c r="A9" s="15">
        <v>42186</v>
      </c>
      <c r="B9" s="19">
        <v>1045000</v>
      </c>
      <c r="C9" s="19">
        <v>182100</v>
      </c>
      <c r="E9" s="26"/>
      <c r="F9" t="s">
        <v>44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45">
      <c r="A10" s="15">
        <v>42217</v>
      </c>
      <c r="B10" s="19">
        <v>967000</v>
      </c>
      <c r="C10" s="19">
        <v>168000</v>
      </c>
      <c r="E10" s="26"/>
      <c r="F10" t="s">
        <v>45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45">
      <c r="A11" s="39">
        <v>42248</v>
      </c>
      <c r="B11" s="40">
        <v>845000</v>
      </c>
      <c r="C11" s="40">
        <v>145300</v>
      </c>
      <c r="D11" s="41" t="s">
        <v>86</v>
      </c>
      <c r="E11" s="26"/>
      <c r="F11" t="s">
        <v>46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45">
      <c r="A12" s="15">
        <v>42278</v>
      </c>
      <c r="B12" s="19">
        <v>862000</v>
      </c>
      <c r="C12" s="19">
        <v>144600</v>
      </c>
      <c r="E12" s="26"/>
      <c r="F12" t="s">
        <v>47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45">
      <c r="A13" s="15">
        <v>42309</v>
      </c>
      <c r="B13" s="19">
        <v>629000</v>
      </c>
      <c r="C13" s="19">
        <v>103400</v>
      </c>
      <c r="E13" s="26"/>
      <c r="F13" t="s">
        <v>48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45">
      <c r="A14" s="15">
        <v>42339</v>
      </c>
      <c r="B14" s="19">
        <v>582000</v>
      </c>
      <c r="C14" s="19">
        <v>94000</v>
      </c>
      <c r="E14" s="26"/>
      <c r="F14" t="s">
        <v>49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45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45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45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45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45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45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45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45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45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45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45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45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45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45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45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45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45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45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45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45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45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45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45">
      <c r="A37" s="15">
        <v>43040</v>
      </c>
      <c r="B37" s="19">
        <f t="shared" si="4"/>
        <v>622710</v>
      </c>
      <c r="C37" s="19">
        <v>103400</v>
      </c>
    </row>
    <row r="38" spans="1:13" x14ac:dyDescent="0.45">
      <c r="A38" s="15">
        <v>43070</v>
      </c>
      <c r="B38" s="19">
        <f t="shared" si="4"/>
        <v>576180</v>
      </c>
      <c r="C38" s="19">
        <v>94000</v>
      </c>
    </row>
    <row r="39" spans="1:13" x14ac:dyDescent="0.45">
      <c r="A39" s="24">
        <v>43101</v>
      </c>
      <c r="B39" s="25">
        <f t="shared" si="4"/>
        <v>590040</v>
      </c>
      <c r="C39" s="25">
        <v>95500</v>
      </c>
    </row>
    <row r="40" spans="1:13" x14ac:dyDescent="0.45">
      <c r="A40" s="24">
        <v>43132</v>
      </c>
      <c r="B40" s="25">
        <f t="shared" si="4"/>
        <v>595980</v>
      </c>
      <c r="C40" s="25">
        <v>98900</v>
      </c>
    </row>
    <row r="41" spans="1:13" x14ac:dyDescent="0.45">
      <c r="A41" s="24">
        <v>43160</v>
      </c>
      <c r="B41" s="25">
        <f t="shared" si="4"/>
        <v>857340</v>
      </c>
      <c r="C41" s="25">
        <v>144000</v>
      </c>
    </row>
    <row r="42" spans="1:13" x14ac:dyDescent="0.45">
      <c r="A42" s="24">
        <v>43191</v>
      </c>
      <c r="B42" s="25">
        <f t="shared" si="4"/>
        <v>957330</v>
      </c>
      <c r="C42" s="25">
        <v>164800</v>
      </c>
    </row>
    <row r="43" spans="1:13" x14ac:dyDescent="0.45">
      <c r="A43" s="24">
        <v>43221</v>
      </c>
      <c r="B43" s="25">
        <f t="shared" si="4"/>
        <v>995940</v>
      </c>
      <c r="C43" s="25">
        <v>172700</v>
      </c>
    </row>
    <row r="44" spans="1:13" x14ac:dyDescent="0.45">
      <c r="A44" s="24">
        <v>43252</v>
      </c>
      <c r="B44" s="25">
        <f t="shared" si="4"/>
        <v>1020690</v>
      </c>
      <c r="C44" s="25">
        <v>178800</v>
      </c>
    </row>
    <row r="45" spans="1:13" x14ac:dyDescent="0.45">
      <c r="A45" s="24">
        <v>43282</v>
      </c>
      <c r="B45" s="25">
        <f t="shared" si="4"/>
        <v>1034550</v>
      </c>
      <c r="C45" s="25">
        <v>182100</v>
      </c>
    </row>
    <row r="46" spans="1:13" x14ac:dyDescent="0.45">
      <c r="A46" s="24">
        <v>43313</v>
      </c>
      <c r="B46" s="25">
        <f t="shared" si="4"/>
        <v>957330</v>
      </c>
      <c r="C46" s="25">
        <v>168000</v>
      </c>
    </row>
    <row r="47" spans="1:13" x14ac:dyDescent="0.45">
      <c r="A47" s="24">
        <v>43344</v>
      </c>
      <c r="B47" s="25">
        <f>B11*0.985</f>
        <v>832325</v>
      </c>
      <c r="C47" s="25">
        <v>145300</v>
      </c>
    </row>
    <row r="48" spans="1:13" x14ac:dyDescent="0.45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45">
      <c r="A49" s="24">
        <v>43405</v>
      </c>
      <c r="B49" s="25">
        <f t="shared" si="5"/>
        <v>619565</v>
      </c>
      <c r="C49" s="25">
        <v>103400</v>
      </c>
    </row>
    <row r="50" spans="1:3" x14ac:dyDescent="0.45">
      <c r="A50" s="24">
        <v>43435</v>
      </c>
      <c r="B50" s="25">
        <f t="shared" si="5"/>
        <v>573270</v>
      </c>
      <c r="C50" s="25">
        <v>94000</v>
      </c>
    </row>
    <row r="51" spans="1:3" x14ac:dyDescent="0.45">
      <c r="A51" s="15">
        <v>43466</v>
      </c>
      <c r="B51" s="19">
        <f>B3*0.985</f>
        <v>587060</v>
      </c>
      <c r="C51" s="19">
        <v>95500</v>
      </c>
    </row>
    <row r="52" spans="1:3" x14ac:dyDescent="0.45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45">
      <c r="A53" s="15">
        <v>43525</v>
      </c>
      <c r="B53" s="19">
        <f t="shared" si="6"/>
        <v>853010</v>
      </c>
      <c r="C53" s="19">
        <v>144000</v>
      </c>
    </row>
    <row r="54" spans="1:3" x14ac:dyDescent="0.45">
      <c r="A54" s="15">
        <v>43556</v>
      </c>
      <c r="B54" s="19">
        <f t="shared" si="6"/>
        <v>952495</v>
      </c>
      <c r="C54" s="19">
        <v>164800</v>
      </c>
    </row>
    <row r="55" spans="1:3" x14ac:dyDescent="0.45">
      <c r="A55" s="15">
        <v>43586</v>
      </c>
      <c r="B55" s="19">
        <f t="shared" si="6"/>
        <v>990910</v>
      </c>
      <c r="C55" s="19">
        <v>172700</v>
      </c>
    </row>
    <row r="56" spans="1:3" x14ac:dyDescent="0.45">
      <c r="A56" s="15">
        <v>43617</v>
      </c>
      <c r="B56" s="19">
        <f t="shared" si="6"/>
        <v>1015535</v>
      </c>
      <c r="C56" s="19">
        <v>178800</v>
      </c>
    </row>
    <row r="57" spans="1:3" x14ac:dyDescent="0.45">
      <c r="A57" s="15">
        <v>43647</v>
      </c>
      <c r="B57" s="19">
        <f t="shared" si="6"/>
        <v>1029325</v>
      </c>
      <c r="C57" s="19">
        <v>182100</v>
      </c>
    </row>
    <row r="58" spans="1:3" x14ac:dyDescent="0.45">
      <c r="A58" s="15">
        <v>43678</v>
      </c>
      <c r="B58" s="19">
        <f t="shared" si="6"/>
        <v>952495</v>
      </c>
      <c r="C58" s="19">
        <v>168000</v>
      </c>
    </row>
    <row r="59" spans="1:3" x14ac:dyDescent="0.45">
      <c r="A59" s="15">
        <v>43709</v>
      </c>
      <c r="B59" s="19">
        <f>B11*0.98</f>
        <v>828100</v>
      </c>
      <c r="C59" s="19">
        <v>145300</v>
      </c>
    </row>
    <row r="60" spans="1:3" x14ac:dyDescent="0.45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45">
      <c r="A61" s="15">
        <v>43770</v>
      </c>
      <c r="B61" s="19">
        <f t="shared" si="7"/>
        <v>616420</v>
      </c>
      <c r="C61" s="19">
        <v>103400</v>
      </c>
    </row>
    <row r="62" spans="1:3" x14ac:dyDescent="0.45">
      <c r="A62" s="15">
        <v>43800</v>
      </c>
      <c r="B62" s="19">
        <f t="shared" si="7"/>
        <v>570360</v>
      </c>
      <c r="C62" s="19">
        <v>94000</v>
      </c>
    </row>
    <row r="63" spans="1:3" x14ac:dyDescent="0.45">
      <c r="A63" s="24">
        <v>43831</v>
      </c>
      <c r="B63" s="25">
        <f>B3*0.98</f>
        <v>584080</v>
      </c>
      <c r="C63" s="25">
        <v>95500</v>
      </c>
    </row>
    <row r="64" spans="1:3" x14ac:dyDescent="0.45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45">
      <c r="A65" s="24">
        <v>43891</v>
      </c>
      <c r="B65" s="25">
        <f t="shared" si="8"/>
        <v>848680</v>
      </c>
      <c r="C65" s="25">
        <v>144000</v>
      </c>
    </row>
    <row r="66" spans="1:3" x14ac:dyDescent="0.45">
      <c r="A66" s="24">
        <v>43922</v>
      </c>
      <c r="B66" s="25">
        <f t="shared" si="8"/>
        <v>947660</v>
      </c>
      <c r="C66" s="25">
        <v>164800</v>
      </c>
    </row>
    <row r="67" spans="1:3" x14ac:dyDescent="0.45">
      <c r="A67" s="24">
        <v>43952</v>
      </c>
      <c r="B67" s="25">
        <f t="shared" si="8"/>
        <v>985880</v>
      </c>
      <c r="C67" s="25">
        <v>172700</v>
      </c>
    </row>
    <row r="68" spans="1:3" x14ac:dyDescent="0.45">
      <c r="A68" s="24">
        <v>43983</v>
      </c>
      <c r="B68" s="25">
        <f t="shared" si="8"/>
        <v>1010380</v>
      </c>
      <c r="C68" s="25">
        <v>178800</v>
      </c>
    </row>
    <row r="69" spans="1:3" x14ac:dyDescent="0.45">
      <c r="A69" s="24">
        <v>44013</v>
      </c>
      <c r="B69" s="25">
        <f t="shared" si="8"/>
        <v>1024100</v>
      </c>
      <c r="C69" s="25">
        <v>182100</v>
      </c>
    </row>
    <row r="70" spans="1:3" x14ac:dyDescent="0.45">
      <c r="A70" s="24">
        <v>44044</v>
      </c>
      <c r="B70" s="25">
        <f t="shared" si="8"/>
        <v>947660</v>
      </c>
      <c r="C70" s="25">
        <v>168000</v>
      </c>
    </row>
    <row r="71" spans="1:3" x14ac:dyDescent="0.45">
      <c r="A71" s="24">
        <v>44075</v>
      </c>
      <c r="B71" s="25">
        <f>B11*0.975</f>
        <v>823875</v>
      </c>
      <c r="C71" s="25">
        <v>145300</v>
      </c>
    </row>
    <row r="72" spans="1:3" x14ac:dyDescent="0.45">
      <c r="A72" s="24">
        <v>44105</v>
      </c>
      <c r="B72" s="25">
        <f>B12*0.975</f>
        <v>840450</v>
      </c>
      <c r="C72" s="25">
        <v>144600</v>
      </c>
    </row>
    <row r="73" spans="1:3" x14ac:dyDescent="0.45">
      <c r="A73" s="24">
        <v>44136</v>
      </c>
      <c r="B73" s="25">
        <f>B13*0.975</f>
        <v>613275</v>
      </c>
      <c r="C73" s="25">
        <v>103400</v>
      </c>
    </row>
    <row r="74" spans="1:3" x14ac:dyDescent="0.45">
      <c r="A74" s="24">
        <v>44166</v>
      </c>
      <c r="B74" s="25">
        <f>B14*0.975</f>
        <v>567450</v>
      </c>
      <c r="C74" s="25">
        <v>94000</v>
      </c>
    </row>
    <row r="75" spans="1:3" x14ac:dyDescent="0.45">
      <c r="A75" s="15">
        <v>44197</v>
      </c>
      <c r="B75" s="19">
        <f>B3*0.975</f>
        <v>581100</v>
      </c>
      <c r="C75" s="19">
        <v>95500</v>
      </c>
    </row>
    <row r="76" spans="1:3" x14ac:dyDescent="0.45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45">
      <c r="A77" s="15">
        <v>44256</v>
      </c>
      <c r="B77" s="19">
        <f t="shared" si="9"/>
        <v>844350</v>
      </c>
      <c r="C77" s="19">
        <v>144000</v>
      </c>
    </row>
    <row r="78" spans="1:3" x14ac:dyDescent="0.45">
      <c r="A78" s="15">
        <v>44287</v>
      </c>
      <c r="B78" s="19">
        <f t="shared" si="9"/>
        <v>942825</v>
      </c>
      <c r="C78" s="19">
        <v>164800</v>
      </c>
    </row>
    <row r="79" spans="1:3" x14ac:dyDescent="0.45">
      <c r="A79" s="15">
        <v>44317</v>
      </c>
      <c r="B79" s="19">
        <f t="shared" si="9"/>
        <v>980850</v>
      </c>
      <c r="C79" s="19">
        <v>172700</v>
      </c>
    </row>
    <row r="80" spans="1:3" x14ac:dyDescent="0.45">
      <c r="A80" s="15">
        <v>44348</v>
      </c>
      <c r="B80" s="19">
        <f t="shared" si="9"/>
        <v>1005225</v>
      </c>
      <c r="C80" s="19">
        <v>178800</v>
      </c>
    </row>
    <row r="81" spans="1:3" x14ac:dyDescent="0.45">
      <c r="A81" s="15">
        <v>44378</v>
      </c>
      <c r="B81" s="19">
        <f t="shared" si="9"/>
        <v>1018875</v>
      </c>
      <c r="C81" s="19">
        <v>182100</v>
      </c>
    </row>
    <row r="82" spans="1:3" x14ac:dyDescent="0.45">
      <c r="A82" s="15">
        <v>44409</v>
      </c>
      <c r="B82" s="19">
        <f t="shared" si="9"/>
        <v>942825</v>
      </c>
      <c r="C82" s="19">
        <v>168000</v>
      </c>
    </row>
    <row r="83" spans="1:3" x14ac:dyDescent="0.45">
      <c r="A83" s="15">
        <v>44440</v>
      </c>
      <c r="B83" s="19">
        <f t="shared" si="9"/>
        <v>823875</v>
      </c>
      <c r="C83" s="19">
        <v>145300</v>
      </c>
    </row>
    <row r="84" spans="1:3" x14ac:dyDescent="0.45">
      <c r="A84" s="15">
        <v>44470</v>
      </c>
      <c r="B84" s="19">
        <f t="shared" si="9"/>
        <v>840450</v>
      </c>
      <c r="C84" s="19">
        <v>144600</v>
      </c>
    </row>
    <row r="85" spans="1:3" x14ac:dyDescent="0.45">
      <c r="A85" s="15">
        <v>44501</v>
      </c>
      <c r="B85" s="19">
        <f t="shared" si="9"/>
        <v>613275</v>
      </c>
      <c r="C85" s="19">
        <v>103400</v>
      </c>
    </row>
    <row r="86" spans="1:3" x14ac:dyDescent="0.45">
      <c r="A86" s="15">
        <v>44531</v>
      </c>
      <c r="B86" s="19">
        <f t="shared" si="9"/>
        <v>567450</v>
      </c>
      <c r="C86" s="19">
        <v>94000</v>
      </c>
    </row>
    <row r="87" spans="1:3" x14ac:dyDescent="0.45">
      <c r="A87" s="24">
        <v>44562</v>
      </c>
      <c r="B87" s="25">
        <v>578342.01557633432</v>
      </c>
      <c r="C87" s="25">
        <v>102800</v>
      </c>
    </row>
    <row r="88" spans="1:3" x14ac:dyDescent="0.45">
      <c r="A88" s="24">
        <v>44593</v>
      </c>
      <c r="B88" s="25">
        <v>584164.25063247199</v>
      </c>
      <c r="C88" s="25">
        <v>106600</v>
      </c>
    </row>
    <row r="89" spans="1:3" x14ac:dyDescent="0.45">
      <c r="A89" s="24">
        <v>44621</v>
      </c>
      <c r="B89" s="25">
        <v>840342.59310252615</v>
      </c>
      <c r="C89" s="25">
        <v>156000</v>
      </c>
    </row>
    <row r="90" spans="1:3" x14ac:dyDescent="0.45">
      <c r="A90" s="24">
        <v>44652</v>
      </c>
      <c r="B90" s="25">
        <v>938350.21654750884</v>
      </c>
      <c r="C90" s="25">
        <v>176800</v>
      </c>
    </row>
    <row r="91" spans="1:3" x14ac:dyDescent="0.45">
      <c r="A91" s="24">
        <v>44682</v>
      </c>
      <c r="B91" s="25">
        <v>976194.7444124032</v>
      </c>
      <c r="C91" s="25">
        <v>183300</v>
      </c>
    </row>
    <row r="92" spans="1:3" x14ac:dyDescent="0.45">
      <c r="A92" s="24">
        <v>44713</v>
      </c>
      <c r="B92" s="25">
        <v>1000454.0571463099</v>
      </c>
      <c r="C92" s="25">
        <v>188600</v>
      </c>
    </row>
    <row r="93" spans="1:3" x14ac:dyDescent="0.45">
      <c r="A93" s="24">
        <v>44743</v>
      </c>
      <c r="B93" s="25">
        <v>1014039.2722772976</v>
      </c>
      <c r="C93" s="25">
        <v>189200</v>
      </c>
    </row>
    <row r="94" spans="1:3" x14ac:dyDescent="0.45">
      <c r="A94" s="24">
        <v>44774</v>
      </c>
      <c r="B94" s="25">
        <v>938350.21654750884</v>
      </c>
      <c r="C94" s="25">
        <v>175100</v>
      </c>
    </row>
    <row r="95" spans="1:3" x14ac:dyDescent="0.45">
      <c r="A95" s="24">
        <v>44805</v>
      </c>
      <c r="B95" s="25">
        <v>815864.94655401423</v>
      </c>
      <c r="C95" s="25">
        <v>153100</v>
      </c>
    </row>
    <row r="96" spans="1:3" x14ac:dyDescent="0.45">
      <c r="A96" s="24">
        <v>44835</v>
      </c>
      <c r="B96" s="25">
        <v>832278.79754977557</v>
      </c>
      <c r="C96" s="25">
        <v>153800</v>
      </c>
    </row>
    <row r="97" spans="1:3" x14ac:dyDescent="0.45">
      <c r="A97" s="24">
        <v>44866</v>
      </c>
      <c r="B97" s="25">
        <v>607312.48684316571</v>
      </c>
      <c r="C97" s="25">
        <v>111400</v>
      </c>
    </row>
    <row r="98" spans="1:3" x14ac:dyDescent="0.45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73046875" bestFit="1" customWidth="1"/>
    <col min="6" max="6" width="10.73046875" customWidth="1"/>
    <col min="7" max="7" width="10" bestFit="1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s="174" t="s">
        <v>87</v>
      </c>
      <c r="H1" s="174"/>
      <c r="I1" s="174"/>
      <c r="J1" s="174"/>
      <c r="K1" s="174"/>
      <c r="L1" s="174"/>
      <c r="M1" s="174"/>
      <c r="N1" s="174"/>
      <c r="P1" s="32" t="s">
        <v>88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349000</v>
      </c>
      <c r="C3" s="19">
        <v>90100</v>
      </c>
      <c r="E3" s="26"/>
      <c r="F3" t="s">
        <v>38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45">
      <c r="A4" s="15">
        <v>42036</v>
      </c>
      <c r="B4" s="19">
        <v>379200</v>
      </c>
      <c r="C4" s="19">
        <v>100800</v>
      </c>
      <c r="E4" s="26"/>
      <c r="F4" t="s">
        <v>39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45">
      <c r="A5" s="15">
        <v>42064</v>
      </c>
      <c r="B5" s="19">
        <v>508200</v>
      </c>
      <c r="C5" s="19">
        <v>139500</v>
      </c>
      <c r="E5" s="26"/>
      <c r="F5" t="s">
        <v>80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45">
      <c r="A6" s="15">
        <v>42095</v>
      </c>
      <c r="B6" s="19">
        <v>571100</v>
      </c>
      <c r="C6" s="19">
        <v>159800</v>
      </c>
      <c r="E6" s="26"/>
      <c r="F6" t="s">
        <v>41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45">
      <c r="A7" s="15">
        <v>42125</v>
      </c>
      <c r="B7" s="19">
        <v>581500</v>
      </c>
      <c r="C7" s="19">
        <v>163300</v>
      </c>
      <c r="E7" s="26"/>
      <c r="F7" t="s">
        <v>42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45">
      <c r="A8" s="15">
        <v>42156</v>
      </c>
      <c r="B8" s="19">
        <v>613000</v>
      </c>
      <c r="C8" s="19">
        <v>173900</v>
      </c>
      <c r="E8" s="26"/>
      <c r="F8" t="s">
        <v>43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45">
      <c r="A9" s="15">
        <v>42186</v>
      </c>
      <c r="B9" s="19">
        <v>621300</v>
      </c>
      <c r="C9" s="19">
        <v>176800</v>
      </c>
      <c r="E9" s="26"/>
      <c r="F9" t="s">
        <v>44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45">
      <c r="A10" s="15">
        <v>42217</v>
      </c>
      <c r="B10" s="19">
        <v>605900</v>
      </c>
      <c r="C10" s="19">
        <v>171400</v>
      </c>
      <c r="E10" s="26"/>
      <c r="F10" t="s">
        <v>45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45">
      <c r="A11" s="24">
        <v>42248</v>
      </c>
      <c r="B11" s="25">
        <v>500600</v>
      </c>
      <c r="C11" s="25">
        <v>139100</v>
      </c>
      <c r="D11" s="38" t="s">
        <v>89</v>
      </c>
      <c r="E11" s="26"/>
      <c r="F11" t="s">
        <v>46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45">
      <c r="A12" s="15">
        <v>42278</v>
      </c>
      <c r="B12" s="19">
        <v>460400</v>
      </c>
      <c r="C12" s="19">
        <v>125500</v>
      </c>
      <c r="E12" s="26"/>
      <c r="F12" t="s">
        <v>47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45">
      <c r="A13" s="15">
        <v>42309</v>
      </c>
      <c r="B13" s="19">
        <v>335300</v>
      </c>
      <c r="C13" s="19">
        <v>89900</v>
      </c>
      <c r="E13" s="26"/>
      <c r="F13" t="s">
        <v>48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45">
      <c r="A14" s="15">
        <v>42339</v>
      </c>
      <c r="B14" s="19">
        <v>342700</v>
      </c>
      <c r="C14" s="19">
        <v>89600</v>
      </c>
      <c r="E14" s="26"/>
      <c r="F14" t="s">
        <v>49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45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45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45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45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45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45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45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45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45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45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45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45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45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45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45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45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45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45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45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45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45">
      <c r="A35" s="15">
        <v>42979</v>
      </c>
      <c r="B35" s="19">
        <f>B11*0.99</f>
        <v>495594</v>
      </c>
      <c r="C35" s="19">
        <v>139100</v>
      </c>
    </row>
    <row r="36" spans="1:11" x14ac:dyDescent="0.45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45">
      <c r="A37" s="15">
        <v>43040</v>
      </c>
      <c r="B37" s="19">
        <f t="shared" si="4"/>
        <v>331947</v>
      </c>
      <c r="C37" s="19">
        <v>89900</v>
      </c>
    </row>
    <row r="38" spans="1:11" x14ac:dyDescent="0.45">
      <c r="A38" s="15">
        <v>43070</v>
      </c>
      <c r="B38" s="19">
        <f t="shared" si="4"/>
        <v>339273</v>
      </c>
      <c r="C38" s="19">
        <v>89600</v>
      </c>
    </row>
    <row r="39" spans="1:11" x14ac:dyDescent="0.45">
      <c r="A39" s="24">
        <v>43101</v>
      </c>
      <c r="B39" s="25">
        <f t="shared" si="4"/>
        <v>345510</v>
      </c>
      <c r="C39" s="25">
        <v>90100</v>
      </c>
    </row>
    <row r="40" spans="1:11" x14ac:dyDescent="0.45">
      <c r="A40" s="24">
        <v>43132</v>
      </c>
      <c r="B40" s="25">
        <f t="shared" si="4"/>
        <v>375408</v>
      </c>
      <c r="C40" s="25">
        <v>100800</v>
      </c>
    </row>
    <row r="41" spans="1:11" x14ac:dyDescent="0.45">
      <c r="A41" s="24">
        <v>43160</v>
      </c>
      <c r="B41" s="25">
        <f t="shared" si="4"/>
        <v>503118</v>
      </c>
      <c r="C41" s="25">
        <v>139500</v>
      </c>
    </row>
    <row r="42" spans="1:11" x14ac:dyDescent="0.45">
      <c r="A42" s="24">
        <v>43191</v>
      </c>
      <c r="B42" s="25">
        <f t="shared" si="4"/>
        <v>565389</v>
      </c>
      <c r="C42" s="25">
        <v>159800</v>
      </c>
    </row>
    <row r="43" spans="1:11" x14ac:dyDescent="0.45">
      <c r="A43" s="24">
        <v>43221</v>
      </c>
      <c r="B43" s="25">
        <f t="shared" si="4"/>
        <v>575685</v>
      </c>
      <c r="C43" s="25">
        <v>163300</v>
      </c>
    </row>
    <row r="44" spans="1:11" x14ac:dyDescent="0.45">
      <c r="A44" s="24">
        <v>43252</v>
      </c>
      <c r="B44" s="25">
        <f t="shared" si="4"/>
        <v>606870</v>
      </c>
      <c r="C44" s="25">
        <v>173900</v>
      </c>
    </row>
    <row r="45" spans="1:11" x14ac:dyDescent="0.45">
      <c r="A45" s="24">
        <v>43282</v>
      </c>
      <c r="B45" s="25">
        <f t="shared" si="4"/>
        <v>615087</v>
      </c>
      <c r="C45" s="25">
        <v>176800</v>
      </c>
    </row>
    <row r="46" spans="1:11" x14ac:dyDescent="0.45">
      <c r="A46" s="24">
        <v>43313</v>
      </c>
      <c r="B46" s="25">
        <f t="shared" si="4"/>
        <v>599841</v>
      </c>
      <c r="C46" s="25">
        <v>171400</v>
      </c>
    </row>
    <row r="47" spans="1:11" x14ac:dyDescent="0.45">
      <c r="A47" s="24">
        <v>43344</v>
      </c>
      <c r="B47" s="25">
        <f>B11*0.985</f>
        <v>493091</v>
      </c>
      <c r="C47" s="25">
        <v>139100</v>
      </c>
    </row>
    <row r="48" spans="1:11" x14ac:dyDescent="0.45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45">
      <c r="A49" s="24">
        <v>43405</v>
      </c>
      <c r="B49" s="25">
        <f t="shared" si="5"/>
        <v>330270.5</v>
      </c>
      <c r="C49" s="25">
        <v>89900</v>
      </c>
    </row>
    <row r="50" spans="1:3" x14ac:dyDescent="0.45">
      <c r="A50" s="24">
        <v>43435</v>
      </c>
      <c r="B50" s="25">
        <f t="shared" si="5"/>
        <v>337559.5</v>
      </c>
      <c r="C50" s="25">
        <v>89600</v>
      </c>
    </row>
    <row r="51" spans="1:3" x14ac:dyDescent="0.45">
      <c r="A51" s="15">
        <v>43466</v>
      </c>
      <c r="B51" s="19">
        <f t="shared" si="5"/>
        <v>343765</v>
      </c>
      <c r="C51" s="19">
        <v>90100</v>
      </c>
    </row>
    <row r="52" spans="1:3" x14ac:dyDescent="0.45">
      <c r="A52" s="15">
        <v>43497</v>
      </c>
      <c r="B52" s="19">
        <f t="shared" si="5"/>
        <v>373512</v>
      </c>
      <c r="C52" s="19">
        <v>100800</v>
      </c>
    </row>
    <row r="53" spans="1:3" x14ac:dyDescent="0.45">
      <c r="A53" s="15">
        <v>43525</v>
      </c>
      <c r="B53" s="19">
        <f t="shared" si="5"/>
        <v>500577</v>
      </c>
      <c r="C53" s="19">
        <v>139500</v>
      </c>
    </row>
    <row r="54" spans="1:3" x14ac:dyDescent="0.45">
      <c r="A54" s="15">
        <v>43556</v>
      </c>
      <c r="B54" s="19">
        <f t="shared" si="5"/>
        <v>562533.5</v>
      </c>
      <c r="C54" s="19">
        <v>159800</v>
      </c>
    </row>
    <row r="55" spans="1:3" x14ac:dyDescent="0.45">
      <c r="A55" s="15">
        <v>43586</v>
      </c>
      <c r="B55" s="19">
        <f t="shared" si="5"/>
        <v>572777.5</v>
      </c>
      <c r="C55" s="19">
        <v>163300</v>
      </c>
    </row>
    <row r="56" spans="1:3" x14ac:dyDescent="0.45">
      <c r="A56" s="15">
        <v>43617</v>
      </c>
      <c r="B56" s="19">
        <f t="shared" si="5"/>
        <v>603805</v>
      </c>
      <c r="C56" s="19">
        <v>173900</v>
      </c>
    </row>
    <row r="57" spans="1:3" x14ac:dyDescent="0.45">
      <c r="A57" s="15">
        <v>43647</v>
      </c>
      <c r="B57" s="19">
        <f t="shared" si="5"/>
        <v>611980.5</v>
      </c>
      <c r="C57" s="19">
        <v>176800</v>
      </c>
    </row>
    <row r="58" spans="1:3" x14ac:dyDescent="0.45">
      <c r="A58" s="15">
        <v>43678</v>
      </c>
      <c r="B58" s="19">
        <f t="shared" si="5"/>
        <v>596811.5</v>
      </c>
      <c r="C58" s="19">
        <v>171400</v>
      </c>
    </row>
    <row r="59" spans="1:3" x14ac:dyDescent="0.45">
      <c r="A59" s="15">
        <v>43709</v>
      </c>
      <c r="B59" s="19">
        <f>B11*0.98</f>
        <v>490588</v>
      </c>
      <c r="C59" s="19">
        <v>139100</v>
      </c>
    </row>
    <row r="60" spans="1:3" x14ac:dyDescent="0.45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45">
      <c r="A61" s="15">
        <v>43770</v>
      </c>
      <c r="B61" s="19">
        <f t="shared" si="6"/>
        <v>328594</v>
      </c>
      <c r="C61" s="19">
        <v>89900</v>
      </c>
    </row>
    <row r="62" spans="1:3" x14ac:dyDescent="0.45">
      <c r="A62" s="15">
        <v>43800</v>
      </c>
      <c r="B62" s="19">
        <f t="shared" si="6"/>
        <v>335846</v>
      </c>
      <c r="C62" s="19">
        <v>89600</v>
      </c>
    </row>
    <row r="63" spans="1:3" x14ac:dyDescent="0.45">
      <c r="A63" s="24">
        <v>43831</v>
      </c>
      <c r="B63" s="25">
        <f>B3*0.98</f>
        <v>342020</v>
      </c>
      <c r="C63" s="25">
        <v>90100</v>
      </c>
    </row>
    <row r="64" spans="1:3" x14ac:dyDescent="0.45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45">
      <c r="A65" s="24">
        <v>43891</v>
      </c>
      <c r="B65" s="25">
        <f t="shared" si="7"/>
        <v>498036</v>
      </c>
      <c r="C65" s="25">
        <v>139500</v>
      </c>
    </row>
    <row r="66" spans="1:3" x14ac:dyDescent="0.45">
      <c r="A66" s="24">
        <v>43922</v>
      </c>
      <c r="B66" s="25">
        <f t="shared" si="7"/>
        <v>559678</v>
      </c>
      <c r="C66" s="25">
        <v>159800</v>
      </c>
    </row>
    <row r="67" spans="1:3" x14ac:dyDescent="0.45">
      <c r="A67" s="24">
        <v>43952</v>
      </c>
      <c r="B67" s="25">
        <f t="shared" si="7"/>
        <v>569870</v>
      </c>
      <c r="C67" s="25">
        <v>163300</v>
      </c>
    </row>
    <row r="68" spans="1:3" x14ac:dyDescent="0.45">
      <c r="A68" s="24">
        <v>43983</v>
      </c>
      <c r="B68" s="25">
        <f t="shared" si="7"/>
        <v>600740</v>
      </c>
      <c r="C68" s="25">
        <v>173900</v>
      </c>
    </row>
    <row r="69" spans="1:3" x14ac:dyDescent="0.45">
      <c r="A69" s="24">
        <v>44013</v>
      </c>
      <c r="B69" s="25">
        <f t="shared" si="7"/>
        <v>608874</v>
      </c>
      <c r="C69" s="25">
        <v>176800</v>
      </c>
    </row>
    <row r="70" spans="1:3" x14ac:dyDescent="0.45">
      <c r="A70" s="24">
        <v>44044</v>
      </c>
      <c r="B70" s="25">
        <f t="shared" si="7"/>
        <v>593782</v>
      </c>
      <c r="C70" s="25">
        <v>171400</v>
      </c>
    </row>
    <row r="71" spans="1:3" x14ac:dyDescent="0.45">
      <c r="A71" s="24">
        <v>44075</v>
      </c>
      <c r="B71" s="25">
        <f>B11*0.975</f>
        <v>488085</v>
      </c>
      <c r="C71" s="25">
        <v>139100</v>
      </c>
    </row>
    <row r="72" spans="1:3" x14ac:dyDescent="0.45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45">
      <c r="A73" s="24">
        <v>44136</v>
      </c>
      <c r="B73" s="25">
        <f t="shared" si="8"/>
        <v>326917.5</v>
      </c>
      <c r="C73" s="25">
        <v>89900</v>
      </c>
    </row>
    <row r="74" spans="1:3" x14ac:dyDescent="0.45">
      <c r="A74" s="24">
        <v>44166</v>
      </c>
      <c r="B74" s="25">
        <f t="shared" si="8"/>
        <v>334132.5</v>
      </c>
      <c r="C74" s="25">
        <v>89600</v>
      </c>
    </row>
    <row r="75" spans="1:3" x14ac:dyDescent="0.45">
      <c r="A75" s="15">
        <v>44197</v>
      </c>
      <c r="B75" s="19">
        <f>B3*0.975</f>
        <v>340275</v>
      </c>
      <c r="C75" s="19">
        <v>90100</v>
      </c>
    </row>
    <row r="76" spans="1:3" x14ac:dyDescent="0.45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45">
      <c r="A77" s="15">
        <v>44256</v>
      </c>
      <c r="B77" s="19">
        <f t="shared" si="9"/>
        <v>495495</v>
      </c>
      <c r="C77" s="19">
        <v>139500</v>
      </c>
    </row>
    <row r="78" spans="1:3" x14ac:dyDescent="0.45">
      <c r="A78" s="15">
        <v>44287</v>
      </c>
      <c r="B78" s="19">
        <f t="shared" si="9"/>
        <v>556822.5</v>
      </c>
      <c r="C78" s="19">
        <v>159800</v>
      </c>
    </row>
    <row r="79" spans="1:3" x14ac:dyDescent="0.45">
      <c r="A79" s="15">
        <v>44317</v>
      </c>
      <c r="B79" s="19">
        <f t="shared" si="9"/>
        <v>566962.5</v>
      </c>
      <c r="C79" s="19">
        <v>163300</v>
      </c>
    </row>
    <row r="80" spans="1:3" x14ac:dyDescent="0.45">
      <c r="A80" s="15">
        <v>44348</v>
      </c>
      <c r="B80" s="19">
        <f t="shared" si="9"/>
        <v>597675</v>
      </c>
      <c r="C80" s="19">
        <v>173900</v>
      </c>
    </row>
    <row r="81" spans="1:3" x14ac:dyDescent="0.45">
      <c r="A81" s="15">
        <v>44378</v>
      </c>
      <c r="B81" s="19">
        <f t="shared" si="9"/>
        <v>605767.5</v>
      </c>
      <c r="C81" s="19">
        <v>176800</v>
      </c>
    </row>
    <row r="82" spans="1:3" x14ac:dyDescent="0.45">
      <c r="A82" s="15">
        <v>44409</v>
      </c>
      <c r="B82" s="19">
        <f t="shared" si="9"/>
        <v>590752.5</v>
      </c>
      <c r="C82" s="19">
        <v>171400</v>
      </c>
    </row>
    <row r="83" spans="1:3" x14ac:dyDescent="0.45">
      <c r="A83" s="15">
        <v>44440</v>
      </c>
      <c r="B83" s="19">
        <f t="shared" si="9"/>
        <v>488085</v>
      </c>
      <c r="C83" s="19">
        <v>139100</v>
      </c>
    </row>
    <row r="84" spans="1:3" x14ac:dyDescent="0.45">
      <c r="A84" s="15">
        <v>44470</v>
      </c>
      <c r="B84" s="19">
        <f t="shared" si="9"/>
        <v>448890</v>
      </c>
      <c r="C84" s="19">
        <v>125500</v>
      </c>
    </row>
    <row r="85" spans="1:3" x14ac:dyDescent="0.45">
      <c r="A85" s="15">
        <v>44501</v>
      </c>
      <c r="B85" s="19">
        <f t="shared" si="9"/>
        <v>326917.5</v>
      </c>
      <c r="C85" s="19">
        <v>89900</v>
      </c>
    </row>
    <row r="86" spans="1:3" x14ac:dyDescent="0.45">
      <c r="A86" s="15">
        <v>44531</v>
      </c>
      <c r="B86" s="19">
        <f t="shared" si="9"/>
        <v>334132.5</v>
      </c>
      <c r="C86" s="19">
        <v>89600</v>
      </c>
    </row>
    <row r="87" spans="1:3" x14ac:dyDescent="0.45">
      <c r="A87" s="24">
        <v>44562</v>
      </c>
      <c r="B87" s="25">
        <v>338660.00576533674</v>
      </c>
      <c r="C87" s="25">
        <v>99200</v>
      </c>
    </row>
    <row r="88" spans="1:3" x14ac:dyDescent="0.45">
      <c r="A88" s="24">
        <v>44593</v>
      </c>
      <c r="B88" s="25">
        <v>367965.25554789585</v>
      </c>
      <c r="C88" s="25">
        <v>108300</v>
      </c>
    </row>
    <row r="89" spans="1:3" x14ac:dyDescent="0.45">
      <c r="A89" s="24">
        <v>44621</v>
      </c>
      <c r="B89" s="25">
        <v>493143.3092548541</v>
      </c>
      <c r="C89" s="25">
        <v>150000</v>
      </c>
    </row>
    <row r="90" spans="1:3" x14ac:dyDescent="0.45">
      <c r="A90" s="24">
        <v>44652</v>
      </c>
      <c r="B90" s="25">
        <v>554179.74009336333</v>
      </c>
      <c r="C90" s="25">
        <v>171200</v>
      </c>
    </row>
    <row r="91" spans="1:3" x14ac:dyDescent="0.45">
      <c r="A91" s="24">
        <v>44682</v>
      </c>
      <c r="B91" s="25">
        <v>564271.61419066845</v>
      </c>
      <c r="C91" s="25">
        <v>174100</v>
      </c>
    </row>
    <row r="92" spans="1:3" x14ac:dyDescent="0.45">
      <c r="A92" s="24">
        <v>44713</v>
      </c>
      <c r="B92" s="25">
        <v>594838.34823539096</v>
      </c>
      <c r="C92" s="25">
        <v>182400</v>
      </c>
    </row>
    <row r="93" spans="1:3" x14ac:dyDescent="0.45">
      <c r="A93" s="24">
        <v>44743</v>
      </c>
      <c r="B93" s="25">
        <v>602892.44006304769</v>
      </c>
      <c r="C93" s="25">
        <v>185100</v>
      </c>
    </row>
    <row r="94" spans="1:3" x14ac:dyDescent="0.45">
      <c r="A94" s="24">
        <v>44774</v>
      </c>
      <c r="B94" s="25">
        <v>587948.70341896114</v>
      </c>
      <c r="C94" s="25">
        <v>178400</v>
      </c>
    </row>
    <row r="95" spans="1:3" x14ac:dyDescent="0.45">
      <c r="A95" s="24">
        <v>44805</v>
      </c>
      <c r="B95" s="25">
        <v>483339.63579282776</v>
      </c>
      <c r="C95" s="25">
        <v>146600</v>
      </c>
    </row>
    <row r="96" spans="1:3" x14ac:dyDescent="0.45">
      <c r="A96" s="24">
        <v>44835</v>
      </c>
      <c r="B96" s="25">
        <v>444525.70579108654</v>
      </c>
      <c r="C96" s="25">
        <v>133800</v>
      </c>
    </row>
    <row r="97" spans="1:3" x14ac:dyDescent="0.45">
      <c r="A97" s="24">
        <v>44866</v>
      </c>
      <c r="B97" s="25">
        <v>323739.07287522015</v>
      </c>
      <c r="C97" s="25">
        <v>96000</v>
      </c>
    </row>
    <row r="98" spans="1:3" x14ac:dyDescent="0.45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Dileep Siriki [AGS]</cp:lastModifiedBy>
  <cp:revision/>
  <dcterms:created xsi:type="dcterms:W3CDTF">2013-05-02T09:51:31Z</dcterms:created>
  <dcterms:modified xsi:type="dcterms:W3CDTF">2024-04-15T19:40:59Z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