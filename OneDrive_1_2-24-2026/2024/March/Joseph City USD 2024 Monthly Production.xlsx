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0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OneDrive - Libsys IT Services Private Limited\Documents\Monthly report files\Mar-24\"/>
    </mc:Choice>
  </mc:AlternateContent>
  <xr:revisionPtr revIDLastSave="0" documentId="13_ncr:1_{676C6377-0760-48DF-86B9-6E473CA687B4}" xr6:coauthVersionLast="47" xr6:coauthVersionMax="47" xr10:uidLastSave="{00000000-0000-0000-0000-000000000000}"/>
  <bookViews>
    <workbookView xWindow="-93" yWindow="-93" windowWidth="19386" windowHeight="1146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2" l="1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J2" i="28"/>
  <c r="E4" i="3"/>
  <c r="F4" i="3" s="1"/>
  <c r="H4" i="3"/>
  <c r="I4" i="3" s="1"/>
  <c r="E5" i="72"/>
  <c r="F5" i="72" s="1"/>
  <c r="H5" i="72"/>
  <c r="I5" i="72" s="1"/>
  <c r="G4" i="1"/>
  <c r="G4" i="34" s="1"/>
  <c r="G2" i="34" s="1"/>
  <c r="B4" i="34" a="1"/>
  <c r="B4" i="34" s="1"/>
  <c r="A4" i="34" a="1"/>
  <c r="A4" i="34" s="1"/>
  <c r="A1" i="34" a="1"/>
  <c r="A1" i="34" s="1"/>
  <c r="D4" i="30"/>
  <c r="D2" i="30" s="1"/>
  <c r="C4" i="30"/>
  <c r="E4" i="30" s="1"/>
  <c r="F4" i="30" s="1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C4" i="34" s="1"/>
  <c r="D4" i="1"/>
  <c r="D4" i="34" s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J2" i="27" s="1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H4" i="72"/>
  <c r="G2" i="72"/>
  <c r="D2" i="72"/>
  <c r="C2" i="72"/>
  <c r="J2" i="72" s="1"/>
  <c r="E4" i="72"/>
  <c r="A1" i="72" a="1"/>
  <c r="A1" i="72" s="1"/>
  <c r="J2" i="4" l="1"/>
  <c r="J2" i="21"/>
  <c r="J2" i="20"/>
  <c r="H2" i="20"/>
  <c r="I2" i="20" s="1"/>
  <c r="J2" i="19"/>
  <c r="H2" i="26"/>
  <c r="I2" i="26" s="1"/>
  <c r="J2" i="26"/>
  <c r="H2" i="27"/>
  <c r="I2" i="27" s="1"/>
  <c r="E2" i="28"/>
  <c r="F2" i="28" s="1"/>
  <c r="J2" i="31"/>
  <c r="H2" i="32"/>
  <c r="I2" i="32" s="1"/>
  <c r="D2" i="34"/>
  <c r="H2" i="33"/>
  <c r="I2" i="33" s="1"/>
  <c r="H2" i="3"/>
  <c r="I2" i="3" s="1"/>
  <c r="G2" i="1"/>
  <c r="H4" i="30"/>
  <c r="I4" i="30" s="1"/>
  <c r="H4" i="29"/>
  <c r="I4" i="29" s="1"/>
  <c r="H4" i="18"/>
  <c r="I4" i="18" s="1"/>
  <c r="C2" i="29"/>
  <c r="E2" i="29" s="1"/>
  <c r="F2" i="29" s="1"/>
  <c r="C2" i="30"/>
  <c r="E4" i="29"/>
  <c r="F4" i="29" s="1"/>
  <c r="C2" i="18"/>
  <c r="H4" i="1"/>
  <c r="I4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<sst xmlns="http://schemas.openxmlformats.org/spreadsheetml/2006/main" count="244" uniqueCount="54">
  <si>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</si>
  <si>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</si>
  <si>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</si>
  <si>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</si>
  <si>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</si>
  <si>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</si>
  <si>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</si>
  <si>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</si>
  <si>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</si>
  <si>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</si>
  <si>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</si>
  <si>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</si>
  <si>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</si>
  <si>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</si>
  <si>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</si>
  <si>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</si>
  <si>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</si>
  <si>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</si>
  <si>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</si>
  <si>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</si>
  <si>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</si>
  <si>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</si>
  <si>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The sites were not communicated from 11/05/2022</t>
  </si>
  <si>
    <t>1. SR067220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</si>
  <si>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</si>
  <si>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</si>
  <si>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</si>
  <si>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</si>
  <si>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</si>
  <si>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</si>
  <si>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</si>
  <si>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</si>
  <si>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</si>
  <si>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</si>
  <si>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</si>
  <si>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</si>
  <si>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</si>
  <si>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</si>
  <si>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</si>
  <si>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</si>
  <si>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</si>
  <si>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</si>
  <si>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</si>
  <si>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</si>
  <si>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</si>
  <si>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</si>
  <si>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</si>
  <si>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Joseph City USD</t>
  </si>
  <si>
    <t>Site DAS Name</t>
  </si>
  <si>
    <t>Update</t>
  </si>
  <si>
    <t>DAS</t>
  </si>
  <si>
    <t>JCUSD</t>
  </si>
  <si>
    <t>AZ: Joseph City USD</t>
  </si>
  <si>
    <t>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</si>
</sst>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1"/>
  <sheetViews>
    <sheetView workbookViewId="0">
      <pane ySplit="2" topLeftCell="A3" activePane="bottomLeft" state="frozen"/>
      <selection pane="bottomLeft" activeCell="B28" sqref="B28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SUM('1st Qtr'!C4, '2nd Qtr'!C4, '3rd Qtr'!C4, '4th Qtr'!C4)</f>
        <v>0</v>
      </c>
      <c r="D4" s="14">
        <f>SUM('1st Qtr'!D4, '2nd Qtr'!D4, '3rd Qtr'!D4, '4th Qtr'!D4)</f>
        <v>0</v>
      </c>
      <c r="E4" s="14">
        <f>IF(AND(ISNUMBER(C4),ISNUMBER(D4)), C4-D4, "")</f>
        <v>0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9 I4:I8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1"/>
  <sheetViews>
    <sheetView workbookViewId="0">
      <pane ySplit="2" topLeftCell="A3" activePane="bottomLeft" state="frozen"/>
      <selection pane="bottomLeft" activeCell="I5" sqref="I5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SUM(Jan!C4, Feb!C4, Mar!C4)</f>
        <v>0</v>
      </c>
      <c r="D4" s="14">
        <f>SUM(Jan!D4, Feb!D4, Mar!D4)</f>
        <v>0</v>
      </c>
      <c r="E4" s="14">
        <f>IF(AND(ISNUMBER(C4),ISNUMBER(D4)), C4-D4, "")</f>
        <v>0</v>
      </c>
      <c r="F4" s="15">
        <f>IFERROR(E4/D4, 0)</f>
        <v>0</v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9 I4:I8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1"/>
  <sheetViews>
    <sheetView workbookViewId="0">
      <pane ySplit="2" topLeftCell="A3" activePane="bottomLeft" state="frozen"/>
      <selection pane="bottomLeft" activeCell="A41" sqref="A4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95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0"/>
  <sheetViews>
    <sheetView workbookViewId="0">
      <pane ySplit="2" topLeftCell="A3" activePane="bottomLeft" state="frozen"/>
      <selection pane="bottomLeft" activeCell="A5" sqref="A5:XFD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0"/>
  <sheetViews>
    <sheetView workbookViewId="0">
      <pane ySplit="2" topLeftCell="A3" activePane="bottomLeft" state="frozen"/>
      <selection pane="bottomLeft" activeCell="A5" sqref="A5:XFD16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Joseph City USD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">Sites[Site]</f>
        <v>AZ: Joseph City USD</v>
      </c>
      <c r="B4" s="10" t="str" cm="1">
        <f t="array" ref="B4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2.95">
      <c r="A5" s="23"/>
      <c r="B5" s="23"/>
      <c r="C5" s="23"/>
      <c r="D5" s="23"/>
      <c r="E5" s="23"/>
      <c r="F5" s="23"/>
      <c r="G5" s="23"/>
      <c r="H5" s="23"/>
      <c r="I5" s="23"/>
    </row>
    <row r="6" spans="1:9" ht="12.75" customHeight="1">
      <c r="A6" s="23"/>
      <c r="B6" s="23"/>
      <c r="C6" s="23"/>
      <c r="D6" s="23"/>
      <c r="E6" s="23"/>
      <c r="F6" s="23"/>
      <c r="G6" s="23"/>
      <c r="H6" s="23"/>
      <c r="I6" s="23"/>
    </row>
    <row r="7" spans="1:9" ht="12.95">
      <c r="A7" s="23"/>
      <c r="B7" s="23"/>
      <c r="C7" s="23"/>
      <c r="D7" s="23"/>
      <c r="E7" s="23"/>
      <c r="F7" s="23"/>
      <c r="G7" s="23"/>
      <c r="H7" s="23"/>
      <c r="I7" s="23"/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2.95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</sheetData>
  <mergeCells count="4">
    <mergeCell ref="G1:I1"/>
    <mergeCell ref="A1:C1"/>
    <mergeCell ref="D1:F1"/>
    <mergeCell ref="A2:B2"/>
  </mergeCells>
  <conditionalFormatting sqref="F2 I2 F4:F88 I4:I88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0"/>
  <sheetViews>
    <sheetView topLeftCell="G1" workbookViewId="0">
      <pane ySplit="3" topLeftCell="A4" activePane="bottomLeft" state="frozen"/>
      <selection pane="bottomLeft" activeCell="J4" sqref="J4:K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>
        <v>0</v>
      </c>
      <c r="D4" s="14">
        <v>0</v>
      </c>
      <c r="E4" s="14">
        <f>IF(AND(ISNUMBER(C4),ISNUMBER(D4)), C4-D4, "")</f>
        <v>0</v>
      </c>
      <c r="F4" s="15">
        <f>IFERROR(E4/D4, 0)</f>
        <v>0</v>
      </c>
      <c r="G4" s="16">
        <v>0</v>
      </c>
      <c r="H4" s="16">
        <f>IF(AND(ISNUMBER(C4),ISNUMBER(G4)), C4-G4, "")</f>
        <v>0</v>
      </c>
      <c r="I4" s="17">
        <f>IFERROR(H4/G4, 0)</f>
        <v>0</v>
      </c>
      <c r="J4" s="18" t="s">
        <v>22</v>
      </c>
      <c r="K4" s="18" t="s">
        <v>23</v>
      </c>
    </row>
    <row r="5" spans="1:11" ht="14.45">
      <c r="A5" s="23"/>
      <c r="B5" s="34"/>
      <c r="C5" s="23"/>
      <c r="D5" s="23"/>
      <c r="E5" s="23" t="str">
        <f t="shared" ref="E5" si="0">IF(AND(ISNUMBER(C5),ISNUMBER(D5)), C5-D5, "")</f>
        <v/>
      </c>
      <c r="F5" s="23" t="str">
        <f t="shared" ref="F5" si="1">IFERROR(E5/D5, "")</f>
        <v/>
      </c>
      <c r="G5" s="23"/>
      <c r="H5" s="23" t="str">
        <f t="shared" ref="H5" si="2">IF(AND(ISNUMBER(C5),ISNUMBER(G5)), C5-G5, "")</f>
        <v/>
      </c>
      <c r="I5" s="23" t="str">
        <f t="shared" ref="I5" si="3">IFERROR(H5/G5, "")</f>
        <v/>
      </c>
      <c r="J5" s="23"/>
      <c r="K5" s="23"/>
    </row>
    <row r="6" spans="1:11" ht="12.75" customHeight="1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</sheetData>
  <mergeCells count="4">
    <mergeCell ref="D1:F1"/>
    <mergeCell ref="A1:C1"/>
    <mergeCell ref="G1:I1"/>
    <mergeCell ref="A2:B2"/>
  </mergeCells>
  <conditionalFormatting sqref="F2 I2 F4:F88 I4:I88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1"/>
  <sheetViews>
    <sheetView topLeftCell="C1" workbookViewId="0">
      <pane ySplit="2" topLeftCell="A3" activePane="bottomLeft" state="frozen"/>
      <selection pane="bottomLeft" activeCell="J4" sqref="J4:K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22</v>
      </c>
      <c r="K4" s="18" t="s">
        <v>23</v>
      </c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abSelected="1" workbookViewId="0">
      <pane ySplit="2" topLeftCell="A3" activePane="bottomLeft" state="frozen"/>
      <selection pane="bottomLeft" activeCell="A3" sqref="A3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22</v>
      </c>
      <c r="K4" s="18" t="s">
        <v>23</v>
      </c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workbookViewId="0">
      <pane ySplit="2" topLeftCell="A3" activePane="bottomLeft" state="frozen"/>
      <selection pane="bottomLeft" activeCell="A5" sqref="A5:XFD14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1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1"/>
  <sheetViews>
    <sheetView workbookViewId="0">
      <pane ySplit="2" topLeftCell="A3" activePane="bottomLeft" state="frozen"/>
      <selection pane="bottomLeft" activeCell="A20" sqref="A20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9 I4:I89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1"/>
  <sheetViews>
    <sheetView workbookViewId="0">
      <pane ySplit="2" topLeftCell="A3" activePane="bottomLeft" state="frozen"/>
      <selection pane="bottomLeft" activeCell="A5" sqref="A5:XFD15"/>
      <selection activeCell="A6" sqref="A6:A15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1"/>
  <sheetViews>
    <sheetView workbookViewId="0">
      <pane ySplit="2" topLeftCell="A3" activePane="bottomLeft" state="frozen"/>
      <selection pane="bottomLeft" activeCell="A8" sqref="A8"/>
    </sheetView>
  </sheetViews>
  <sheetFormatPr defaultRowHeight="13.7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Joseph City USD</v>
      </c>
      <c r="B1" s="43"/>
      <c r="C1" s="43"/>
      <c r="D1" s="44" t="s">
        <v>44</v>
      </c>
      <c r="E1" s="44"/>
      <c r="F1" s="44"/>
      <c r="G1" s="42" t="s">
        <v>45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">Sites[Site]</f>
        <v>AZ: Joseph City USD</v>
      </c>
      <c r="B4" s="30" t="str" cm="1">
        <f t="array" ref="B4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1"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G1:I1"/>
    <mergeCell ref="A1:C1"/>
    <mergeCell ref="D1:F1"/>
    <mergeCell ref="A2:B2"/>
  </mergeCells>
  <conditionalFormatting sqref="F2 I2 F4:F89 I4:I89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A5" sqref="A5:XFD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46</v>
      </c>
      <c r="B1" t="s">
        <v>47</v>
      </c>
    </row>
    <row r="3" spans="1:7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7" ht="14.45">
      <c r="A4" t="s">
        <v>51</v>
      </c>
      <c r="B4" t="s">
        <v>52</v>
      </c>
      <c r="C4" s="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AEAA9D8-2182-46BA-A58E-96C72DDA1C54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0389C43E-394D-44C0-87DC-4780FCFCFB40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E3716282-BFD2-4ED2-BA47-BFA1123827F0}"/>
</file>

<file path=customXml/itemProps11.xml><?xml version="1.0" encoding="utf-8"?>
<ds:datastoreItem xmlns:ds="http://schemas.openxmlformats.org/officeDocument/2006/customXml" ds:itemID="{66B09F59-6532-46F8-924A-9A02417E070D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078388C9-06F9-42F4-B857-EF76B5CAF1FD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7946C510-7D04-49D8-9B25-EEC04582A1CA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F12EFA50-0068-4A8C-85A0-F1B26389EBC3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[Libsys]</cp:lastModifiedBy>
  <cp:revision/>
  <dcterms:created xsi:type="dcterms:W3CDTF">2021-01-01T16:39:53Z</dcterms:created>
  <dcterms:modified xsi:type="dcterms:W3CDTF">2024-07-09T10:54:02Z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