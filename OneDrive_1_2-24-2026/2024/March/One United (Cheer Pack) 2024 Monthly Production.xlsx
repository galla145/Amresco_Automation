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30" documentId="13_ncr:1_{E055DD24-2325-45FB-9662-429E1B6D4754}" xr6:coauthVersionLast="47" xr6:coauthVersionMax="47" xr10:uidLastSave="{3C9E0018-81EF-4CF0-9694-A0A2C7ABE558}"/>
  <bookViews>
    <workbookView xWindow="5484" yWindow="84" windowWidth="17280" windowHeight="888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<sst xmlns="http://schemas.openxmlformats.org/spreadsheetml/2006/main" count="242" uniqueCount="56">
  <si>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</si>
  <si>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</si>
  <si>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</si>
  <si>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</si>
  <si>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</si>
  <si>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</si>
  <si>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</si>
  <si>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</si>
  <si>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</si>
  <si>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</si>
  <si>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</si>
  <si>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</si>
  <si>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</si>
  <si>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</si>
  <si>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</si>
  <si>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</si>
  <si>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</si>
  <si>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</si>
  <si>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</si>
  <si>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</si>
  <si>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</si>
  <si>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</si>
  <si>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</si>
  <si>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</si>
  <si>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</si>
  <si>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</si>
  <si>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2 is offline due to Isolated fault on 03/22 and the inverter was re energized by technician and is back online on 03/23.</t>
  </si>
  <si>
    <t>1. SR082397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</si>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</sst>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SUM(C4:C64)</f>
        <v>394602</v>
      </c>
      <c r="D2" s="5">
        <f>SUM(D4:D64)</f>
        <v>463986</v>
      </c>
      <c r="E2" s="5">
        <f>C2-D2</f>
        <v>-69384</v>
      </c>
      <c r="F2" s="6">
        <f>IFERROR(E2/D2, 0)</f>
        <v>-0.14953899471104731</v>
      </c>
      <c r="G2" s="5">
        <f>SUM(G4:G64)</f>
        <v>500815.3</v>
      </c>
      <c r="H2" s="7">
        <f>C2-G2</f>
        <v>-106213.29999999999</v>
      </c>
      <c r="I2" s="6">
        <f>IFERROR(H2/G2, 0)</f>
        <v>-0.21208078107837358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394602</v>
      </c>
      <c r="D4" s="11">
        <f>SUM('1st Qtr'!D4, '2nd Qtr'!D4, '3rd Qtr'!D4, '4th Qtr'!D4)</f>
        <v>463986</v>
      </c>
      <c r="E4" s="11">
        <f>IF(AND(ISNUMBER(C4),ISNUMBER(D4)), C4-D4, "")</f>
        <v>-69384</v>
      </c>
      <c r="F4" s="12">
        <f>IFERROR(E4/D4, "")</f>
        <v>-0.14953899471104731</v>
      </c>
      <c r="G4" s="13">
        <f>SUM('1st Qtr'!G4, '2nd Qtr'!G4, '3rd Qtr'!G4, '4th Qtr'!G4)</f>
        <v>500815.3</v>
      </c>
      <c r="H4" s="13">
        <f>SUM('1st Qtr'!H4, '2nd Qtr'!H4, '3rd Qtr'!H4, '4th Qtr'!H4)</f>
        <v>-106213.29999999999</v>
      </c>
      <c r="I4" s="14">
        <f>IFERROR(H4/G4, "")</f>
        <v>-0.21208078107837358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SUM(C4:C64)</f>
        <v>394602</v>
      </c>
      <c r="D2" s="5">
        <f>SUM(D4:D64)</f>
        <v>463986</v>
      </c>
      <c r="E2" s="5">
        <f>C2-D2</f>
        <v>-69384</v>
      </c>
      <c r="F2" s="6">
        <f>IFERROR(E2/D2, 0)</f>
        <v>-0.14953899471104731</v>
      </c>
      <c r="G2" s="5">
        <f>SUM(G4:G64)</f>
        <v>500815.3</v>
      </c>
      <c r="H2" s="7">
        <f>C2-G2</f>
        <v>-106213.29999999999</v>
      </c>
      <c r="I2" s="6">
        <f>IFERROR(H2/G2, 0)</f>
        <v>-0.21208078107837358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394602</v>
      </c>
      <c r="D4" s="11">
        <f>SUM(Jan!D4, Feb!D4, Mar!D4)</f>
        <v>463986</v>
      </c>
      <c r="E4" s="11">
        <f>IF(AND(ISNUMBER(C4),ISNUMBER(D4)), C4-D4, "")</f>
        <v>-69384</v>
      </c>
      <c r="F4" s="12">
        <f>IFERROR(E4/D4, "")</f>
        <v>-0.14953899471104731</v>
      </c>
      <c r="G4" s="13">
        <f>SUM(Jan!G4, Feb!G4, Mar!G4)</f>
        <v>500815.3</v>
      </c>
      <c r="H4" s="13">
        <f>SUM(Jan!H4, Feb!H4, Mar!H4)</f>
        <v>-106213.29999999999</v>
      </c>
      <c r="I4" s="14">
        <f>IFERROR(H4/G4, "")</f>
        <v>-0.21208078107837358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H9" sqref="H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SUM(C4:C63)</f>
        <v>59106</v>
      </c>
      <c r="D2" s="5">
        <f>SUM(D4:D63)</f>
        <v>98220.7</v>
      </c>
      <c r="E2" s="5">
        <f>C2-D2</f>
        <v>-39114.699999999997</v>
      </c>
      <c r="F2" s="6">
        <f>IFERROR(E2/D2, 0)</f>
        <v>-0.3982327554171371</v>
      </c>
      <c r="G2" s="5">
        <f>SUM(G4:G63)</f>
        <v>120187.9</v>
      </c>
      <c r="H2" s="7">
        <f>C2-G2</f>
        <v>-61081.899999999994</v>
      </c>
      <c r="I2" s="6">
        <f>IFERROR(H2/G2, 0)</f>
        <v>-0.50822004544550659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59106</v>
      </c>
      <c r="D4" s="11">
        <v>98220.7</v>
      </c>
      <c r="E4" s="11">
        <f>IF(AND(ISNUMBER(C4),ISNUMBER(D4)), C4-D4, "")</f>
        <v>-39114.699999999997</v>
      </c>
      <c r="F4" s="34">
        <f>IFERROR(E4/D4, "")</f>
        <v>-0.3982327554171371</v>
      </c>
      <c r="G4" s="13">
        <v>120187.9</v>
      </c>
      <c r="H4" s="13">
        <f>IF(AND(ISNUMBER(C4),ISNUMBER(G4)), C4-G4, "")</f>
        <v>-61081.899999999994</v>
      </c>
      <c r="I4" s="14">
        <f>IFERROR(H4/G4, "")</f>
        <v>-0.50822004544550659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G8" sqref="G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139092</v>
      </c>
      <c r="D2" s="5">
        <f>SUM(D4:D64)</f>
        <v>162361.29999999999</v>
      </c>
      <c r="E2" s="5">
        <f>C2-D2</f>
        <v>-23269.299999999988</v>
      </c>
      <c r="F2" s="6">
        <f>IFERROR(E2/D2, 0)</f>
        <v>-0.1433180197497802</v>
      </c>
      <c r="G2" s="5">
        <f>SUM(G4:G64)</f>
        <v>153747.4</v>
      </c>
      <c r="H2" s="7">
        <f>C2-G2</f>
        <v>-14655.399999999994</v>
      </c>
      <c r="I2" s="6">
        <f>IFERROR(H2/G2, 0)</f>
        <v>-9.5321286733954486E-2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139092</v>
      </c>
      <c r="D4" s="11">
        <v>162361.29999999999</v>
      </c>
      <c r="E4" s="11">
        <f>IF(AND(ISNUMBER(C4),ISNUMBER(D4)), C4-D4, "")</f>
        <v>-23269.299999999988</v>
      </c>
      <c r="F4" s="12">
        <f>IFERROR(E4/D4, "")</f>
        <v>-0.1433180197497802</v>
      </c>
      <c r="G4" s="13">
        <v>153747.4</v>
      </c>
      <c r="H4" s="13">
        <f>IF(AND(ISNUMBER(C4),ISNUMBER(G4)), C4-G4, "")</f>
        <v>-14655.399999999994</v>
      </c>
      <c r="I4" s="14">
        <f>IFERROR(H4/G4, "")</f>
        <v>-9.5321286733954486E-2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tabSelected="1" workbookViewId="0">
      <pane xSplit="2" ySplit="3" topLeftCell="C4" activePane="bottomRight" state="frozen"/>
      <selection pane="bottomRight" activeCell="J19" sqref="J1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196404</v>
      </c>
      <c r="D2" s="5">
        <f>SUM(D4:D64)</f>
        <v>203404</v>
      </c>
      <c r="E2" s="5">
        <f>C2-D2</f>
        <v>-7000</v>
      </c>
      <c r="F2" s="6">
        <f>IFERROR(E2/D2, 0)</f>
        <v>-3.4414269139249963E-2</v>
      </c>
      <c r="G2" s="5">
        <f>SUM(G4:G64)</f>
        <v>226880</v>
      </c>
      <c r="H2" s="7">
        <f>C2-G2</f>
        <v>-30476</v>
      </c>
      <c r="I2" s="6">
        <f>IFERROR(H2/G2, 0)</f>
        <v>-0.1343265162200282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196404</v>
      </c>
      <c r="D4" s="11">
        <v>203404</v>
      </c>
      <c r="E4" s="11">
        <f>IF(AND(ISNUMBER(C4),ISNUMBER(D4)), C4-D4, "")</f>
        <v>-7000</v>
      </c>
      <c r="F4" s="12">
        <f>IFERROR(E4/D4, "")</f>
        <v>-3.4414269139249963E-2</v>
      </c>
      <c r="G4" s="13">
        <v>226880</v>
      </c>
      <c r="H4" s="13">
        <f>IF(AND(ISNUMBER(C4),ISNUMBER(G4)), C4-G4, "")</f>
        <v>-30476</v>
      </c>
      <c r="I4" s="14">
        <f>IFERROR(H4/G4, "")</f>
        <v>-0.1343265162200282</v>
      </c>
      <c r="J4" s="42" t="s">
        <v>26</v>
      </c>
      <c r="K4" s="42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38" t="s">
        <v>51</v>
      </c>
      <c r="B4" t="s">
        <v>52</v>
      </c>
      <c r="C4" s="36" t="s">
        <v>53</v>
      </c>
      <c r="D4" s="40" t="s">
        <v>54</v>
      </c>
      <c r="E4" s="41" t="s">
        <v>55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