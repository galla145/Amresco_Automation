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Desktop/Monthly Reports - March 2023/"/>
    </mc:Choice>
  </mc:AlternateContent>
  <xr:revisionPtr revIDLastSave="0" documentId="8_{AEC57D7C-A9A6-4028-93B8-28B2E1D35085}" xr6:coauthVersionLast="47" xr6:coauthVersionMax="47" xr10:uidLastSave="{00000000-0000-0000-0000-000000000000}"/>
  <bookViews>
    <workbookView xWindow="-28920" yWindow="7725" windowWidth="29040" windowHeight="15720" tabRatio="866" firstSheet="4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<sst xmlns="http://schemas.openxmlformats.org/spreadsheetml/2006/main" count="240" uniqueCount="53">
  <si>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</si>
  <si>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</si>
  <si>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</si>
  <si>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</si>
  <si>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</si>
  <si>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</si>
  <si>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</si>
  <si>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</si>
  <si>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</si>
  <si>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</si>
  <si>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</si>
  <si>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</si>
  <si>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</si>
  <si>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</si>
  <si>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</si>
  <si>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</si>
  <si>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</si>
  <si>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</si>
  <si>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</si>
  <si>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</si>
  <si>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</si>
  <si>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</si>
  <si>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</si>
  <si>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</si>
  <si>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</si>
  <si>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</si>
  <si>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</si>
  <si>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</si>
  <si>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</si>
  <si>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</si>
  <si>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</si>
  <si>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</si>
  <si>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</si>
  <si>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</si>
  <si>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</si>
  <si>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</si>
  <si>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</si>
  <si>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</si>
  <si>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</si>
  <si>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</si>
  <si>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</si>
  <si>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</si>
  <si>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</si>
  <si>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</si>
  <si>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</si>
  <si>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</si>
  <si>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</si>
  <si>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</si>
  <si>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>RI - Providence Water</t>
  </si>
  <si>
    <t>Inaccess</t>
  </si>
  <si>
    <t>RI</t>
  </si>
  <si>
    <t>A</t>
  </si>
  <si>
    <t>City of Providence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</si>
</sst>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City of Providence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121140</v>
      </c>
      <c r="D2" s="5">
        <f>SUM(D4:D79)</f>
        <v>0</v>
      </c>
      <c r="E2" s="5">
        <f>C2-D2</f>
        <v>121140</v>
      </c>
      <c r="F2" s="6">
        <f>IFERROR(E2/D2, 0)</f>
        <v>0</v>
      </c>
      <c r="G2" s="5">
        <f>SUM(G4:G79)</f>
        <v>0</v>
      </c>
      <c r="H2" s="7">
        <f>C2-G2</f>
        <v>121140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11" t="str" cm="1">
        <f t="array" ref="A4">Sites[Site]</f>
        <v>City of Providence</v>
      </c>
      <c r="B4" s="9" t="str" cm="1">
        <f t="array" ref="B4">Sites[State]</f>
        <v>RI</v>
      </c>
      <c r="C4" s="23">
        <f>SUM('1st Qtr'!C4, '2nd Qtr'!C4, '3rd Qtr'!C4, '4th Qtr'!C4)</f>
        <v>121140</v>
      </c>
      <c r="D4" s="12">
        <f>SUM('1st Qtr'!D4, '2nd Qtr'!D4, '3rd Qtr'!D4, '4th Qtr'!D4)</f>
        <v>0</v>
      </c>
      <c r="E4" s="12">
        <f>IF(AND(ISNUMBER(C4),ISNUMBER(D4)), C4-D4, "")</f>
        <v>121140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121140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City of Providence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121140</v>
      </c>
      <c r="D2" s="5">
        <f>SUM(D4:D79)</f>
        <v>0</v>
      </c>
      <c r="E2" s="5">
        <f>C2-D2</f>
        <v>121140</v>
      </c>
      <c r="F2" s="6">
        <f>IFERROR(E2/D2, 0)</f>
        <v>0</v>
      </c>
      <c r="G2" s="5">
        <f>SUM(G4:G79)</f>
        <v>0</v>
      </c>
      <c r="H2" s="7">
        <f>C2-G2</f>
        <v>121140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SUM(Jan!C4, Feb!C4, Mar!C4)</f>
        <v>121140</v>
      </c>
      <c r="D4" s="12">
        <f>SUM(Jan!D4, Feb!D4, Mar!D4)</f>
        <v>0</v>
      </c>
      <c r="E4" s="12">
        <f>IF(AND(ISNUMBER(C4),ISNUMBER(D4)), C4-D4, "")</f>
        <v>121140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121140</v>
      </c>
      <c r="I4" s="15" t="str">
        <f>IFERROR(H4/G4, "")</f>
        <v/>
      </c>
    </row>
    <row r="5" spans="1:9" ht="14.25" x14ac:dyDescent="0.4">
      <c r="A5" s="20"/>
      <c r="B5" s="1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City of Providence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City of Providence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 x14ac:dyDescent="0.4">
      <c r="A5" s="16"/>
      <c r="B5" s="20"/>
      <c r="C5" s="20"/>
      <c r="D5" s="20"/>
      <c r="E5" s="20"/>
      <c r="F5" s="20"/>
      <c r="G5" s="20"/>
      <c r="H5" s="20"/>
      <c r="I5" s="20"/>
    </row>
    <row r="6" spans="1:9" ht="15.75" x14ac:dyDescent="0.4">
      <c r="A6" s="16"/>
      <c r="B6" s="20"/>
      <c r="C6" s="20"/>
      <c r="D6" s="20"/>
      <c r="E6" s="20"/>
      <c r="F6" s="20"/>
      <c r="G6" s="20"/>
      <c r="H6" s="20"/>
      <c r="I6" s="20"/>
    </row>
    <row r="7" spans="1:9" ht="15.75" x14ac:dyDescent="0.4">
      <c r="A7" s="16"/>
      <c r="B7" s="20"/>
      <c r="C7" s="20"/>
      <c r="D7" s="20"/>
      <c r="E7" s="20"/>
      <c r="F7" s="20"/>
      <c r="G7" s="20"/>
      <c r="H7" s="20"/>
      <c r="I7" s="20"/>
    </row>
    <row r="8" spans="1:9" ht="15.75" x14ac:dyDescent="0.4">
      <c r="A8" s="16"/>
      <c r="B8" s="20"/>
      <c r="C8" s="20"/>
      <c r="D8" s="20"/>
      <c r="E8" s="20"/>
      <c r="F8" s="20"/>
      <c r="G8" s="20"/>
      <c r="H8" s="20"/>
      <c r="I8" s="20"/>
    </row>
    <row r="9" spans="1:9" ht="15.75" x14ac:dyDescent="0.4">
      <c r="A9" s="16"/>
      <c r="B9" s="20"/>
      <c r="C9" s="20"/>
      <c r="D9" s="20"/>
      <c r="E9" s="20"/>
      <c r="F9" s="20"/>
      <c r="G9" s="20"/>
      <c r="H9" s="20"/>
      <c r="I9" s="20"/>
    </row>
    <row r="10" spans="1:9" ht="15.75" x14ac:dyDescent="0.4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City of Providence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 x14ac:dyDescent="0.35">
      <c r="A5" s="16"/>
      <c r="B5" s="10"/>
      <c r="C5" s="41"/>
      <c r="D5" s="17"/>
      <c r="E5" s="17"/>
      <c r="F5" s="18"/>
      <c r="G5" s="19"/>
      <c r="H5" s="19"/>
      <c r="I5" s="18"/>
    </row>
    <row r="6" spans="1:9" ht="14.25" x14ac:dyDescent="0.4">
      <c r="A6" s="20"/>
      <c r="B6" s="10"/>
      <c r="C6" s="41"/>
      <c r="D6" s="17"/>
      <c r="E6" s="17"/>
      <c r="F6" s="18"/>
      <c r="G6" s="19"/>
      <c r="H6" s="19"/>
      <c r="I6" s="18"/>
    </row>
    <row r="7" spans="1:9" ht="14.25" x14ac:dyDescent="0.4">
      <c r="A7" s="20"/>
      <c r="B7" s="10"/>
      <c r="C7" s="41"/>
      <c r="D7" s="17"/>
      <c r="E7" s="17"/>
      <c r="F7" s="18"/>
      <c r="G7" s="19"/>
      <c r="H7" s="19"/>
      <c r="I7" s="18"/>
    </row>
    <row r="8" spans="1:9" ht="14.25" x14ac:dyDescent="0.4">
      <c r="A8" s="20"/>
      <c r="B8" s="10"/>
      <c r="C8" s="41"/>
      <c r="D8" s="17"/>
      <c r="E8" s="17"/>
      <c r="F8" s="18"/>
      <c r="G8" s="19"/>
      <c r="H8" s="19"/>
      <c r="I8" s="18"/>
    </row>
    <row r="9" spans="1:9" ht="14.25" x14ac:dyDescent="0.4">
      <c r="A9" s="20"/>
      <c r="B9" s="10"/>
      <c r="C9" s="41"/>
      <c r="D9" s="17"/>
      <c r="E9" s="17"/>
      <c r="F9" s="18"/>
      <c r="G9" s="19"/>
      <c r="H9" s="19"/>
      <c r="I9" s="18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F27" sqref="F27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SUM(C4:C78)</f>
        <v>17756</v>
      </c>
      <c r="D2" s="5">
        <f>SUM(D4:D78)</f>
        <v>0</v>
      </c>
      <c r="E2" s="5">
        <f>C2-D2</f>
        <v>17756</v>
      </c>
      <c r="F2" s="6">
        <f>IFERROR(E2/D2, 0)</f>
        <v>0</v>
      </c>
      <c r="G2" s="5">
        <f>SUM(G4:G78)</f>
        <v>0</v>
      </c>
      <c r="H2" s="7">
        <f>C2-G2</f>
        <v>17756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City of Providence</v>
      </c>
      <c r="B4" s="27" t="str" cm="1">
        <f t="array" ref="B4">Sites[State]</f>
        <v>RI</v>
      </c>
      <c r="C4" s="50">
        <v>17756</v>
      </c>
      <c r="D4" s="51">
        <v>0</v>
      </c>
      <c r="E4" s="12">
        <f>IF(AND(ISNUMBER(C4),ISNUMBER(D4)), C4-D4, "")</f>
        <v>17756</v>
      </c>
      <c r="F4" s="40" t="str">
        <f>IFERROR(E4/D4, "")</f>
        <v/>
      </c>
      <c r="G4" s="53">
        <v>0</v>
      </c>
      <c r="H4" s="14">
        <f>IF(AND(ISNUMBER(C4),ISNUMBER(G4)), C4-G4, "")</f>
        <v>17756</v>
      </c>
      <c r="I4" s="15" t="str">
        <f>IFERROR(H4/G4, "")</f>
        <v/>
      </c>
      <c r="J4" s="47"/>
      <c r="K4" s="47"/>
    </row>
    <row r="5" spans="1:11" ht="14.25" x14ac:dyDescent="0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5" priority="4" stopIfTrue="1" operator="lessThanOrEqual">
      <formula>-0.1</formula>
    </cfRule>
    <cfRule type="expression" dxfId="24" priority="5">
      <formula>AND(ISNUMBER(F2), F2&gt;=0.1)</formula>
    </cfRule>
  </conditionalFormatting>
  <conditionalFormatting sqref="F5:F78">
    <cfRule type="cellIs" dxfId="23" priority="1" stopIfTrue="1" operator="lessThanOrEqual">
      <formula>-0.1</formula>
    </cfRule>
    <cfRule type="expression" dxfId="22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3" sqref="G13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37359</v>
      </c>
      <c r="D2" s="5">
        <f>SUM(D4:D79)</f>
        <v>0</v>
      </c>
      <c r="E2" s="5">
        <f>C2-D2</f>
        <v>37359</v>
      </c>
      <c r="F2" s="6">
        <f>IFERROR(E2/D2, 0)</f>
        <v>0</v>
      </c>
      <c r="G2" s="5">
        <f>SUM(G4:G79)</f>
        <v>0</v>
      </c>
      <c r="H2" s="7">
        <f>C2-G2</f>
        <v>37359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City of Providence</v>
      </c>
      <c r="B4" s="27" t="str" cm="1">
        <f t="array" ref="B4">Sites[State]</f>
        <v>RI</v>
      </c>
      <c r="C4" s="23">
        <v>37359</v>
      </c>
      <c r="D4" s="12">
        <v>0</v>
      </c>
      <c r="E4" s="12">
        <f>IF(AND(ISNUMBER(C4),ISNUMBER(D4)), C4-D4, "")</f>
        <v>37359</v>
      </c>
      <c r="F4" s="13" t="str">
        <f>IFERROR(E4/D4, "")</f>
        <v/>
      </c>
      <c r="G4" s="14">
        <v>0</v>
      </c>
      <c r="H4" s="14">
        <f>IF(AND(ISNUMBER(C4),ISNUMBER(G4)), C4-G4, "")</f>
        <v>37359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0" sqref="G10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66025</v>
      </c>
      <c r="D2" s="5">
        <f>SUM(D4:D79)</f>
        <v>0</v>
      </c>
      <c r="E2" s="5">
        <f>C2-D2</f>
        <v>66025</v>
      </c>
      <c r="F2" s="6">
        <f>IFERROR(E2/D2, 0)</f>
        <v>0</v>
      </c>
      <c r="G2" s="5">
        <f>SUM(G4:G79)</f>
        <v>0</v>
      </c>
      <c r="H2" s="7">
        <f>C2-G2</f>
        <v>66025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66025</v>
      </c>
      <c r="D4" s="12">
        <v>0</v>
      </c>
      <c r="E4" s="12">
        <f>IF(AND(ISNUMBER(C4),ISNUMBER(D4)), C4-D4, "")</f>
        <v>66025</v>
      </c>
      <c r="F4" s="13" t="str">
        <f>IFERROR(E4/D4, "")</f>
        <v/>
      </c>
      <c r="G4" s="14">
        <v>0</v>
      </c>
      <c r="H4" s="14">
        <f>IF(AND(ISNUMBER(C4),ISNUMBER(G4)), C4-G4, "")</f>
        <v>66025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City of Providence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tabSelected="1" workbookViewId="0">
      <pane ySplit="3" topLeftCell="A4" activePane="bottomLeft" state="frozen"/>
      <selection pane="bottomLeft" activeCell="B1" sqref="B1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44</v>
      </c>
      <c r="B1" t="s">
        <v>52</v>
      </c>
    </row>
    <row r="3" spans="1:12" x14ac:dyDescent="0.35">
      <c r="A3" t="s">
        <v>45</v>
      </c>
      <c r="B3" t="s">
        <v>3</v>
      </c>
      <c r="C3" t="s">
        <v>4</v>
      </c>
      <c r="D3" t="s">
        <v>46</v>
      </c>
      <c r="E3" s="2" t="s">
        <v>47</v>
      </c>
    </row>
    <row r="4" spans="1:12" ht="14.25" x14ac:dyDescent="0.45">
      <c r="A4" s="45" t="s">
        <v>48</v>
      </c>
      <c r="B4" t="s">
        <v>52</v>
      </c>
      <c r="C4" s="43" t="s">
        <v>50</v>
      </c>
      <c r="D4" s="42" t="s">
        <v>51</v>
      </c>
      <c r="E4" t="s">
        <v>49</v>
      </c>
      <c r="G4" s="3"/>
    </row>
    <row r="5" spans="1:12" ht="14.25" x14ac:dyDescent="0.45">
      <c r="A5" s="45"/>
      <c r="C5" s="43"/>
      <c r="D5" s="42"/>
      <c r="G5" s="3"/>
    </row>
    <row r="6" spans="1:12" ht="14.25" x14ac:dyDescent="0.45">
      <c r="A6" s="45"/>
      <c r="C6" s="43"/>
      <c r="D6" s="42"/>
      <c r="G6" s="3"/>
    </row>
    <row r="7" spans="1:12" ht="12.75" customHeight="1" x14ac:dyDescent="0.35">
      <c r="A7" s="45"/>
      <c r="C7" s="43"/>
      <c r="D7" s="42"/>
    </row>
    <row r="8" spans="1:12" ht="12.75" customHeight="1" x14ac:dyDescent="0.35">
      <c r="A8" s="45"/>
      <c r="C8" s="43"/>
      <c r="D8" s="42"/>
    </row>
    <row r="9" spans="1:12" ht="12.75" customHeight="1" x14ac:dyDescent="0.35">
      <c r="A9" s="45"/>
      <c r="C9" s="43"/>
      <c r="D9" s="42"/>
    </row>
    <row r="10" spans="1:12" ht="12.75" customHeight="1" x14ac:dyDescent="0.35">
      <c r="A10" s="45"/>
      <c r="C10" s="43"/>
      <c r="D10" s="42"/>
      <c r="K10" s="38"/>
      <c r="L10" s="38"/>
    </row>
    <row r="11" spans="1:12" ht="12.75" customHeight="1" x14ac:dyDescent="0.35">
      <c r="A11" s="45"/>
      <c r="C11" s="43"/>
      <c r="D11" s="42"/>
      <c r="K11" s="38"/>
      <c r="L11" s="38"/>
    </row>
    <row r="12" spans="1:12" ht="12.75" customHeight="1" x14ac:dyDescent="0.35">
      <c r="A12" s="45"/>
      <c r="C12" s="43"/>
      <c r="D12" s="42"/>
      <c r="K12" s="38"/>
      <c r="L12" s="38"/>
    </row>
    <row r="13" spans="1:12" ht="12.75" customHeight="1" x14ac:dyDescent="0.35">
      <c r="A13" s="45"/>
      <c r="C13" s="43"/>
      <c r="D13" s="42"/>
      <c r="K13" s="38"/>
      <c r="L13" s="38"/>
    </row>
    <row r="14" spans="1:12" ht="12.75" customHeight="1" x14ac:dyDescent="0.35">
      <c r="A14" s="45"/>
      <c r="C14" s="43"/>
      <c r="D14" s="42"/>
      <c r="K14" s="38"/>
      <c r="L14" s="38"/>
    </row>
    <row r="15" spans="1:12" ht="12.75" customHeight="1" x14ac:dyDescent="0.35">
      <c r="A15" s="45"/>
      <c r="C15" s="43"/>
      <c r="D15" s="42"/>
      <c r="K15" s="38"/>
      <c r="L15" s="38"/>
    </row>
    <row r="16" spans="1:12" ht="12.75" customHeight="1" x14ac:dyDescent="0.35">
      <c r="A16" s="45"/>
      <c r="C16" s="43"/>
      <c r="D16" s="42"/>
      <c r="K16" s="38"/>
      <c r="L16" s="38"/>
    </row>
    <row r="17" spans="1:12" ht="12.75" customHeight="1" x14ac:dyDescent="0.35">
      <c r="A17" s="45"/>
      <c r="C17" s="43"/>
      <c r="D17" s="42"/>
      <c r="K17" s="38"/>
      <c r="L17" s="38"/>
    </row>
    <row r="18" spans="1:12" ht="12.75" customHeight="1" x14ac:dyDescent="0.35">
      <c r="A18" s="45"/>
      <c r="C18" s="43"/>
      <c r="D18" s="42"/>
      <c r="K18" s="38"/>
      <c r="L18" s="38"/>
    </row>
    <row r="19" spans="1:12" ht="12.75" customHeight="1" x14ac:dyDescent="0.35">
      <c r="A19" s="45"/>
      <c r="C19" s="43"/>
      <c r="D19" s="42"/>
      <c r="K19" s="38"/>
      <c r="L19" s="38"/>
    </row>
    <row r="20" spans="1:12" ht="12.75" customHeight="1" x14ac:dyDescent="0.35">
      <c r="A20" s="45"/>
      <c r="C20" s="43"/>
      <c r="D20" s="42"/>
      <c r="K20" s="38"/>
      <c r="L20" s="38"/>
    </row>
    <row r="21" spans="1:12" ht="12.75" customHeight="1" x14ac:dyDescent="0.35">
      <c r="A21" s="45"/>
      <c r="C21" s="43"/>
      <c r="D21" s="42"/>
      <c r="K21" s="38"/>
      <c r="L21" s="38"/>
    </row>
    <row r="22" spans="1:12" ht="12.75" customHeight="1" x14ac:dyDescent="0.35">
      <c r="A22" s="45"/>
      <c r="C22" s="43"/>
      <c r="D22" s="42"/>
      <c r="K22" s="38"/>
      <c r="L22" s="38"/>
    </row>
    <row r="23" spans="1:12" ht="12.75" customHeight="1" x14ac:dyDescent="0.35">
      <c r="A23" s="45"/>
      <c r="C23" s="43"/>
      <c r="D23" s="42"/>
      <c r="K23" s="38"/>
      <c r="L23" s="38"/>
    </row>
    <row r="24" spans="1:12" ht="12.75" customHeight="1" x14ac:dyDescent="0.35">
      <c r="A24" s="45"/>
      <c r="C24" s="43"/>
      <c r="D24" s="42"/>
      <c r="K24" s="38"/>
      <c r="L24" s="38"/>
    </row>
    <row r="25" spans="1:12" ht="12.75" customHeight="1" x14ac:dyDescent="0.35">
      <c r="A25" s="45"/>
      <c r="C25" s="43"/>
      <c r="D25" s="42"/>
      <c r="K25" s="38"/>
      <c r="L25" s="38"/>
    </row>
    <row r="26" spans="1:12" ht="12.75" customHeight="1" x14ac:dyDescent="0.35">
      <c r="K26" s="38"/>
      <c r="L26" s="38"/>
    </row>
    <row r="27" spans="1:12" ht="12.75" customHeight="1" x14ac:dyDescent="0.35">
      <c r="K27" s="38"/>
      <c r="L27" s="38"/>
    </row>
    <row r="28" spans="1:12" ht="12.75" customHeight="1" x14ac:dyDescent="0.35">
      <c r="K28" s="38"/>
      <c r="L28" s="38"/>
    </row>
    <row r="29" spans="1:12" ht="12.75" customHeight="1" x14ac:dyDescent="0.35">
      <c r="K29" s="38"/>
      <c r="L29" s="38"/>
    </row>
    <row r="30" spans="1:12" ht="12.75" customHeight="1" x14ac:dyDescent="0.35">
      <c r="K30" s="38"/>
      <c r="L30" s="38"/>
    </row>
    <row r="31" spans="1:12" ht="12.75" customHeight="1" x14ac:dyDescent="0.3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3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4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5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May</vt:lpstr>
      <vt:lpstr>Apr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[AGS]</cp:lastModifiedBy>
  <cp:revision/>
  <dcterms:created xsi:type="dcterms:W3CDTF">2021-01-01T16:39:53Z</dcterms:created>
  <dcterms:modified xsi:type="dcterms:W3CDTF">2024-04-15T20:27:45Z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