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Monthly Reports - March 2023/"/>
    </mc:Choice>
  </mc:AlternateContent>
  <xr:revisionPtr revIDLastSave="0" documentId="8_{EB697ACF-E5AB-467A-A6A3-DBE7C1F0BD10}" xr6:coauthVersionLast="47" xr6:coauthVersionMax="47" xr10:uidLastSave="{00000000-0000-0000-0000-000000000000}"/>
  <bookViews>
    <workbookView xWindow="-28920" yWindow="7725" windowWidth="29040" windowHeight="15720" tabRatio="866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<sst xmlns="http://schemas.openxmlformats.org/spreadsheetml/2006/main" count="240" uniqueCount="53">
  <si>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</si>
  <si>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</si>
  <si>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</si>
  <si>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</si>
  <si>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</si>
  <si>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</si>
  <si>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</si>
  <si>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</si>
  <si>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</si>
  <si>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</si>
  <si>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</si>
  <si>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</si>
  <si>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</si>
  <si>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</si>
  <si>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</si>
  <si>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</si>
  <si>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</si>
  <si>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</si>
  <si>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</si>
  <si>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</si>
  <si>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</si>
  <si>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</si>
  <si>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</si>
  <si>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</si>
  <si>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</si>
  <si>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</si>
  <si>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</si>
  <si>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</si>
  <si>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</si>
  <si>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</si>
  <si>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</si>
  <si>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</si>
  <si>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</si>
  <si>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</si>
  <si>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</si>
  <si>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</si>
  <si>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</si>
  <si>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</si>
  <si>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</si>
  <si>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</si>
  <si>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</si>
  <si>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</si>
  <si>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</si>
  <si>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</si>
  <si>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</si>
  <si>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</si>
  <si>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</si>
  <si>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</si>
  <si>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MA</t>
  </si>
  <si>
    <t>AF</t>
  </si>
  <si>
    <t>PowerTrack</t>
  </si>
  <si>
    <t>Rapco Horizon - 1776 Lock Dr</t>
  </si>
  <si>
    <t>MA: Leominster - 1776 Lock Dr - Rapco 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</si>
</sst>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83001.34</v>
      </c>
      <c r="D2" s="5">
        <f>SUM(D4:D79)</f>
        <v>0</v>
      </c>
      <c r="E2" s="5">
        <f>C2-D2</f>
        <v>83001.34</v>
      </c>
      <c r="F2" s="6">
        <f>IFERROR(E2/D2, 0)</f>
        <v>0</v>
      </c>
      <c r="G2" s="5">
        <f>SUM(G4:G79)</f>
        <v>96524.59</v>
      </c>
      <c r="H2" s="7">
        <f>C2-G2</f>
        <v>-13523.25</v>
      </c>
      <c r="I2" s="6">
        <f>IFERROR(H2/G2, 0)</f>
        <v>-0.14010160519718343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SUM('1st Qtr'!C4, '2nd Qtr'!C4, '3rd Qtr'!C4, '4th Qtr'!C4)</f>
        <v>83001.34</v>
      </c>
      <c r="D4" s="12">
        <f>SUM('1st Qtr'!D4, '2nd Qtr'!D4, '3rd Qtr'!D4, '4th Qtr'!D4)</f>
        <v>0</v>
      </c>
      <c r="E4" s="12">
        <f>IF(AND(ISNUMBER(C4),ISNUMBER(D4)), C4-D4, "")</f>
        <v>83001.34</v>
      </c>
      <c r="F4" s="13" t="str">
        <f>IFERROR(E4/D4, "")</f>
        <v/>
      </c>
      <c r="G4" s="14">
        <f>SUM('1st Qtr'!G4, '2nd Qtr'!G4, '3rd Qtr'!G4, '4th Qtr'!G4)</f>
        <v>96524.59</v>
      </c>
      <c r="H4" s="14">
        <f>SUM('1st Qtr'!H4, '2nd Qtr'!H4, '3rd Qtr'!H4, '4th Qtr'!H4)</f>
        <v>-13523.25</v>
      </c>
      <c r="I4" s="15">
        <f>IFERROR(H4/G4, "")</f>
        <v>-0.14010160519718343</v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sqref="A1:C1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83001.34</v>
      </c>
      <c r="D2" s="5">
        <f>SUM(D4:D79)</f>
        <v>0</v>
      </c>
      <c r="E2" s="5">
        <f>C2-D2</f>
        <v>83001.34</v>
      </c>
      <c r="F2" s="6">
        <f>IFERROR(E2/D2, 0)</f>
        <v>0</v>
      </c>
      <c r="G2" s="5">
        <f>SUM(G4:G79)</f>
        <v>96524.59</v>
      </c>
      <c r="H2" s="7">
        <f>C2-G2</f>
        <v>-13523.25</v>
      </c>
      <c r="I2" s="6">
        <f>IFERROR(H2/G2, 0)</f>
        <v>-0.14010160519718343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SUM(Jan!C4, Feb!C4, Mar!C4)</f>
        <v>83001.34</v>
      </c>
      <c r="D4" s="12">
        <f>SUM(Jan!D4, Feb!D4, Mar!D4)</f>
        <v>0</v>
      </c>
      <c r="E4" s="12">
        <f>IF(AND(ISNUMBER(C4),ISNUMBER(D4)), C4-D4, "")</f>
        <v>83001.34</v>
      </c>
      <c r="F4" s="13" t="str">
        <f>IFERROR(E4/D4, "")</f>
        <v/>
      </c>
      <c r="G4" s="14">
        <f>SUM(Jan!G4, Feb!G4, Mar!G4)</f>
        <v>96524.59</v>
      </c>
      <c r="H4" s="14">
        <f>SUM(Jan!H4, Feb!H4, Mar!H4)</f>
        <v>-13523.25</v>
      </c>
      <c r="I4" s="15">
        <f>IFERROR(H4/G4, "")</f>
        <v>-0.14010160519718343</v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2" sqref="G12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SUM(C4:C78)</f>
        <v>8796</v>
      </c>
      <c r="D2" s="5">
        <f>SUM(D4:D78)</f>
        <v>0</v>
      </c>
      <c r="E2" s="5">
        <f>C2-D2</f>
        <v>8796</v>
      </c>
      <c r="F2" s="6">
        <f>IFERROR(E2/D2, 0)</f>
        <v>0</v>
      </c>
      <c r="G2" s="5">
        <f>SUM(G4:G78)</f>
        <v>22339</v>
      </c>
      <c r="H2" s="7">
        <f>C2-G2</f>
        <v>-13543</v>
      </c>
      <c r="I2" s="6">
        <f>IFERROR(H2/G2, 0)</f>
        <v>-0.60624916066072787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50">
        <v>8796</v>
      </c>
      <c r="D4" s="51">
        <v>0</v>
      </c>
      <c r="E4" s="12">
        <f>IF(AND(ISNUMBER(C4),ISNUMBER(D4)), C4-D4, "")</f>
        <v>8796</v>
      </c>
      <c r="F4" s="40" t="str">
        <f>IFERROR(E4/D4, "")</f>
        <v/>
      </c>
      <c r="G4" s="53">
        <v>22339</v>
      </c>
      <c r="H4" s="14">
        <f>IF(AND(ISNUMBER(C4),ISNUMBER(G4)), C4-G4, "")</f>
        <v>-13543</v>
      </c>
      <c r="I4" s="15">
        <f>IFERROR(H4/G4, "")</f>
        <v>-0.60624916066072787</v>
      </c>
      <c r="J4" s="47"/>
      <c r="K4" s="47"/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2" sqref="G12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32517.958999999999</v>
      </c>
      <c r="D2" s="5">
        <f>SUM(D4:D79)</f>
        <v>0</v>
      </c>
      <c r="E2" s="5">
        <f>C2-D2</f>
        <v>32517.958999999999</v>
      </c>
      <c r="F2" s="6">
        <f>IFERROR(E2/D2, 0)</f>
        <v>0</v>
      </c>
      <c r="G2" s="5">
        <f>SUM(G4:G79)</f>
        <v>30499.143</v>
      </c>
      <c r="H2" s="7">
        <f>C2-G2</f>
        <v>2018.8159999999989</v>
      </c>
      <c r="I2" s="6">
        <f>IFERROR(H2/G2, 0)</f>
        <v>6.6192548426688549E-2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32517.958999999999</v>
      </c>
      <c r="D4" s="12">
        <v>0</v>
      </c>
      <c r="E4" s="12">
        <f>IF(AND(ISNUMBER(C4),ISNUMBER(D4)), C4-D4, "")</f>
        <v>32517.958999999999</v>
      </c>
      <c r="F4" s="13" t="str">
        <f>IFERROR(E4/D4, "")</f>
        <v/>
      </c>
      <c r="G4" s="14">
        <v>30499.143</v>
      </c>
      <c r="H4" s="14">
        <f>IF(AND(ISNUMBER(C4),ISNUMBER(G4)), C4-G4, "")</f>
        <v>2018.8159999999989</v>
      </c>
      <c r="I4" s="15">
        <f>IFERROR(H4/G4, "")</f>
        <v>6.6192548426688549E-2</v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F11" sqref="F11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41687.381000000001</v>
      </c>
      <c r="D2" s="5">
        <f>SUM(D4:D79)</f>
        <v>0</v>
      </c>
      <c r="E2" s="5">
        <f>C2-D2</f>
        <v>41687.381000000001</v>
      </c>
      <c r="F2" s="6">
        <f>IFERROR(E2/D2, 0)</f>
        <v>0</v>
      </c>
      <c r="G2" s="5">
        <f>SUM(G4:G79)</f>
        <v>43686.447</v>
      </c>
      <c r="H2" s="7">
        <f>C2-G2</f>
        <v>-1999.0659999999989</v>
      </c>
      <c r="I2" s="6">
        <f>IFERROR(H2/G2, 0)</f>
        <v>-4.5759409090878889E-2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41687.381000000001</v>
      </c>
      <c r="D4" s="12">
        <v>0</v>
      </c>
      <c r="E4" s="12">
        <f>IF(AND(ISNUMBER(C4),ISNUMBER(D4)), C4-D4, "")</f>
        <v>41687.381000000001</v>
      </c>
      <c r="F4" s="13" t="str">
        <f>IFERROR(E4/D4, "")</f>
        <v/>
      </c>
      <c r="G4" s="14">
        <v>43686.447</v>
      </c>
      <c r="H4" s="14">
        <f>IF(AND(ISNUMBER(C4),ISNUMBER(G4)), C4-G4, "")</f>
        <v>-1999.0659999999989</v>
      </c>
      <c r="I4" s="15">
        <f>IFERROR(H4/G4, "")</f>
        <v>-4.5759409090878889E-2</v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MA: Leominster - 1776 Lock Dr - Rapco Horizon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tabSelected="1" workbookViewId="0">
      <pane ySplit="3" topLeftCell="A4" activePane="bottomLeft" state="frozen"/>
      <selection pane="bottomLeft" activeCell="B1" sqref="B1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52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51</v>
      </c>
      <c r="B4" t="s">
        <v>52</v>
      </c>
      <c r="C4" s="43" t="s">
        <v>48</v>
      </c>
      <c r="D4" s="42" t="s">
        <v>49</v>
      </c>
      <c r="E4" t="s">
        <v>50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4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6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9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2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May</vt:lpstr>
      <vt:lpstr>Apr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[AGS]</cp:lastModifiedBy>
  <cp:revision/>
  <dcterms:created xsi:type="dcterms:W3CDTF">2021-01-01T16:39:53Z</dcterms:created>
  <dcterms:modified xsi:type="dcterms:W3CDTF">2024-04-15T20:09:08Z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