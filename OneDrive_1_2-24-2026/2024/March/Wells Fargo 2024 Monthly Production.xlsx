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61" documentId="13_ncr:1_{5A6D5701-3248-441F-8E2C-205F998F0A63}" xr6:coauthVersionLast="47" xr6:coauthVersionMax="47" xr10:uidLastSave="{04EE78EA-F194-4364-8766-0D99033BE104}"/>
  <bookViews>
    <workbookView xWindow="-12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3" l="1"/>
  <c r="E18" i="3"/>
  <c r="E5" i="3"/>
  <c r="E4" i="3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78" i="33"/>
  <c r="I78" i="33" s="1"/>
  <c r="E78" i="33"/>
  <c r="F78" i="33" s="1"/>
  <c r="H77" i="33"/>
  <c r="I77" i="33" s="1"/>
  <c r="E77" i="33"/>
  <c r="F77" i="33" s="1"/>
  <c r="H76" i="33"/>
  <c r="I76" i="33" s="1"/>
  <c r="E76" i="33"/>
  <c r="F76" i="33" s="1"/>
  <c r="H75" i="33"/>
  <c r="I75" i="33" s="1"/>
  <c r="E75" i="33"/>
  <c r="F75" i="33" s="1"/>
  <c r="H74" i="33"/>
  <c r="I74" i="33" s="1"/>
  <c r="E74" i="33"/>
  <c r="F74" i="33" s="1"/>
  <c r="H73" i="33"/>
  <c r="I73" i="33" s="1"/>
  <c r="E73" i="33"/>
  <c r="F73" i="33" s="1"/>
  <c r="H72" i="33"/>
  <c r="I72" i="33" s="1"/>
  <c r="E72" i="33"/>
  <c r="F72" i="33" s="1"/>
  <c r="H71" i="33"/>
  <c r="I71" i="33" s="1"/>
  <c r="E71" i="33"/>
  <c r="F71" i="33" s="1"/>
  <c r="H70" i="33"/>
  <c r="I70" i="33" s="1"/>
  <c r="E70" i="33"/>
  <c r="F70" i="33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78" i="32"/>
  <c r="I78" i="32" s="1"/>
  <c r="E78" i="32"/>
  <c r="F78" i="32" s="1"/>
  <c r="H77" i="32"/>
  <c r="I77" i="32" s="1"/>
  <c r="E77" i="32"/>
  <c r="F77" i="32" s="1"/>
  <c r="H76" i="32"/>
  <c r="I76" i="32" s="1"/>
  <c r="E76" i="32"/>
  <c r="F76" i="32" s="1"/>
  <c r="H75" i="32"/>
  <c r="I75" i="32" s="1"/>
  <c r="E75" i="32"/>
  <c r="F75" i="32" s="1"/>
  <c r="H74" i="32"/>
  <c r="I74" i="32" s="1"/>
  <c r="E74" i="32"/>
  <c r="F74" i="32" s="1"/>
  <c r="H73" i="32"/>
  <c r="I73" i="32" s="1"/>
  <c r="E73" i="32"/>
  <c r="F73" i="32" s="1"/>
  <c r="H72" i="32"/>
  <c r="I72" i="32" s="1"/>
  <c r="E72" i="32"/>
  <c r="F72" i="32" s="1"/>
  <c r="H71" i="32"/>
  <c r="I71" i="32" s="1"/>
  <c r="E71" i="32"/>
  <c r="F71" i="32" s="1"/>
  <c r="H70" i="32"/>
  <c r="I70" i="32" s="1"/>
  <c r="E70" i="32"/>
  <c r="F70" i="32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B4" i="32" a="1"/>
  <c r="B4" i="32" s="1"/>
  <c r="A4" i="32" a="1"/>
  <c r="A4" i="32" s="1"/>
  <c r="I78" i="31"/>
  <c r="H78" i="31"/>
  <c r="E78" i="31"/>
  <c r="F78" i="31" s="1"/>
  <c r="H77" i="31"/>
  <c r="I77" i="31" s="1"/>
  <c r="E77" i="31"/>
  <c r="F77" i="31" s="1"/>
  <c r="H76" i="31"/>
  <c r="I76" i="31" s="1"/>
  <c r="E76" i="31"/>
  <c r="F76" i="31" s="1"/>
  <c r="I75" i="31"/>
  <c r="H75" i="31"/>
  <c r="E75" i="31"/>
  <c r="F75" i="31" s="1"/>
  <c r="H74" i="31"/>
  <c r="I74" i="31" s="1"/>
  <c r="E74" i="31"/>
  <c r="F74" i="31" s="1"/>
  <c r="H73" i="31"/>
  <c r="I73" i="31" s="1"/>
  <c r="E73" i="31"/>
  <c r="F73" i="31" s="1"/>
  <c r="I72" i="31"/>
  <c r="H72" i="31"/>
  <c r="E72" i="31"/>
  <c r="F72" i="31" s="1"/>
  <c r="H71" i="31"/>
  <c r="I71" i="31" s="1"/>
  <c r="E71" i="31"/>
  <c r="F71" i="31" s="1"/>
  <c r="H70" i="31"/>
  <c r="I70" i="31" s="1"/>
  <c r="E70" i="31"/>
  <c r="F70" i="31" s="1"/>
  <c r="I69" i="31"/>
  <c r="H69" i="31"/>
  <c r="E69" i="31"/>
  <c r="F69" i="31" s="1"/>
  <c r="H68" i="31"/>
  <c r="I68" i="31" s="1"/>
  <c r="E68" i="31"/>
  <c r="F68" i="31" s="1"/>
  <c r="H67" i="31"/>
  <c r="I67" i="31" s="1"/>
  <c r="E67" i="31"/>
  <c r="F67" i="31" s="1"/>
  <c r="I66" i="31"/>
  <c r="H66" i="31"/>
  <c r="E66" i="31"/>
  <c r="F66" i="31" s="1"/>
  <c r="H65" i="31"/>
  <c r="I65" i="31" s="1"/>
  <c r="E65" i="31"/>
  <c r="F65" i="31" s="1"/>
  <c r="H64" i="31"/>
  <c r="I64" i="31" s="1"/>
  <c r="E64" i="31"/>
  <c r="F64" i="31" s="1"/>
  <c r="I63" i="31"/>
  <c r="H63" i="31"/>
  <c r="E63" i="31"/>
  <c r="F63" i="31" s="1"/>
  <c r="H62" i="31"/>
  <c r="I62" i="31" s="1"/>
  <c r="E62" i="31"/>
  <c r="F62" i="31" s="1"/>
  <c r="H61" i="31"/>
  <c r="I61" i="31" s="1"/>
  <c r="E61" i="31"/>
  <c r="F61" i="31" s="1"/>
  <c r="I60" i="31"/>
  <c r="H60" i="31"/>
  <c r="E60" i="31"/>
  <c r="F60" i="31" s="1"/>
  <c r="H59" i="31"/>
  <c r="I59" i="31" s="1"/>
  <c r="E59" i="31"/>
  <c r="F59" i="31" s="1"/>
  <c r="H58" i="31"/>
  <c r="I58" i="31" s="1"/>
  <c r="E58" i="31"/>
  <c r="F58" i="31" s="1"/>
  <c r="I57" i="31"/>
  <c r="H57" i="31"/>
  <c r="E57" i="31"/>
  <c r="F57" i="31" s="1"/>
  <c r="H56" i="31"/>
  <c r="I56" i="31" s="1"/>
  <c r="E56" i="31"/>
  <c r="F56" i="31" s="1"/>
  <c r="H55" i="31"/>
  <c r="I55" i="31" s="1"/>
  <c r="E55" i="31"/>
  <c r="F55" i="31" s="1"/>
  <c r="I54" i="31"/>
  <c r="H54" i="31"/>
  <c r="E54" i="31"/>
  <c r="F54" i="31" s="1"/>
  <c r="H53" i="31"/>
  <c r="I53" i="31" s="1"/>
  <c r="E53" i="31"/>
  <c r="F53" i="31" s="1"/>
  <c r="H52" i="31"/>
  <c r="I52" i="31" s="1"/>
  <c r="E52" i="31"/>
  <c r="F52" i="31" s="1"/>
  <c r="I51" i="31"/>
  <c r="H51" i="31"/>
  <c r="E51" i="31"/>
  <c r="F51" i="31" s="1"/>
  <c r="H50" i="31"/>
  <c r="I50" i="31" s="1"/>
  <c r="E50" i="31"/>
  <c r="F50" i="31" s="1"/>
  <c r="H49" i="31"/>
  <c r="I49" i="31" s="1"/>
  <c r="E49" i="31"/>
  <c r="F49" i="31" s="1"/>
  <c r="I48" i="31"/>
  <c r="H48" i="31"/>
  <c r="E48" i="31"/>
  <c r="F48" i="31" s="1"/>
  <c r="H47" i="31"/>
  <c r="I47" i="31" s="1"/>
  <c r="E47" i="31"/>
  <c r="F47" i="31" s="1"/>
  <c r="H46" i="31"/>
  <c r="I46" i="31" s="1"/>
  <c r="E46" i="31"/>
  <c r="F46" i="31" s="1"/>
  <c r="I45" i="31"/>
  <c r="H45" i="31"/>
  <c r="E45" i="31"/>
  <c r="F45" i="31" s="1"/>
  <c r="H44" i="31"/>
  <c r="I44" i="31" s="1"/>
  <c r="E44" i="31"/>
  <c r="F44" i="31" s="1"/>
  <c r="H43" i="31"/>
  <c r="I43" i="31" s="1"/>
  <c r="E43" i="31"/>
  <c r="F43" i="31" s="1"/>
  <c r="I42" i="31"/>
  <c r="H42" i="31"/>
  <c r="E42" i="31"/>
  <c r="F42" i="31" s="1"/>
  <c r="H41" i="31"/>
  <c r="I41" i="31" s="1"/>
  <c r="E41" i="31"/>
  <c r="F41" i="31" s="1"/>
  <c r="H40" i="31"/>
  <c r="I40" i="31" s="1"/>
  <c r="E40" i="31"/>
  <c r="F40" i="31" s="1"/>
  <c r="I39" i="31"/>
  <c r="H39" i="31"/>
  <c r="E39" i="31"/>
  <c r="F39" i="31" s="1"/>
  <c r="H38" i="31"/>
  <c r="I38" i="31" s="1"/>
  <c r="E38" i="31"/>
  <c r="F38" i="31" s="1"/>
  <c r="H37" i="31"/>
  <c r="I37" i="31" s="1"/>
  <c r="E37" i="31"/>
  <c r="F37" i="31" s="1"/>
  <c r="I36" i="31"/>
  <c r="H36" i="31"/>
  <c r="E36" i="31"/>
  <c r="F36" i="31" s="1"/>
  <c r="H35" i="31"/>
  <c r="I35" i="31" s="1"/>
  <c r="E35" i="31"/>
  <c r="F35" i="31" s="1"/>
  <c r="H34" i="31"/>
  <c r="I34" i="31" s="1"/>
  <c r="E34" i="31"/>
  <c r="F34" i="31" s="1"/>
  <c r="I33" i="31"/>
  <c r="H33" i="31"/>
  <c r="E33" i="31"/>
  <c r="F33" i="31" s="1"/>
  <c r="H32" i="31"/>
  <c r="I32" i="31" s="1"/>
  <c r="E32" i="31"/>
  <c r="F32" i="31" s="1"/>
  <c r="H31" i="31"/>
  <c r="I31" i="31" s="1"/>
  <c r="E31" i="31"/>
  <c r="F31" i="31" s="1"/>
  <c r="I30" i="31"/>
  <c r="H30" i="31"/>
  <c r="E30" i="31"/>
  <c r="F30" i="31" s="1"/>
  <c r="H29" i="31"/>
  <c r="I29" i="31" s="1"/>
  <c r="E29" i="31"/>
  <c r="F29" i="31" s="1"/>
  <c r="H28" i="31"/>
  <c r="I28" i="31" s="1"/>
  <c r="E28" i="31"/>
  <c r="F28" i="31" s="1"/>
  <c r="I27" i="31"/>
  <c r="H27" i="31"/>
  <c r="E27" i="31"/>
  <c r="F27" i="31" s="1"/>
  <c r="H26" i="31"/>
  <c r="I26" i="31" s="1"/>
  <c r="E26" i="31"/>
  <c r="F26" i="31" s="1"/>
  <c r="H25" i="31"/>
  <c r="I25" i="31" s="1"/>
  <c r="E25" i="31"/>
  <c r="F25" i="31" s="1"/>
  <c r="I24" i="31"/>
  <c r="H24" i="31"/>
  <c r="E24" i="31"/>
  <c r="F24" i="31" s="1"/>
  <c r="H23" i="31"/>
  <c r="I23" i="31" s="1"/>
  <c r="E23" i="31"/>
  <c r="F23" i="31" s="1"/>
  <c r="H22" i="31"/>
  <c r="I22" i="31" s="1"/>
  <c r="E22" i="31"/>
  <c r="F22" i="31" s="1"/>
  <c r="I21" i="31"/>
  <c r="H21" i="31"/>
  <c r="E21" i="31"/>
  <c r="F21" i="31" s="1"/>
  <c r="H20" i="31"/>
  <c r="I20" i="31" s="1"/>
  <c r="E20" i="31"/>
  <c r="F20" i="31" s="1"/>
  <c r="H19" i="31"/>
  <c r="I19" i="31" s="1"/>
  <c r="E19" i="31"/>
  <c r="F19" i="31" s="1"/>
  <c r="I18" i="31"/>
  <c r="H18" i="31"/>
  <c r="E18" i="31"/>
  <c r="F18" i="31" s="1"/>
  <c r="H17" i="31"/>
  <c r="I17" i="31" s="1"/>
  <c r="E17" i="31"/>
  <c r="F17" i="31" s="1"/>
  <c r="H16" i="31"/>
  <c r="I16" i="31" s="1"/>
  <c r="E16" i="31"/>
  <c r="F16" i="31" s="1"/>
  <c r="I15" i="31"/>
  <c r="H15" i="31"/>
  <c r="E15" i="31"/>
  <c r="F15" i="31" s="1"/>
  <c r="H14" i="31"/>
  <c r="I14" i="31" s="1"/>
  <c r="E14" i="31"/>
  <c r="F14" i="31" s="1"/>
  <c r="H13" i="31"/>
  <c r="I13" i="31" s="1"/>
  <c r="E13" i="31"/>
  <c r="F13" i="31" s="1"/>
  <c r="I12" i="31"/>
  <c r="H12" i="31"/>
  <c r="E12" i="31"/>
  <c r="F12" i="31" s="1"/>
  <c r="H11" i="31"/>
  <c r="I11" i="31" s="1"/>
  <c r="E11" i="31"/>
  <c r="F11" i="31" s="1"/>
  <c r="H10" i="31"/>
  <c r="I10" i="31" s="1"/>
  <c r="E10" i="31"/>
  <c r="F10" i="31" s="1"/>
  <c r="I9" i="31"/>
  <c r="H9" i="31"/>
  <c r="E9" i="31"/>
  <c r="F9" i="31" s="1"/>
  <c r="H8" i="31"/>
  <c r="I8" i="31" s="1"/>
  <c r="E8" i="31"/>
  <c r="F8" i="31" s="1"/>
  <c r="H7" i="31"/>
  <c r="I7" i="31" s="1"/>
  <c r="E7" i="31"/>
  <c r="F7" i="31" s="1"/>
  <c r="I6" i="31"/>
  <c r="H6" i="3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78" i="28"/>
  <c r="I78" i="28" s="1"/>
  <c r="E78" i="28"/>
  <c r="F78" i="28" s="1"/>
  <c r="H77" i="28"/>
  <c r="I77" i="28" s="1"/>
  <c r="E77" i="28"/>
  <c r="F77" i="28" s="1"/>
  <c r="H76" i="28"/>
  <c r="I76" i="28" s="1"/>
  <c r="E76" i="28"/>
  <c r="F76" i="28" s="1"/>
  <c r="H75" i="28"/>
  <c r="I75" i="28" s="1"/>
  <c r="E75" i="28"/>
  <c r="F75" i="28" s="1"/>
  <c r="H74" i="28"/>
  <c r="I74" i="28" s="1"/>
  <c r="E74" i="28"/>
  <c r="F74" i="28" s="1"/>
  <c r="H73" i="28"/>
  <c r="I73" i="28" s="1"/>
  <c r="E73" i="28"/>
  <c r="F73" i="28" s="1"/>
  <c r="H72" i="28"/>
  <c r="I72" i="28" s="1"/>
  <c r="E72" i="28"/>
  <c r="F72" i="28" s="1"/>
  <c r="H71" i="28"/>
  <c r="I71" i="28" s="1"/>
  <c r="E71" i="28"/>
  <c r="F71" i="28" s="1"/>
  <c r="H70" i="28"/>
  <c r="I70" i="28" s="1"/>
  <c r="E70" i="28"/>
  <c r="F70" i="28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I30" i="28"/>
  <c r="H30" i="28"/>
  <c r="E30" i="28"/>
  <c r="F30" i="28" s="1"/>
  <c r="H29" i="28"/>
  <c r="I29" i="28" s="1"/>
  <c r="E29" i="28"/>
  <c r="F29" i="28" s="1"/>
  <c r="H28" i="28"/>
  <c r="I28" i="28" s="1"/>
  <c r="E28" i="28"/>
  <c r="F28" i="28" s="1"/>
  <c r="I27" i="28"/>
  <c r="H27" i="28"/>
  <c r="E27" i="28"/>
  <c r="F27" i="28" s="1"/>
  <c r="H26" i="28"/>
  <c r="I26" i="28" s="1"/>
  <c r="E26" i="28"/>
  <c r="F26" i="28" s="1"/>
  <c r="H25" i="28"/>
  <c r="I25" i="28" s="1"/>
  <c r="E25" i="28"/>
  <c r="F25" i="28" s="1"/>
  <c r="I24" i="28"/>
  <c r="H24" i="28"/>
  <c r="E24" i="28"/>
  <c r="F24" i="28" s="1"/>
  <c r="H23" i="28"/>
  <c r="I23" i="28" s="1"/>
  <c r="E23" i="28"/>
  <c r="F23" i="28" s="1"/>
  <c r="H22" i="28"/>
  <c r="I22" i="28" s="1"/>
  <c r="E22" i="28"/>
  <c r="F22" i="28" s="1"/>
  <c r="I21" i="28"/>
  <c r="H21" i="28"/>
  <c r="E21" i="28"/>
  <c r="F21" i="28" s="1"/>
  <c r="H20" i="28"/>
  <c r="I20" i="28" s="1"/>
  <c r="E20" i="28"/>
  <c r="F20" i="28" s="1"/>
  <c r="H19" i="28"/>
  <c r="I19" i="28" s="1"/>
  <c r="E19" i="28"/>
  <c r="F19" i="28" s="1"/>
  <c r="I18" i="28"/>
  <c r="H18" i="28"/>
  <c r="E18" i="28"/>
  <c r="F18" i="28" s="1"/>
  <c r="H17" i="28"/>
  <c r="I17" i="28" s="1"/>
  <c r="E17" i="28"/>
  <c r="F17" i="28" s="1"/>
  <c r="H16" i="28"/>
  <c r="I16" i="28" s="1"/>
  <c r="E16" i="28"/>
  <c r="F16" i="28" s="1"/>
  <c r="I15" i="28"/>
  <c r="H15" i="28"/>
  <c r="E15" i="28"/>
  <c r="F15" i="28" s="1"/>
  <c r="H14" i="28"/>
  <c r="I14" i="28" s="1"/>
  <c r="E14" i="28"/>
  <c r="F14" i="28" s="1"/>
  <c r="H13" i="28"/>
  <c r="I13" i="28" s="1"/>
  <c r="E13" i="28"/>
  <c r="F13" i="28" s="1"/>
  <c r="I12" i="28"/>
  <c r="H12" i="28"/>
  <c r="E12" i="28"/>
  <c r="F12" i="28" s="1"/>
  <c r="H11" i="28"/>
  <c r="I11" i="28" s="1"/>
  <c r="E11" i="28"/>
  <c r="F11" i="28" s="1"/>
  <c r="H10" i="28"/>
  <c r="I10" i="28" s="1"/>
  <c r="E10" i="28"/>
  <c r="F10" i="28" s="1"/>
  <c r="I9" i="28"/>
  <c r="H9" i="28"/>
  <c r="E9" i="28"/>
  <c r="F9" i="28" s="1"/>
  <c r="H8" i="28"/>
  <c r="I8" i="28" s="1"/>
  <c r="E8" i="28"/>
  <c r="F8" i="28" s="1"/>
  <c r="H7" i="28"/>
  <c r="I7" i="28" s="1"/>
  <c r="E7" i="28"/>
  <c r="F7" i="28" s="1"/>
  <c r="I6" i="28"/>
  <c r="H6" i="28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I78" i="27"/>
  <c r="H78" i="27"/>
  <c r="E78" i="27"/>
  <c r="F78" i="27" s="1"/>
  <c r="H77" i="27"/>
  <c r="I77" i="27" s="1"/>
  <c r="F77" i="27"/>
  <c r="E77" i="27"/>
  <c r="H76" i="27"/>
  <c r="I76" i="27" s="1"/>
  <c r="E76" i="27"/>
  <c r="F76" i="27" s="1"/>
  <c r="I75" i="27"/>
  <c r="H75" i="27"/>
  <c r="E75" i="27"/>
  <c r="F75" i="27" s="1"/>
  <c r="H74" i="27"/>
  <c r="I74" i="27" s="1"/>
  <c r="F74" i="27"/>
  <c r="E74" i="27"/>
  <c r="H73" i="27"/>
  <c r="I73" i="27" s="1"/>
  <c r="E73" i="27"/>
  <c r="F73" i="27" s="1"/>
  <c r="I72" i="27"/>
  <c r="H72" i="27"/>
  <c r="E72" i="27"/>
  <c r="F72" i="27" s="1"/>
  <c r="H71" i="27"/>
  <c r="I71" i="27" s="1"/>
  <c r="F71" i="27"/>
  <c r="E71" i="27"/>
  <c r="H70" i="27"/>
  <c r="I70" i="27" s="1"/>
  <c r="E70" i="27"/>
  <c r="F70" i="27" s="1"/>
  <c r="I69" i="27"/>
  <c r="H69" i="27"/>
  <c r="E69" i="27"/>
  <c r="F69" i="27" s="1"/>
  <c r="H68" i="27"/>
  <c r="I68" i="27" s="1"/>
  <c r="F68" i="27"/>
  <c r="E68" i="27"/>
  <c r="H67" i="27"/>
  <c r="I67" i="27" s="1"/>
  <c r="E67" i="27"/>
  <c r="F67" i="27" s="1"/>
  <c r="I66" i="27"/>
  <c r="H66" i="27"/>
  <c r="E66" i="27"/>
  <c r="F66" i="27" s="1"/>
  <c r="H65" i="27"/>
  <c r="I65" i="27" s="1"/>
  <c r="F65" i="27"/>
  <c r="E65" i="27"/>
  <c r="H64" i="27"/>
  <c r="I64" i="27" s="1"/>
  <c r="E64" i="27"/>
  <c r="F64" i="27" s="1"/>
  <c r="I63" i="27"/>
  <c r="H63" i="27"/>
  <c r="E63" i="27"/>
  <c r="F63" i="27" s="1"/>
  <c r="H62" i="27"/>
  <c r="I62" i="27" s="1"/>
  <c r="F62" i="27"/>
  <c r="E62" i="27"/>
  <c r="H61" i="27"/>
  <c r="I61" i="27" s="1"/>
  <c r="E61" i="27"/>
  <c r="F61" i="27" s="1"/>
  <c r="I60" i="27"/>
  <c r="H60" i="27"/>
  <c r="E60" i="27"/>
  <c r="F60" i="27" s="1"/>
  <c r="H59" i="27"/>
  <c r="I59" i="27" s="1"/>
  <c r="F59" i="27"/>
  <c r="E59" i="27"/>
  <c r="H58" i="27"/>
  <c r="I58" i="27" s="1"/>
  <c r="E58" i="27"/>
  <c r="F58" i="27" s="1"/>
  <c r="I57" i="27"/>
  <c r="H57" i="27"/>
  <c r="E57" i="27"/>
  <c r="F57" i="27" s="1"/>
  <c r="H56" i="27"/>
  <c r="I56" i="27" s="1"/>
  <c r="F56" i="27"/>
  <c r="E56" i="27"/>
  <c r="H55" i="27"/>
  <c r="I55" i="27" s="1"/>
  <c r="E55" i="27"/>
  <c r="F55" i="27" s="1"/>
  <c r="I54" i="27"/>
  <c r="H54" i="27"/>
  <c r="E54" i="27"/>
  <c r="F54" i="27" s="1"/>
  <c r="H53" i="27"/>
  <c r="I53" i="27" s="1"/>
  <c r="F53" i="27"/>
  <c r="E53" i="27"/>
  <c r="H52" i="27"/>
  <c r="I52" i="27" s="1"/>
  <c r="E52" i="27"/>
  <c r="F52" i="27" s="1"/>
  <c r="I51" i="27"/>
  <c r="H51" i="27"/>
  <c r="E51" i="27"/>
  <c r="F51" i="27" s="1"/>
  <c r="H50" i="27"/>
  <c r="I50" i="27" s="1"/>
  <c r="F50" i="27"/>
  <c r="E50" i="27"/>
  <c r="H49" i="27"/>
  <c r="I49" i="27" s="1"/>
  <c r="E49" i="27"/>
  <c r="F49" i="27" s="1"/>
  <c r="I48" i="27"/>
  <c r="H48" i="27"/>
  <c r="E48" i="27"/>
  <c r="F48" i="27" s="1"/>
  <c r="H47" i="27"/>
  <c r="I47" i="27" s="1"/>
  <c r="F47" i="27"/>
  <c r="E47" i="27"/>
  <c r="H46" i="27"/>
  <c r="I46" i="27" s="1"/>
  <c r="E46" i="27"/>
  <c r="F46" i="27" s="1"/>
  <c r="I45" i="27"/>
  <c r="H45" i="27"/>
  <c r="E45" i="27"/>
  <c r="F45" i="27" s="1"/>
  <c r="H44" i="27"/>
  <c r="I44" i="27" s="1"/>
  <c r="F44" i="27"/>
  <c r="E44" i="27"/>
  <c r="H43" i="27"/>
  <c r="I43" i="27" s="1"/>
  <c r="E43" i="27"/>
  <c r="F43" i="27" s="1"/>
  <c r="I42" i="27"/>
  <c r="H42" i="27"/>
  <c r="E42" i="27"/>
  <c r="F42" i="27" s="1"/>
  <c r="H41" i="27"/>
  <c r="I41" i="27" s="1"/>
  <c r="F41" i="27"/>
  <c r="E41" i="27"/>
  <c r="H40" i="27"/>
  <c r="I40" i="27" s="1"/>
  <c r="E40" i="27"/>
  <c r="F40" i="27" s="1"/>
  <c r="I39" i="27"/>
  <c r="H39" i="27"/>
  <c r="E39" i="27"/>
  <c r="F39" i="27" s="1"/>
  <c r="H38" i="27"/>
  <c r="I38" i="27" s="1"/>
  <c r="F38" i="27"/>
  <c r="E38" i="27"/>
  <c r="H37" i="27"/>
  <c r="I37" i="27" s="1"/>
  <c r="E37" i="27"/>
  <c r="F37" i="27" s="1"/>
  <c r="I36" i="27"/>
  <c r="H36" i="27"/>
  <c r="E36" i="27"/>
  <c r="F36" i="27" s="1"/>
  <c r="H35" i="27"/>
  <c r="I35" i="27" s="1"/>
  <c r="F35" i="27"/>
  <c r="E35" i="27"/>
  <c r="H34" i="27"/>
  <c r="I34" i="27" s="1"/>
  <c r="E34" i="27"/>
  <c r="F34" i="27" s="1"/>
  <c r="I33" i="27"/>
  <c r="H33" i="27"/>
  <c r="E33" i="27"/>
  <c r="F33" i="27" s="1"/>
  <c r="H32" i="27"/>
  <c r="I32" i="27" s="1"/>
  <c r="F32" i="27"/>
  <c r="E32" i="27"/>
  <c r="H31" i="27"/>
  <c r="I31" i="27" s="1"/>
  <c r="E31" i="27"/>
  <c r="F31" i="27" s="1"/>
  <c r="I30" i="27"/>
  <c r="H30" i="27"/>
  <c r="E30" i="27"/>
  <c r="F30" i="27" s="1"/>
  <c r="H29" i="27"/>
  <c r="I29" i="27" s="1"/>
  <c r="F29" i="27"/>
  <c r="E29" i="27"/>
  <c r="H28" i="27"/>
  <c r="I28" i="27" s="1"/>
  <c r="E28" i="27"/>
  <c r="F28" i="27" s="1"/>
  <c r="I27" i="27"/>
  <c r="H27" i="27"/>
  <c r="E27" i="27"/>
  <c r="F27" i="27" s="1"/>
  <c r="H26" i="27"/>
  <c r="I26" i="27" s="1"/>
  <c r="F26" i="27"/>
  <c r="E26" i="27"/>
  <c r="H25" i="27"/>
  <c r="I25" i="27" s="1"/>
  <c r="E25" i="27"/>
  <c r="F25" i="27" s="1"/>
  <c r="I24" i="27"/>
  <c r="H24" i="27"/>
  <c r="E24" i="27"/>
  <c r="F24" i="27" s="1"/>
  <c r="H23" i="27"/>
  <c r="I23" i="27" s="1"/>
  <c r="F23" i="27"/>
  <c r="E23" i="27"/>
  <c r="H22" i="27"/>
  <c r="I22" i="27" s="1"/>
  <c r="E22" i="27"/>
  <c r="F22" i="27" s="1"/>
  <c r="I21" i="27"/>
  <c r="H21" i="27"/>
  <c r="E21" i="27"/>
  <c r="F21" i="27" s="1"/>
  <c r="H20" i="27"/>
  <c r="I20" i="27" s="1"/>
  <c r="F20" i="27"/>
  <c r="E20" i="27"/>
  <c r="H19" i="27"/>
  <c r="I19" i="27" s="1"/>
  <c r="E19" i="27"/>
  <c r="F19" i="27" s="1"/>
  <c r="I18" i="27"/>
  <c r="H18" i="27"/>
  <c r="E18" i="27"/>
  <c r="F18" i="27" s="1"/>
  <c r="H17" i="27"/>
  <c r="I17" i="27" s="1"/>
  <c r="F17" i="27"/>
  <c r="E17" i="27"/>
  <c r="H16" i="27"/>
  <c r="I16" i="27" s="1"/>
  <c r="E16" i="27"/>
  <c r="F16" i="27" s="1"/>
  <c r="I15" i="27"/>
  <c r="H15" i="27"/>
  <c r="E15" i="27"/>
  <c r="F15" i="27" s="1"/>
  <c r="H14" i="27"/>
  <c r="I14" i="27" s="1"/>
  <c r="F14" i="27"/>
  <c r="E14" i="27"/>
  <c r="H13" i="27"/>
  <c r="I13" i="27" s="1"/>
  <c r="E13" i="27"/>
  <c r="F13" i="27" s="1"/>
  <c r="I12" i="27"/>
  <c r="H12" i="27"/>
  <c r="E12" i="27"/>
  <c r="F12" i="27" s="1"/>
  <c r="H11" i="27"/>
  <c r="I11" i="27" s="1"/>
  <c r="F11" i="27"/>
  <c r="E11" i="27"/>
  <c r="H10" i="27"/>
  <c r="I10" i="27" s="1"/>
  <c r="E10" i="27"/>
  <c r="F10" i="27" s="1"/>
  <c r="I9" i="27"/>
  <c r="H9" i="27"/>
  <c r="E9" i="27"/>
  <c r="F9" i="27" s="1"/>
  <c r="H8" i="27"/>
  <c r="I8" i="27" s="1"/>
  <c r="F8" i="27"/>
  <c r="E8" i="27"/>
  <c r="H7" i="27"/>
  <c r="I7" i="27" s="1"/>
  <c r="E7" i="27"/>
  <c r="F7" i="27" s="1"/>
  <c r="I6" i="27"/>
  <c r="H6" i="27"/>
  <c r="E6" i="27"/>
  <c r="F6" i="27" s="1"/>
  <c r="H5" i="27"/>
  <c r="I5" i="27" s="1"/>
  <c r="F5" i="27"/>
  <c r="E5" i="27"/>
  <c r="H4" i="27"/>
  <c r="I4" i="27" s="1"/>
  <c r="E4" i="27"/>
  <c r="F4" i="27" s="1"/>
  <c r="B4" i="27" a="1"/>
  <c r="B4" i="27" s="1"/>
  <c r="A4" i="27" a="1"/>
  <c r="A4" i="27" s="1"/>
  <c r="H78" i="26"/>
  <c r="I78" i="26" s="1"/>
  <c r="E78" i="26"/>
  <c r="F78" i="26" s="1"/>
  <c r="H77" i="26"/>
  <c r="I77" i="26" s="1"/>
  <c r="E77" i="26"/>
  <c r="F77" i="26" s="1"/>
  <c r="H76" i="26"/>
  <c r="I76" i="26" s="1"/>
  <c r="E76" i="26"/>
  <c r="F76" i="26" s="1"/>
  <c r="H75" i="26"/>
  <c r="I75" i="26" s="1"/>
  <c r="E75" i="26"/>
  <c r="F75" i="26" s="1"/>
  <c r="H74" i="26"/>
  <c r="I74" i="26" s="1"/>
  <c r="E74" i="26"/>
  <c r="F74" i="26" s="1"/>
  <c r="H73" i="26"/>
  <c r="I73" i="26" s="1"/>
  <c r="E73" i="26"/>
  <c r="F73" i="26" s="1"/>
  <c r="H72" i="26"/>
  <c r="I72" i="26" s="1"/>
  <c r="E72" i="26"/>
  <c r="F72" i="26" s="1"/>
  <c r="H71" i="26"/>
  <c r="I71" i="26" s="1"/>
  <c r="E71" i="26"/>
  <c r="F71" i="26" s="1"/>
  <c r="H70" i="26"/>
  <c r="I70" i="26" s="1"/>
  <c r="E70" i="26"/>
  <c r="F70" i="26" s="1"/>
  <c r="H69" i="26"/>
  <c r="I69" i="26" s="1"/>
  <c r="E69" i="26"/>
  <c r="F69" i="26" s="1"/>
  <c r="H68" i="26"/>
  <c r="I68" i="26" s="1"/>
  <c r="E68" i="26"/>
  <c r="F68" i="26" s="1"/>
  <c r="H67" i="26"/>
  <c r="I67" i="26" s="1"/>
  <c r="E67" i="26"/>
  <c r="F67" i="26" s="1"/>
  <c r="H66" i="26"/>
  <c r="I66" i="26" s="1"/>
  <c r="E66" i="26"/>
  <c r="F66" i="26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78" i="19"/>
  <c r="I78" i="19" s="1"/>
  <c r="E78" i="19"/>
  <c r="F78" i="19" s="1"/>
  <c r="H77" i="19"/>
  <c r="I77" i="19" s="1"/>
  <c r="F77" i="19"/>
  <c r="E77" i="19"/>
  <c r="I76" i="19"/>
  <c r="H76" i="19"/>
  <c r="E76" i="19"/>
  <c r="F76" i="19" s="1"/>
  <c r="H75" i="19"/>
  <c r="I75" i="19" s="1"/>
  <c r="E75" i="19"/>
  <c r="F75" i="19" s="1"/>
  <c r="H74" i="19"/>
  <c r="I74" i="19" s="1"/>
  <c r="F74" i="19"/>
  <c r="E74" i="19"/>
  <c r="I73" i="19"/>
  <c r="H73" i="19"/>
  <c r="E73" i="19"/>
  <c r="F73" i="19" s="1"/>
  <c r="H72" i="19"/>
  <c r="I72" i="19" s="1"/>
  <c r="E72" i="19"/>
  <c r="F72" i="19" s="1"/>
  <c r="H71" i="19"/>
  <c r="I71" i="19" s="1"/>
  <c r="F71" i="19"/>
  <c r="E71" i="19"/>
  <c r="I70" i="19"/>
  <c r="H70" i="19"/>
  <c r="E70" i="19"/>
  <c r="F70" i="19" s="1"/>
  <c r="H69" i="19"/>
  <c r="I69" i="19" s="1"/>
  <c r="E69" i="19"/>
  <c r="F69" i="19" s="1"/>
  <c r="H68" i="19"/>
  <c r="I68" i="19" s="1"/>
  <c r="F68" i="19"/>
  <c r="E68" i="19"/>
  <c r="I67" i="19"/>
  <c r="H67" i="19"/>
  <c r="E67" i="19"/>
  <c r="F67" i="19" s="1"/>
  <c r="H66" i="19"/>
  <c r="I66" i="19" s="1"/>
  <c r="E66" i="19"/>
  <c r="F66" i="19" s="1"/>
  <c r="H65" i="19"/>
  <c r="I65" i="19" s="1"/>
  <c r="F65" i="19"/>
  <c r="E65" i="19"/>
  <c r="I64" i="19"/>
  <c r="H64" i="19"/>
  <c r="E64" i="19"/>
  <c r="F64" i="19" s="1"/>
  <c r="H63" i="19"/>
  <c r="I63" i="19" s="1"/>
  <c r="E63" i="19"/>
  <c r="F63" i="19" s="1"/>
  <c r="H62" i="19"/>
  <c r="I62" i="19" s="1"/>
  <c r="F62" i="19"/>
  <c r="E62" i="19"/>
  <c r="I61" i="19"/>
  <c r="H61" i="19"/>
  <c r="E61" i="19"/>
  <c r="F61" i="19" s="1"/>
  <c r="H60" i="19"/>
  <c r="I60" i="19" s="1"/>
  <c r="E60" i="19"/>
  <c r="F60" i="19" s="1"/>
  <c r="H59" i="19"/>
  <c r="I59" i="19" s="1"/>
  <c r="F59" i="19"/>
  <c r="E59" i="19"/>
  <c r="I58" i="19"/>
  <c r="H58" i="19"/>
  <c r="E58" i="19"/>
  <c r="F58" i="19" s="1"/>
  <c r="H57" i="19"/>
  <c r="I57" i="19" s="1"/>
  <c r="E57" i="19"/>
  <c r="F57" i="19" s="1"/>
  <c r="H56" i="19"/>
  <c r="I56" i="19" s="1"/>
  <c r="F56" i="19"/>
  <c r="E56" i="19"/>
  <c r="I55" i="19"/>
  <c r="H55" i="19"/>
  <c r="E55" i="19"/>
  <c r="F55" i="19" s="1"/>
  <c r="H54" i="19"/>
  <c r="I54" i="19" s="1"/>
  <c r="E54" i="19"/>
  <c r="F54" i="19" s="1"/>
  <c r="H53" i="19"/>
  <c r="I53" i="19" s="1"/>
  <c r="F53" i="19"/>
  <c r="E53" i="19"/>
  <c r="I52" i="19"/>
  <c r="H52" i="19"/>
  <c r="E52" i="19"/>
  <c r="F52" i="19" s="1"/>
  <c r="H51" i="19"/>
  <c r="I51" i="19" s="1"/>
  <c r="E51" i="19"/>
  <c r="F51" i="19" s="1"/>
  <c r="H50" i="19"/>
  <c r="I50" i="19" s="1"/>
  <c r="F50" i="19"/>
  <c r="E50" i="19"/>
  <c r="I49" i="19"/>
  <c r="H49" i="19"/>
  <c r="E49" i="19"/>
  <c r="F49" i="19" s="1"/>
  <c r="H48" i="19"/>
  <c r="I48" i="19" s="1"/>
  <c r="E48" i="19"/>
  <c r="F48" i="19" s="1"/>
  <c r="H47" i="19"/>
  <c r="I47" i="19" s="1"/>
  <c r="F47" i="19"/>
  <c r="E47" i="19"/>
  <c r="I46" i="19"/>
  <c r="H46" i="19"/>
  <c r="E46" i="19"/>
  <c r="F46" i="19" s="1"/>
  <c r="H45" i="19"/>
  <c r="I45" i="19" s="1"/>
  <c r="E45" i="19"/>
  <c r="F45" i="19" s="1"/>
  <c r="H44" i="19"/>
  <c r="I44" i="19" s="1"/>
  <c r="F44" i="19"/>
  <c r="E44" i="19"/>
  <c r="I43" i="19"/>
  <c r="H43" i="19"/>
  <c r="E43" i="19"/>
  <c r="F43" i="19" s="1"/>
  <c r="H42" i="19"/>
  <c r="I42" i="19" s="1"/>
  <c r="E42" i="19"/>
  <c r="F42" i="19" s="1"/>
  <c r="H41" i="19"/>
  <c r="I41" i="19" s="1"/>
  <c r="F41" i="19"/>
  <c r="E41" i="19"/>
  <c r="I40" i="19"/>
  <c r="H40" i="19"/>
  <c r="E40" i="19"/>
  <c r="F40" i="19" s="1"/>
  <c r="H39" i="19"/>
  <c r="I39" i="19" s="1"/>
  <c r="E39" i="19"/>
  <c r="F39" i="19" s="1"/>
  <c r="H38" i="19"/>
  <c r="I38" i="19" s="1"/>
  <c r="F38" i="19"/>
  <c r="E38" i="19"/>
  <c r="I37" i="19"/>
  <c r="H37" i="19"/>
  <c r="E37" i="19"/>
  <c r="F37" i="19" s="1"/>
  <c r="H36" i="19"/>
  <c r="I36" i="19" s="1"/>
  <c r="E36" i="19"/>
  <c r="F36" i="19" s="1"/>
  <c r="H35" i="19"/>
  <c r="I35" i="19" s="1"/>
  <c r="F35" i="19"/>
  <c r="E35" i="19"/>
  <c r="I34" i="19"/>
  <c r="H34" i="19"/>
  <c r="E34" i="19"/>
  <c r="F34" i="19" s="1"/>
  <c r="H33" i="19"/>
  <c r="I33" i="19" s="1"/>
  <c r="E33" i="19"/>
  <c r="F33" i="19" s="1"/>
  <c r="H32" i="19"/>
  <c r="I32" i="19" s="1"/>
  <c r="F32" i="19"/>
  <c r="E32" i="19"/>
  <c r="I31" i="19"/>
  <c r="H31" i="19"/>
  <c r="E31" i="19"/>
  <c r="F31" i="19" s="1"/>
  <c r="H30" i="19"/>
  <c r="I30" i="19" s="1"/>
  <c r="E30" i="19"/>
  <c r="F30" i="19" s="1"/>
  <c r="H29" i="19"/>
  <c r="I29" i="19" s="1"/>
  <c r="F29" i="19"/>
  <c r="E29" i="19"/>
  <c r="I28" i="19"/>
  <c r="H28" i="19"/>
  <c r="E28" i="19"/>
  <c r="F28" i="19" s="1"/>
  <c r="H27" i="19"/>
  <c r="I27" i="19" s="1"/>
  <c r="E27" i="19"/>
  <c r="F27" i="19" s="1"/>
  <c r="H26" i="19"/>
  <c r="I26" i="19" s="1"/>
  <c r="F26" i="19"/>
  <c r="E26" i="19"/>
  <c r="I25" i="19"/>
  <c r="H25" i="19"/>
  <c r="E25" i="19"/>
  <c r="F25" i="19" s="1"/>
  <c r="H24" i="19"/>
  <c r="I24" i="19" s="1"/>
  <c r="E24" i="19"/>
  <c r="F24" i="19" s="1"/>
  <c r="H23" i="19"/>
  <c r="I23" i="19" s="1"/>
  <c r="F23" i="19"/>
  <c r="E23" i="19"/>
  <c r="I22" i="19"/>
  <c r="H22" i="19"/>
  <c r="E22" i="19"/>
  <c r="F22" i="19" s="1"/>
  <c r="H21" i="19"/>
  <c r="I21" i="19" s="1"/>
  <c r="E21" i="19"/>
  <c r="F21" i="19" s="1"/>
  <c r="H20" i="19"/>
  <c r="I20" i="19" s="1"/>
  <c r="F20" i="19"/>
  <c r="E20" i="19"/>
  <c r="I19" i="19"/>
  <c r="H19" i="19"/>
  <c r="E19" i="19"/>
  <c r="F19" i="19" s="1"/>
  <c r="H18" i="19"/>
  <c r="I18" i="19" s="1"/>
  <c r="E18" i="19"/>
  <c r="F18" i="19" s="1"/>
  <c r="H17" i="19"/>
  <c r="I17" i="19" s="1"/>
  <c r="F17" i="19"/>
  <c r="E17" i="19"/>
  <c r="I16" i="19"/>
  <c r="H16" i="19"/>
  <c r="E16" i="19"/>
  <c r="F16" i="19" s="1"/>
  <c r="H15" i="19"/>
  <c r="I15" i="19" s="1"/>
  <c r="E15" i="19"/>
  <c r="F15" i="19" s="1"/>
  <c r="H14" i="19"/>
  <c r="I14" i="19" s="1"/>
  <c r="F14" i="19"/>
  <c r="E14" i="19"/>
  <c r="I13" i="19"/>
  <c r="H13" i="19"/>
  <c r="E13" i="19"/>
  <c r="F13" i="19" s="1"/>
  <c r="H12" i="19"/>
  <c r="I12" i="19" s="1"/>
  <c r="E12" i="19"/>
  <c r="F12" i="19" s="1"/>
  <c r="H11" i="19"/>
  <c r="I11" i="19" s="1"/>
  <c r="F11" i="19"/>
  <c r="E11" i="19"/>
  <c r="I10" i="19"/>
  <c r="H10" i="19"/>
  <c r="E10" i="19"/>
  <c r="F10" i="19" s="1"/>
  <c r="H9" i="19"/>
  <c r="I9" i="19" s="1"/>
  <c r="E9" i="19"/>
  <c r="F9" i="19" s="1"/>
  <c r="H8" i="19"/>
  <c r="I8" i="19" s="1"/>
  <c r="F8" i="19"/>
  <c r="E8" i="19"/>
  <c r="I7" i="19"/>
  <c r="H7" i="19"/>
  <c r="E7" i="19"/>
  <c r="F7" i="19" s="1"/>
  <c r="H6" i="19"/>
  <c r="I6" i="19" s="1"/>
  <c r="E6" i="19"/>
  <c r="F6" i="19" s="1"/>
  <c r="H5" i="19"/>
  <c r="I5" i="19" s="1"/>
  <c r="F5" i="19"/>
  <c r="E5" i="19"/>
  <c r="I4" i="19"/>
  <c r="H4" i="19"/>
  <c r="E4" i="19"/>
  <c r="F4" i="19" s="1"/>
  <c r="B4" i="19" a="1"/>
  <c r="B4" i="19" s="1"/>
  <c r="A4" i="19" a="1"/>
  <c r="A4" i="19" s="1"/>
  <c r="H78" i="20"/>
  <c r="I78" i="20" s="1"/>
  <c r="E78" i="20"/>
  <c r="F78" i="20" s="1"/>
  <c r="H77" i="20"/>
  <c r="I77" i="20" s="1"/>
  <c r="F77" i="20"/>
  <c r="E77" i="20"/>
  <c r="H76" i="20"/>
  <c r="I76" i="20" s="1"/>
  <c r="E76" i="20"/>
  <c r="F76" i="20" s="1"/>
  <c r="H75" i="20"/>
  <c r="I75" i="20" s="1"/>
  <c r="E75" i="20"/>
  <c r="F75" i="20" s="1"/>
  <c r="H74" i="20"/>
  <c r="I74" i="20" s="1"/>
  <c r="F74" i="20"/>
  <c r="E74" i="20"/>
  <c r="H73" i="20"/>
  <c r="I73" i="20" s="1"/>
  <c r="E73" i="20"/>
  <c r="F73" i="20" s="1"/>
  <c r="H72" i="20"/>
  <c r="I72" i="20" s="1"/>
  <c r="E72" i="20"/>
  <c r="F72" i="20" s="1"/>
  <c r="H71" i="20"/>
  <c r="I71" i="20" s="1"/>
  <c r="F71" i="20"/>
  <c r="E71" i="20"/>
  <c r="H70" i="20"/>
  <c r="I70" i="20" s="1"/>
  <c r="E70" i="20"/>
  <c r="F70" i="20" s="1"/>
  <c r="H69" i="20"/>
  <c r="I69" i="20" s="1"/>
  <c r="E69" i="20"/>
  <c r="F69" i="20" s="1"/>
  <c r="H68" i="20"/>
  <c r="I68" i="20" s="1"/>
  <c r="F68" i="20"/>
  <c r="E68" i="20"/>
  <c r="H67" i="20"/>
  <c r="I67" i="20" s="1"/>
  <c r="E67" i="20"/>
  <c r="F67" i="20" s="1"/>
  <c r="H66" i="20"/>
  <c r="I66" i="20" s="1"/>
  <c r="E66" i="20"/>
  <c r="F66" i="20" s="1"/>
  <c r="H65" i="20"/>
  <c r="I65" i="20" s="1"/>
  <c r="F65" i="20"/>
  <c r="E65" i="20"/>
  <c r="H64" i="20"/>
  <c r="I64" i="20" s="1"/>
  <c r="E64" i="20"/>
  <c r="F64" i="20" s="1"/>
  <c r="H63" i="20"/>
  <c r="I63" i="20" s="1"/>
  <c r="E63" i="20"/>
  <c r="F63" i="20" s="1"/>
  <c r="H62" i="20"/>
  <c r="I62" i="20" s="1"/>
  <c r="F62" i="20"/>
  <c r="E62" i="20"/>
  <c r="H61" i="20"/>
  <c r="I61" i="20" s="1"/>
  <c r="E61" i="20"/>
  <c r="F61" i="20" s="1"/>
  <c r="H60" i="20"/>
  <c r="I60" i="20" s="1"/>
  <c r="E60" i="20"/>
  <c r="F60" i="20" s="1"/>
  <c r="H59" i="20"/>
  <c r="I59" i="20" s="1"/>
  <c r="F59" i="20"/>
  <c r="E59" i="20"/>
  <c r="H58" i="20"/>
  <c r="I58" i="20" s="1"/>
  <c r="E58" i="20"/>
  <c r="F58" i="20" s="1"/>
  <c r="H57" i="20"/>
  <c r="I57" i="20" s="1"/>
  <c r="E57" i="20"/>
  <c r="F57" i="20" s="1"/>
  <c r="H56" i="20"/>
  <c r="I56" i="20" s="1"/>
  <c r="F56" i="20"/>
  <c r="E56" i="20"/>
  <c r="H55" i="20"/>
  <c r="I55" i="20" s="1"/>
  <c r="E55" i="20"/>
  <c r="F55" i="20" s="1"/>
  <c r="H54" i="20"/>
  <c r="I54" i="20" s="1"/>
  <c r="E54" i="20"/>
  <c r="F54" i="20" s="1"/>
  <c r="H53" i="20"/>
  <c r="I53" i="20" s="1"/>
  <c r="F53" i="20"/>
  <c r="E53" i="20"/>
  <c r="H52" i="20"/>
  <c r="I52" i="20" s="1"/>
  <c r="E52" i="20"/>
  <c r="F52" i="20" s="1"/>
  <c r="H51" i="20"/>
  <c r="I51" i="20" s="1"/>
  <c r="E51" i="20"/>
  <c r="F51" i="20" s="1"/>
  <c r="H50" i="20"/>
  <c r="I50" i="20" s="1"/>
  <c r="F50" i="20"/>
  <c r="E50" i="20"/>
  <c r="H49" i="20"/>
  <c r="I49" i="20" s="1"/>
  <c r="E49" i="20"/>
  <c r="F49" i="20" s="1"/>
  <c r="H48" i="20"/>
  <c r="I48" i="20" s="1"/>
  <c r="E48" i="20"/>
  <c r="F48" i="20" s="1"/>
  <c r="H47" i="20"/>
  <c r="I47" i="20" s="1"/>
  <c r="F47" i="20"/>
  <c r="E47" i="20"/>
  <c r="H46" i="20"/>
  <c r="I46" i="20" s="1"/>
  <c r="E46" i="20"/>
  <c r="F46" i="20" s="1"/>
  <c r="H45" i="20"/>
  <c r="I45" i="20" s="1"/>
  <c r="E45" i="20"/>
  <c r="F45" i="20" s="1"/>
  <c r="H44" i="20"/>
  <c r="I44" i="20" s="1"/>
  <c r="F44" i="20"/>
  <c r="E44" i="20"/>
  <c r="H43" i="20"/>
  <c r="I43" i="20" s="1"/>
  <c r="E43" i="20"/>
  <c r="F43" i="20" s="1"/>
  <c r="H42" i="20"/>
  <c r="I42" i="20" s="1"/>
  <c r="E42" i="20"/>
  <c r="F42" i="20" s="1"/>
  <c r="H41" i="20"/>
  <c r="I41" i="20" s="1"/>
  <c r="F41" i="20"/>
  <c r="E41" i="20"/>
  <c r="H40" i="20"/>
  <c r="I40" i="20" s="1"/>
  <c r="E40" i="20"/>
  <c r="F40" i="20" s="1"/>
  <c r="H39" i="20"/>
  <c r="I39" i="20" s="1"/>
  <c r="E39" i="20"/>
  <c r="F39" i="20" s="1"/>
  <c r="H38" i="20"/>
  <c r="I38" i="20" s="1"/>
  <c r="F38" i="20"/>
  <c r="E38" i="20"/>
  <c r="H37" i="20"/>
  <c r="I37" i="20" s="1"/>
  <c r="E37" i="20"/>
  <c r="F37" i="20" s="1"/>
  <c r="H36" i="20"/>
  <c r="I36" i="20" s="1"/>
  <c r="E36" i="20"/>
  <c r="F36" i="20" s="1"/>
  <c r="H35" i="20"/>
  <c r="I35" i="20" s="1"/>
  <c r="F35" i="20"/>
  <c r="E35" i="20"/>
  <c r="H34" i="20"/>
  <c r="I34" i="20" s="1"/>
  <c r="E34" i="20"/>
  <c r="F34" i="20" s="1"/>
  <c r="H33" i="20"/>
  <c r="I33" i="20" s="1"/>
  <c r="E33" i="20"/>
  <c r="F33" i="20" s="1"/>
  <c r="H32" i="20"/>
  <c r="I32" i="20" s="1"/>
  <c r="F32" i="20"/>
  <c r="E32" i="20"/>
  <c r="H31" i="20"/>
  <c r="I31" i="20" s="1"/>
  <c r="E31" i="20"/>
  <c r="F31" i="20" s="1"/>
  <c r="H30" i="20"/>
  <c r="I30" i="20" s="1"/>
  <c r="E30" i="20"/>
  <c r="F30" i="20" s="1"/>
  <c r="H29" i="20"/>
  <c r="I29" i="20" s="1"/>
  <c r="F29" i="20"/>
  <c r="E29" i="20"/>
  <c r="H28" i="20"/>
  <c r="I28" i="20" s="1"/>
  <c r="E28" i="20"/>
  <c r="F28" i="20" s="1"/>
  <c r="H27" i="20"/>
  <c r="I27" i="20" s="1"/>
  <c r="E27" i="20"/>
  <c r="F27" i="20" s="1"/>
  <c r="H26" i="20"/>
  <c r="I26" i="20" s="1"/>
  <c r="F26" i="20"/>
  <c r="E26" i="20"/>
  <c r="H25" i="20"/>
  <c r="I25" i="20" s="1"/>
  <c r="E25" i="20"/>
  <c r="F25" i="20" s="1"/>
  <c r="H24" i="20"/>
  <c r="I24" i="20" s="1"/>
  <c r="E24" i="20"/>
  <c r="F24" i="20" s="1"/>
  <c r="H23" i="20"/>
  <c r="I23" i="20" s="1"/>
  <c r="F23" i="20"/>
  <c r="E23" i="20"/>
  <c r="H22" i="20"/>
  <c r="I22" i="20" s="1"/>
  <c r="E22" i="20"/>
  <c r="F22" i="20" s="1"/>
  <c r="H21" i="20"/>
  <c r="I21" i="20" s="1"/>
  <c r="E21" i="20"/>
  <c r="F21" i="20" s="1"/>
  <c r="H20" i="20"/>
  <c r="I20" i="20" s="1"/>
  <c r="F20" i="20"/>
  <c r="E20" i="20"/>
  <c r="H19" i="20"/>
  <c r="I19" i="20" s="1"/>
  <c r="E19" i="20"/>
  <c r="F19" i="20" s="1"/>
  <c r="H18" i="20"/>
  <c r="I18" i="20" s="1"/>
  <c r="E18" i="20"/>
  <c r="F18" i="20" s="1"/>
  <c r="H17" i="20"/>
  <c r="I17" i="20" s="1"/>
  <c r="F17" i="20"/>
  <c r="E17" i="20"/>
  <c r="H16" i="20"/>
  <c r="I16" i="20" s="1"/>
  <c r="E16" i="20"/>
  <c r="F16" i="20" s="1"/>
  <c r="H15" i="20"/>
  <c r="I15" i="20" s="1"/>
  <c r="E15" i="20"/>
  <c r="F15" i="20" s="1"/>
  <c r="H14" i="20"/>
  <c r="I14" i="20" s="1"/>
  <c r="F14" i="20"/>
  <c r="E14" i="20"/>
  <c r="H13" i="20"/>
  <c r="I13" i="20" s="1"/>
  <c r="E13" i="20"/>
  <c r="F13" i="20" s="1"/>
  <c r="H12" i="20"/>
  <c r="I12" i="20" s="1"/>
  <c r="E12" i="20"/>
  <c r="F12" i="20" s="1"/>
  <c r="H11" i="20"/>
  <c r="I11" i="20" s="1"/>
  <c r="F11" i="20"/>
  <c r="E11" i="20"/>
  <c r="H10" i="20"/>
  <c r="I10" i="20" s="1"/>
  <c r="E10" i="20"/>
  <c r="F10" i="20" s="1"/>
  <c r="H9" i="20"/>
  <c r="I9" i="20" s="1"/>
  <c r="E9" i="20"/>
  <c r="F9" i="20" s="1"/>
  <c r="H8" i="20"/>
  <c r="I8" i="20" s="1"/>
  <c r="F8" i="20"/>
  <c r="E8" i="20"/>
  <c r="H7" i="20"/>
  <c r="I7" i="20" s="1"/>
  <c r="E7" i="20"/>
  <c r="F7" i="20" s="1"/>
  <c r="H6" i="20"/>
  <c r="I6" i="20" s="1"/>
  <c r="E6" i="20"/>
  <c r="F6" i="20" s="1"/>
  <c r="H5" i="20"/>
  <c r="I5" i="20" s="1"/>
  <c r="F5" i="20"/>
  <c r="E5" i="20"/>
  <c r="H4" i="20"/>
  <c r="I4" i="20" s="1"/>
  <c r="E4" i="20"/>
  <c r="F4" i="20" s="1"/>
  <c r="B4" i="20" a="1"/>
  <c r="B4" i="20" s="1"/>
  <c r="A4" i="20" a="1"/>
  <c r="A4" i="20" s="1"/>
  <c r="H78" i="21"/>
  <c r="I78" i="21" s="1"/>
  <c r="E78" i="21"/>
  <c r="F78" i="21" s="1"/>
  <c r="H77" i="21"/>
  <c r="I77" i="21" s="1"/>
  <c r="F77" i="21"/>
  <c r="E77" i="21"/>
  <c r="H76" i="21"/>
  <c r="I76" i="21" s="1"/>
  <c r="E76" i="21"/>
  <c r="F76" i="21" s="1"/>
  <c r="H75" i="21"/>
  <c r="I75" i="21" s="1"/>
  <c r="E75" i="21"/>
  <c r="F75" i="21" s="1"/>
  <c r="H74" i="21"/>
  <c r="I74" i="21" s="1"/>
  <c r="F74" i="21"/>
  <c r="E74" i="21"/>
  <c r="H73" i="21"/>
  <c r="I73" i="21" s="1"/>
  <c r="E73" i="21"/>
  <c r="F73" i="21" s="1"/>
  <c r="H72" i="21"/>
  <c r="I72" i="21" s="1"/>
  <c r="E72" i="21"/>
  <c r="F72" i="21" s="1"/>
  <c r="H71" i="21"/>
  <c r="I71" i="21" s="1"/>
  <c r="F71" i="21"/>
  <c r="E71" i="21"/>
  <c r="H70" i="21"/>
  <c r="I70" i="21" s="1"/>
  <c r="E70" i="21"/>
  <c r="F70" i="21" s="1"/>
  <c r="H69" i="21"/>
  <c r="I69" i="21" s="1"/>
  <c r="E69" i="21"/>
  <c r="F69" i="21" s="1"/>
  <c r="H68" i="21"/>
  <c r="I68" i="21" s="1"/>
  <c r="F68" i="21"/>
  <c r="E68" i="21"/>
  <c r="H67" i="21"/>
  <c r="I67" i="21" s="1"/>
  <c r="E67" i="21"/>
  <c r="F67" i="21" s="1"/>
  <c r="H66" i="21"/>
  <c r="I66" i="21" s="1"/>
  <c r="E66" i="21"/>
  <c r="F66" i="21" s="1"/>
  <c r="H65" i="21"/>
  <c r="I65" i="21" s="1"/>
  <c r="F65" i="21"/>
  <c r="E65" i="21"/>
  <c r="H64" i="21"/>
  <c r="I64" i="21" s="1"/>
  <c r="E64" i="21"/>
  <c r="F64" i="21" s="1"/>
  <c r="H63" i="21"/>
  <c r="I63" i="21" s="1"/>
  <c r="E63" i="21"/>
  <c r="F63" i="21" s="1"/>
  <c r="H62" i="21"/>
  <c r="I62" i="21" s="1"/>
  <c r="F62" i="21"/>
  <c r="E62" i="21"/>
  <c r="H61" i="21"/>
  <c r="I61" i="21" s="1"/>
  <c r="E61" i="21"/>
  <c r="F61" i="21" s="1"/>
  <c r="H60" i="21"/>
  <c r="I60" i="21" s="1"/>
  <c r="E60" i="21"/>
  <c r="F60" i="21" s="1"/>
  <c r="H59" i="21"/>
  <c r="I59" i="21" s="1"/>
  <c r="F59" i="21"/>
  <c r="E59" i="21"/>
  <c r="H58" i="21"/>
  <c r="I58" i="21" s="1"/>
  <c r="E58" i="21"/>
  <c r="F58" i="21" s="1"/>
  <c r="H57" i="21"/>
  <c r="I57" i="21" s="1"/>
  <c r="E57" i="21"/>
  <c r="F57" i="21" s="1"/>
  <c r="H56" i="21"/>
  <c r="I56" i="21" s="1"/>
  <c r="F56" i="21"/>
  <c r="E56" i="21"/>
  <c r="H55" i="21"/>
  <c r="I55" i="21" s="1"/>
  <c r="E55" i="21"/>
  <c r="F55" i="21" s="1"/>
  <c r="H54" i="21"/>
  <c r="I54" i="21" s="1"/>
  <c r="E54" i="21"/>
  <c r="F54" i="21" s="1"/>
  <c r="H53" i="21"/>
  <c r="I53" i="21" s="1"/>
  <c r="F53" i="21"/>
  <c r="E53" i="21"/>
  <c r="H52" i="21"/>
  <c r="I52" i="21" s="1"/>
  <c r="E52" i="21"/>
  <c r="F52" i="21" s="1"/>
  <c r="H51" i="21"/>
  <c r="I51" i="21" s="1"/>
  <c r="E51" i="21"/>
  <c r="F51" i="21" s="1"/>
  <c r="H50" i="21"/>
  <c r="I50" i="21" s="1"/>
  <c r="F50" i="21"/>
  <c r="E50" i="21"/>
  <c r="H49" i="21"/>
  <c r="I49" i="21" s="1"/>
  <c r="E49" i="21"/>
  <c r="F49" i="21" s="1"/>
  <c r="H48" i="21"/>
  <c r="I48" i="21" s="1"/>
  <c r="E48" i="21"/>
  <c r="F48" i="21" s="1"/>
  <c r="H47" i="21"/>
  <c r="I47" i="21" s="1"/>
  <c r="F47" i="21"/>
  <c r="E47" i="21"/>
  <c r="H46" i="21"/>
  <c r="I46" i="21" s="1"/>
  <c r="E46" i="21"/>
  <c r="F46" i="21" s="1"/>
  <c r="H45" i="21"/>
  <c r="I45" i="21" s="1"/>
  <c r="E45" i="21"/>
  <c r="F45" i="21" s="1"/>
  <c r="H44" i="21"/>
  <c r="I44" i="21" s="1"/>
  <c r="F44" i="21"/>
  <c r="E44" i="21"/>
  <c r="H43" i="21"/>
  <c r="I43" i="21" s="1"/>
  <c r="E43" i="21"/>
  <c r="F43" i="21" s="1"/>
  <c r="H42" i="21"/>
  <c r="I42" i="21" s="1"/>
  <c r="E42" i="21"/>
  <c r="F42" i="21" s="1"/>
  <c r="H41" i="21"/>
  <c r="I41" i="21" s="1"/>
  <c r="F41" i="21"/>
  <c r="E41" i="21"/>
  <c r="H40" i="21"/>
  <c r="I40" i="21" s="1"/>
  <c r="E40" i="21"/>
  <c r="F40" i="21" s="1"/>
  <c r="H39" i="21"/>
  <c r="I39" i="21" s="1"/>
  <c r="E39" i="21"/>
  <c r="F39" i="21" s="1"/>
  <c r="H38" i="21"/>
  <c r="I38" i="21" s="1"/>
  <c r="F38" i="21"/>
  <c r="E38" i="21"/>
  <c r="H37" i="21"/>
  <c r="I37" i="21" s="1"/>
  <c r="E37" i="21"/>
  <c r="F37" i="21" s="1"/>
  <c r="H36" i="21"/>
  <c r="I36" i="21" s="1"/>
  <c r="E36" i="21"/>
  <c r="F36" i="21" s="1"/>
  <c r="H35" i="21"/>
  <c r="I35" i="21" s="1"/>
  <c r="F35" i="21"/>
  <c r="E35" i="21"/>
  <c r="H34" i="21"/>
  <c r="I34" i="21" s="1"/>
  <c r="E34" i="21"/>
  <c r="F34" i="21" s="1"/>
  <c r="H33" i="21"/>
  <c r="I33" i="21" s="1"/>
  <c r="E33" i="21"/>
  <c r="F33" i="21" s="1"/>
  <c r="H32" i="21"/>
  <c r="I32" i="21" s="1"/>
  <c r="F32" i="21"/>
  <c r="E32" i="21"/>
  <c r="H31" i="21"/>
  <c r="I31" i="21" s="1"/>
  <c r="E31" i="21"/>
  <c r="F31" i="21" s="1"/>
  <c r="H30" i="21"/>
  <c r="I30" i="21" s="1"/>
  <c r="E30" i="21"/>
  <c r="F30" i="21" s="1"/>
  <c r="H29" i="21"/>
  <c r="I29" i="21" s="1"/>
  <c r="F29" i="21"/>
  <c r="E29" i="21"/>
  <c r="H28" i="21"/>
  <c r="I28" i="21" s="1"/>
  <c r="E28" i="21"/>
  <c r="F28" i="21" s="1"/>
  <c r="H27" i="21"/>
  <c r="I27" i="21" s="1"/>
  <c r="E27" i="21"/>
  <c r="F27" i="21" s="1"/>
  <c r="H26" i="21"/>
  <c r="I26" i="21" s="1"/>
  <c r="F26" i="21"/>
  <c r="E26" i="21"/>
  <c r="H25" i="21"/>
  <c r="I25" i="21" s="1"/>
  <c r="E25" i="21"/>
  <c r="F25" i="21" s="1"/>
  <c r="H24" i="21"/>
  <c r="I24" i="21" s="1"/>
  <c r="E24" i="21"/>
  <c r="F24" i="21" s="1"/>
  <c r="H23" i="21"/>
  <c r="I23" i="21" s="1"/>
  <c r="F23" i="21"/>
  <c r="E23" i="21"/>
  <c r="H22" i="21"/>
  <c r="I22" i="21" s="1"/>
  <c r="E22" i="21"/>
  <c r="F22" i="21" s="1"/>
  <c r="H21" i="21"/>
  <c r="I21" i="21" s="1"/>
  <c r="E21" i="21"/>
  <c r="F21" i="21" s="1"/>
  <c r="H20" i="21"/>
  <c r="I20" i="21" s="1"/>
  <c r="F20" i="21"/>
  <c r="E20" i="21"/>
  <c r="H19" i="21"/>
  <c r="I19" i="21" s="1"/>
  <c r="E19" i="21"/>
  <c r="F19" i="21" s="1"/>
  <c r="H18" i="21"/>
  <c r="I18" i="21" s="1"/>
  <c r="E18" i="21"/>
  <c r="F18" i="21" s="1"/>
  <c r="H17" i="21"/>
  <c r="I17" i="21" s="1"/>
  <c r="F17" i="21"/>
  <c r="E17" i="21"/>
  <c r="H16" i="21"/>
  <c r="I16" i="21" s="1"/>
  <c r="E16" i="21"/>
  <c r="F16" i="21" s="1"/>
  <c r="H15" i="21"/>
  <c r="I15" i="21" s="1"/>
  <c r="E15" i="21"/>
  <c r="F15" i="21" s="1"/>
  <c r="H14" i="21"/>
  <c r="I14" i="21" s="1"/>
  <c r="F14" i="21"/>
  <c r="E14" i="21"/>
  <c r="H13" i="21"/>
  <c r="I13" i="21" s="1"/>
  <c r="E13" i="21"/>
  <c r="F13" i="21" s="1"/>
  <c r="H12" i="21"/>
  <c r="I12" i="21" s="1"/>
  <c r="E12" i="21"/>
  <c r="F12" i="21" s="1"/>
  <c r="H11" i="21"/>
  <c r="I11" i="21" s="1"/>
  <c r="F11" i="21"/>
  <c r="E11" i="21"/>
  <c r="H10" i="21"/>
  <c r="I10" i="21" s="1"/>
  <c r="E10" i="21"/>
  <c r="F10" i="21" s="1"/>
  <c r="H9" i="21"/>
  <c r="I9" i="21" s="1"/>
  <c r="E9" i="21"/>
  <c r="F9" i="21" s="1"/>
  <c r="H8" i="21"/>
  <c r="I8" i="21" s="1"/>
  <c r="F8" i="21"/>
  <c r="E8" i="21"/>
  <c r="H7" i="21"/>
  <c r="I7" i="21" s="1"/>
  <c r="E7" i="21"/>
  <c r="F7" i="21" s="1"/>
  <c r="H6" i="21"/>
  <c r="I6" i="21" s="1"/>
  <c r="E6" i="21"/>
  <c r="F6" i="21" s="1"/>
  <c r="H5" i="21"/>
  <c r="I5" i="21" s="1"/>
  <c r="F5" i="21"/>
  <c r="E5" i="2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I28" i="3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I19" i="3"/>
  <c r="E19" i="3"/>
  <c r="F19" i="3" s="1"/>
  <c r="I18" i="3"/>
  <c r="F18" i="3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F5" i="3"/>
  <c r="H4" i="3"/>
  <c r="I4" i="3" s="1"/>
  <c r="F4" i="3"/>
  <c r="B4" i="3" a="1"/>
  <c r="B4" i="3" s="1"/>
  <c r="A4" i="3" a="1"/>
  <c r="A4" i="3" s="1"/>
  <c r="E45" i="72"/>
  <c r="F45" i="72"/>
  <c r="H45" i="72"/>
  <c r="I45" i="72" s="1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I52" i="72" s="1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I55" i="72" s="1"/>
  <c r="E56" i="72"/>
  <c r="F56" i="72" s="1"/>
  <c r="H56" i="72"/>
  <c r="I56" i="72" s="1"/>
  <c r="E57" i="72"/>
  <c r="F57" i="72"/>
  <c r="H57" i="72"/>
  <c r="I57" i="72" s="1"/>
  <c r="E58" i="72"/>
  <c r="F58" i="72" s="1"/>
  <c r="H58" i="72"/>
  <c r="I58" i="72" s="1"/>
  <c r="E59" i="72"/>
  <c r="F59" i="72" s="1"/>
  <c r="H59" i="72"/>
  <c r="I59" i="72" s="1"/>
  <c r="E60" i="72"/>
  <c r="F60" i="72"/>
  <c r="H60" i="72"/>
  <c r="I60" i="72" s="1"/>
  <c r="E61" i="72"/>
  <c r="F61" i="72" s="1"/>
  <c r="H61" i="72"/>
  <c r="I61" i="72"/>
  <c r="E62" i="72"/>
  <c r="F62" i="72" s="1"/>
  <c r="H62" i="72"/>
  <c r="I62" i="72"/>
  <c r="E63" i="72"/>
  <c r="F63" i="72" s="1"/>
  <c r="H63" i="72"/>
  <c r="I63" i="72" s="1"/>
  <c r="E64" i="72"/>
  <c r="F64" i="72"/>
  <c r="H64" i="72"/>
  <c r="I64" i="72" s="1"/>
  <c r="E65" i="72"/>
  <c r="F65" i="72" s="1"/>
  <c r="H65" i="72"/>
  <c r="I6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1" i="18" l="1"/>
  <c r="F11" i="29"/>
  <c r="F11" i="30"/>
  <c r="F6" i="18"/>
  <c r="C9" i="18"/>
  <c r="F6" i="29"/>
  <c r="C9" i="29"/>
  <c r="F6" i="30"/>
  <c r="C9" i="30"/>
  <c r="B7" i="18"/>
  <c r="F9" i="18"/>
  <c r="B7" i="29"/>
  <c r="F9" i="29"/>
  <c r="B7" i="30"/>
  <c r="F9" i="30"/>
  <c r="C7" i="18"/>
  <c r="D7" i="18" s="1"/>
  <c r="E7" i="18" s="1"/>
  <c r="B10" i="18"/>
  <c r="C7" i="29"/>
  <c r="B10" i="29"/>
  <c r="C7" i="30"/>
  <c r="B10" i="30"/>
  <c r="B5" i="18"/>
  <c r="F7" i="18"/>
  <c r="C10" i="18"/>
  <c r="B5" i="29"/>
  <c r="F7" i="29"/>
  <c r="C10" i="29"/>
  <c r="B5" i="30"/>
  <c r="F7" i="30"/>
  <c r="C10" i="30"/>
  <c r="C5" i="18"/>
  <c r="B8" i="18"/>
  <c r="F10" i="18"/>
  <c r="C5" i="29"/>
  <c r="B8" i="29"/>
  <c r="F10" i="29"/>
  <c r="C5" i="30"/>
  <c r="B8" i="30"/>
  <c r="F10" i="30"/>
  <c r="F5" i="18"/>
  <c r="C8" i="18"/>
  <c r="B11" i="18"/>
  <c r="F5" i="29"/>
  <c r="C8" i="29"/>
  <c r="B11" i="29"/>
  <c r="F5" i="30"/>
  <c r="C8" i="30"/>
  <c r="D8" i="30" s="1"/>
  <c r="E8" i="30" s="1"/>
  <c r="B11" i="30"/>
  <c r="G11" i="30" s="1"/>
  <c r="H11" i="30" s="1"/>
  <c r="B6" i="18"/>
  <c r="F8" i="18"/>
  <c r="C11" i="18"/>
  <c r="B6" i="29"/>
  <c r="F8" i="29"/>
  <c r="C11" i="29"/>
  <c r="B6" i="30"/>
  <c r="F8" i="30"/>
  <c r="C11" i="30"/>
  <c r="C6" i="18"/>
  <c r="B9" i="18"/>
  <c r="C6" i="29"/>
  <c r="B9" i="29"/>
  <c r="C6" i="30"/>
  <c r="B9" i="30"/>
  <c r="G9" i="30" s="1"/>
  <c r="H9" i="30" s="1"/>
  <c r="G7" i="30"/>
  <c r="H7" i="30" s="1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B4" i="1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10" i="30" l="1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1"/>
  <c r="F11" i="34" s="1"/>
  <c r="F9" i="1"/>
  <c r="F9" i="34" s="1"/>
  <c r="C11" i="1"/>
  <c r="C11" i="34" s="1"/>
  <c r="B11" i="1"/>
  <c r="F6" i="1"/>
  <c r="F6" i="34" s="1"/>
  <c r="F7" i="1"/>
  <c r="F7" i="34" s="1"/>
  <c r="B6" i="1"/>
  <c r="F4" i="30"/>
  <c r="F2" i="30" s="1"/>
  <c r="C4" i="30"/>
  <c r="C2" i="30" s="1"/>
  <c r="B4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D11" i="18"/>
  <c r="E11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5" i="1" l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11" i="1"/>
  <c r="H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2" i="1" l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<sst xmlns="http://schemas.openxmlformats.org/spreadsheetml/2006/main" count="547" uniqueCount="227">
  <si>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</si>
  <si>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</si>
  <si>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</si>
  <si>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</si>
  <si>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</si>
  <si>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</si>
  <si>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</si>
  <si>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</si>
  <si>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</si>
  <si>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</si>
  <si>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</si>
  <si>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</si>
  <si>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</si>
  <si>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</si>
  <si>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</si>
  <si>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</si>
  <si>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</si>
  <si>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</si>
  <si>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</si>
  <si>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</si>
  <si>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</si>
  <si>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</si>
  <si>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replaced on 01/31</t>
  </si>
  <si>
    <t>1. SR079901</t>
  </si>
  <si>
    <t>1. Site is offline from 05/12/2023</t>
  </si>
  <si>
    <t>1. SR078942</t>
  </si>
  <si>
    <t>03/01/2023 Per Kate - Do Not Pursue Weather Station</t>
  </si>
  <si>
    <t xml:space="preserve">1. Expected energy was not available till 01/30 </t>
  </si>
  <si>
    <t>1. SR080333</t>
  </si>
  <si>
    <t xml:space="preserve">1. Inverter 4 tripped offline on 01/31
2. Expected energy was not available till 01/30 </t>
  </si>
  <si>
    <t>1. SR080633
2. SR080334</t>
  </si>
  <si>
    <t xml:space="preserve">1. Site de-energized 06/02/2023  due to TIGO investigation. </t>
  </si>
  <si>
    <t>1. SR078172</t>
  </si>
  <si>
    <t>1. SR078173</t>
  </si>
  <si>
    <t>No data available</t>
  </si>
  <si>
    <t>1. Site's de-energized 06/02/2023  due to TIGO investigation</t>
  </si>
  <si>
    <t>1. Inverter 17 was offline from morning and back online at 14:00 on 01/24</t>
  </si>
  <si>
    <t>1. SR080443</t>
  </si>
  <si>
    <t>1. SR078159</t>
  </si>
  <si>
    <t>1. SR078164</t>
  </si>
  <si>
    <t>1. SR078165</t>
  </si>
  <si>
    <t>1. SR078166</t>
  </si>
  <si>
    <t>1. SR078160</t>
  </si>
  <si>
    <t>1. SR078162</t>
  </si>
  <si>
    <t>1. SR078161</t>
  </si>
  <si>
    <t>February Actual v. Expected</t>
  </si>
  <si>
    <t>February Actual v. Forecasted</t>
  </si>
  <si>
    <t>1. Inverter 4 tripped offline on 02/12 and 02/24. Inverter being RMA'd</t>
  </si>
  <si>
    <t>1. 	SR080945</t>
  </si>
  <si>
    <t>1. Site not reporting prodcution from 05/12/2023</t>
  </si>
  <si>
    <t>1. Daily drop in production due to inverter fan failure.</t>
  </si>
  <si>
    <t>1. SR081410</t>
  </si>
  <si>
    <t xml:space="preserve">1. Inverter 4 back online on 02/21 after replacement
</t>
  </si>
  <si>
    <t>1. 	SR080633</t>
  </si>
  <si>
    <t>1. Site reenergized on 02/27 after TIGO investigation</t>
  </si>
  <si>
    <t>1. 	SR078163</t>
  </si>
  <si>
    <t>1. Site's de-energized on 06/02/2023  due to TIGO investigation and renergized on 03/05/2024</t>
  </si>
  <si>
    <t>1. Site reenergized on 02/20 after TIGO investigation</t>
  </si>
  <si>
    <t>1. Site reenergized on 02/23, but inverters 2, 3 &amp; 5 are still underproducing</t>
  </si>
  <si>
    <t>March Actual v. Expected</t>
  </si>
  <si>
    <t>March Actual v. Forecasted</t>
  </si>
  <si>
    <t>1. Inverter 4 offline on 03/02, 03/04, 03/05, 03/06, 03/08, 03/10</t>
  </si>
  <si>
    <t>1. SR080945</t>
  </si>
  <si>
    <t>1. Site stopped communicating since 03/22</t>
  </si>
  <si>
    <t>1. Daily drop in production due to inverter fan failure</t>
  </si>
  <si>
    <t>1. Site back online on 03/12. Inverter 1 to 4 are back online since 03/13, Inverters 13 to 17 are back online on 03/14, Inverters 6, 7 and 09 to 12 are back online on 03/15</t>
  </si>
  <si>
    <t>1. Site back online on 03/16 but since then all the inverters are producing constantly around 0.8kW throughout the day</t>
  </si>
  <si>
    <t>1. Site was re-energized on 03/05 and inverter 3 is underproducing ~16kW</t>
  </si>
  <si>
    <t>1. Site was re-energized on 03/12 at 13:45</t>
  </si>
  <si>
    <t>1. Site de-energized 06/02/2023  due to TIGO investigation</t>
  </si>
  <si>
    <t xml:space="preserve">1. Inverters 2, 3 &amp; 5 are underperforming throughout the month 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</si>
  <si>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</si>
  <si>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</si>
  <si>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</si>
  <si>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</si>
  <si>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</si>
  <si>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</si>
  <si>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</si>
  <si>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</si>
  <si>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</si>
  <si>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</si>
  <si>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</si>
  <si>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</si>
  <si>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</si>
  <si>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</si>
  <si>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</si>
  <si>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</si>
  <si>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</si>
  <si>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</si>
  <si>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</si>
  <si>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</si>
  <si>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</si>
  <si>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</si>
  <si>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</si>
  <si>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Adams &amp; Broadway</t>
  </si>
  <si>
    <t>Adams &amp; Broadway</t>
  </si>
  <si>
    <t>CA</t>
  </si>
  <si>
    <t>PowerTrack</t>
  </si>
  <si>
    <t>BE 196270 - Otay Mesa (ATM)</t>
  </si>
  <si>
    <t>Otay Mesa</t>
  </si>
  <si>
    <t>BE 144682 - San Leandro Ops Center</t>
  </si>
  <si>
    <t>San Leandro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</si>
  <si>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</si>
  <si>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</si>
  <si>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</si>
  <si>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</si>
  <si>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</si>
  <si>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</si>
  <si>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</si>
  <si>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</si>
  <si>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</si>
  <si>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</si>
  <si>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</si>
  <si>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</si>
  <si>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</si>
  <si>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</si>
  <si>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</si>
  <si>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</si>
  <si>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</si>
  <si>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</si>
  <si>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</si>
  <si>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</si>
  <si>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</si>
  <si>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</si>
  <si>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</si>
  <si>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</si>
  <si>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</si>
  <si>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</si>
  <si>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</si>
  <si>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</si>
  <si>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</si>
  <si>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</si>
  <si>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</si>
  <si>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150140 - HMHQ</t>
  </si>
  <si>
    <t>West Des Moines - HMHQ</t>
  </si>
  <si>
    <t>IA</t>
  </si>
  <si>
    <t>BE 150496 - West Des Moines Campus East</t>
  </si>
  <si>
    <t>W. Des Moines Campus EAST</t>
  </si>
  <si>
    <t>BE 150496 - West Des Moines Campus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</si>
  <si>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</si>
  <si>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</si>
  <si>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</si>
  <si>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</si>
  <si>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</si>
  <si>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</si>
  <si>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</si>
  <si>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</si>
  <si>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</si>
  <si>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</si>
  <si>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</si>
  <si>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</si>
  <si>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</si>
  <si>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</si>
  <si>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</si>
  <si>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</t>
  </si>
  <si>
    <t>North Elizabeth</t>
  </si>
  <si>
    <t>BE 145739 - Haddon Westmont Plaza</t>
  </si>
  <si>
    <t>Haddon Westmont Plaza</t>
  </si>
  <si>
    <t>BE 141464 - Parsippany Rt.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</si>
  <si>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</si>
  <si>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</si>
  <si>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</si>
  <si>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</si>
  <si>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</si>
  <si>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</si>
  <si>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</si>
  <si>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</si>
  <si>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</si>
  <si>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</t>
  </si>
  <si>
    <t>Nutley</t>
  </si>
  <si>
    <t>BE 140334 - Marlton</t>
  </si>
  <si>
    <t>Marlton</t>
  </si>
  <si>
    <t>BE 140262 - Middletown</t>
  </si>
  <si>
    <t>Middletown</t>
  </si>
  <si>
    <t>BE 141443 - Whiting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</si>
  <si>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</si>
  <si>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</si>
  <si>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</si>
  <si>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</si>
  <si>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</si>
  <si>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</si>
  <si>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</si>
  <si>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</si>
  <si>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</si>
  <si>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</si>
  <si>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</si>
  <si>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</si>
  <si>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</si>
  <si>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</si>
  <si>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</si>
  <si>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</si>
  <si>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</si>
  <si>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</si>
  <si>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</si>
  <si>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</si>
  <si>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</si>
  <si>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</t>
  </si>
  <si>
    <t>South Plainfield</t>
  </si>
  <si>
    <t>BE 144813 - Somerset</t>
  </si>
  <si>
    <t>Somerset</t>
  </si>
  <si>
    <t>BE 145709 - Clinton Main Relo</t>
  </si>
  <si>
    <t>Clinton Main Relo</t>
  </si>
  <si>
    <t>BE 143233 - North Brunswick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</si>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</sst>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/>
    <xf numFmtId="43" fontId="2" fillId="0" borderId="0" applyFont="0" applyFill="0" applyBorder="0" applyAlignment="0" applyProtection="0"/>
  </cellStyleXfs>
  <cellXfs count="6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3" fontId="23" fillId="36" borderId="1" xfId="0" applyNumberFormat="1" applyFont="1" applyFill="1" applyBorder="1" applyAlignment="1">
      <alignment horizontal="center" vertical="center"/>
    </xf>
    <xf numFmtId="9" fontId="23" fillId="36" borderId="1" xfId="0" applyNumberFormat="1" applyFont="1" applyFill="1" applyBorder="1" applyAlignment="1">
      <alignment horizontal="center" vertical="center"/>
    </xf>
    <xf numFmtId="3" fontId="23" fillId="36" borderId="1" xfId="1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49" fontId="26" fillId="40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4" fontId="26" fillId="0" borderId="0" xfId="1" applyNumberFormat="1" applyFont="1" applyBorder="1" applyAlignment="1">
      <alignment horizontal="center" vertical="center"/>
    </xf>
    <xf numFmtId="3" fontId="28" fillId="3" borderId="0" xfId="0" applyNumberFormat="1" applyFont="1" applyFill="1" applyAlignment="1">
      <alignment horizontal="right" vertical="center"/>
    </xf>
    <xf numFmtId="9" fontId="28" fillId="3" borderId="0" xfId="2" applyFont="1" applyFill="1" applyBorder="1" applyAlignment="1">
      <alignment horizontal="center" vertical="center"/>
    </xf>
    <xf numFmtId="3" fontId="28" fillId="4" borderId="0" xfId="1" applyNumberFormat="1" applyFont="1" applyFill="1" applyBorder="1" applyAlignment="1">
      <alignment vertical="center"/>
    </xf>
    <xf numFmtId="9" fontId="28" fillId="37" borderId="0" xfId="2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center" vertical="center"/>
    </xf>
    <xf numFmtId="3" fontId="28" fillId="0" borderId="0" xfId="1" applyNumberFormat="1" applyFont="1" applyFill="1" applyBorder="1" applyAlignment="1">
      <alignment vertical="center"/>
    </xf>
    <xf numFmtId="0" fontId="30" fillId="0" borderId="0" xfId="0" applyFont="1"/>
    <xf numFmtId="9" fontId="29" fillId="0" borderId="0" xfId="2" applyFont="1" applyAlignment="1">
      <alignment horizontal="center"/>
    </xf>
    <xf numFmtId="0" fontId="27" fillId="43" borderId="1" xfId="0" applyFont="1" applyFill="1" applyBorder="1" applyAlignment="1">
      <alignment horizontal="center" vertical="center" wrapText="1"/>
    </xf>
    <xf numFmtId="164" fontId="26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7" fillId="2" borderId="11" xfId="0" applyFont="1" applyFill="1" applyBorder="1" applyAlignment="1">
      <alignment horizontal="center" vertical="center" wrapText="1"/>
    </xf>
    <xf numFmtId="0" fontId="25" fillId="40" borderId="0" xfId="0" applyFont="1" applyFill="1" applyAlignment="1">
      <alignment horizontal="center" vertical="center"/>
    </xf>
    <xf numFmtId="0" fontId="26" fillId="40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40" borderId="0" xfId="0" applyFont="1" applyFill="1" applyAlignment="1">
      <alignment horizontal="center"/>
    </xf>
    <xf numFmtId="0" fontId="28" fillId="0" borderId="0" xfId="0" applyFont="1"/>
    <xf numFmtId="0" fontId="23" fillId="0" borderId="0" xfId="0" applyFont="1"/>
    <xf numFmtId="0" fontId="22" fillId="41" borderId="1" xfId="0" applyFont="1" applyFill="1" applyBorder="1" applyAlignment="1">
      <alignment horizontal="center" vertical="center" wrapText="1"/>
    </xf>
    <xf numFmtId="9" fontId="22" fillId="41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/>
    </xf>
    <xf numFmtId="0" fontId="22" fillId="42" borderId="1" xfId="0" applyFont="1" applyFill="1" applyBorder="1" applyAlignment="1">
      <alignment horizontal="center" vertical="center" wrapText="1"/>
    </xf>
    <xf numFmtId="9" fontId="22" fillId="42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 vertical="center"/>
    </xf>
    <xf numFmtId="49" fontId="28" fillId="38" borderId="0" xfId="2" applyNumberFormat="1" applyFont="1" applyFill="1" applyBorder="1" applyAlignment="1">
      <alignment vertical="top" wrapText="1"/>
    </xf>
    <xf numFmtId="49" fontId="26" fillId="0" borderId="0" xfId="0" applyNumberFormat="1" applyFont="1" applyAlignment="1">
      <alignment vertical="center" wrapText="1"/>
    </xf>
    <xf numFmtId="49" fontId="25" fillId="0" borderId="0" xfId="0" applyNumberFormat="1" applyFont="1" applyAlignment="1">
      <alignment vertical="center" wrapText="1"/>
    </xf>
    <xf numFmtId="0" fontId="22" fillId="39" borderId="1" xfId="0" applyFont="1" applyFill="1" applyBorder="1" applyAlignment="1">
      <alignment horizontal="center" vertical="center"/>
    </xf>
    <xf numFmtId="0" fontId="2" fillId="0" borderId="0" xfId="0" applyFont="1"/>
    <xf numFmtId="164" fontId="26" fillId="44" borderId="0" xfId="1" applyNumberFormat="1" applyFont="1" applyFill="1" applyBorder="1" applyAlignment="1">
      <alignment horizontal="center" vertical="center" indent="1"/>
    </xf>
    <xf numFmtId="0" fontId="33" fillId="46" borderId="15" xfId="0" applyFont="1" applyFill="1" applyBorder="1"/>
    <xf numFmtId="0" fontId="33" fillId="0" borderId="0" xfId="0" applyFont="1"/>
    <xf numFmtId="0" fontId="33" fillId="46" borderId="0" xfId="0" applyFont="1" applyFill="1"/>
    <xf numFmtId="0" fontId="33" fillId="0" borderId="16" xfId="0" applyFont="1" applyBorder="1"/>
    <xf numFmtId="0" fontId="33" fillId="46" borderId="16" xfId="0" applyFont="1" applyFill="1" applyBorder="1"/>
    <xf numFmtId="0" fontId="33" fillId="0" borderId="16" xfId="0" applyFont="1" applyBorder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6" fillId="0" borderId="0" xfId="1" applyNumberFormat="1" applyFont="1" applyFill="1" applyBorder="1" applyAlignment="1">
      <alignment horizontal="center" vertical="center"/>
    </xf>
    <xf numFmtId="164" fontId="26" fillId="47" borderId="0" xfId="1" applyNumberFormat="1" applyFont="1" applyFill="1" applyBorder="1" applyAlignment="1">
      <alignment horizontal="center" vertical="center"/>
    </xf>
    <xf numFmtId="49" fontId="35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2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5" totalsRowShown="0">
  <autoFilter ref="A3:E65" xr:uid="{C9C95D9E-67ED-41E0-9F41-9C3DA4ACF4CD}"/>
  <sortState xmlns:xlrd2="http://schemas.microsoft.com/office/spreadsheetml/2017/richdata2" ref="A4:E56">
    <sortCondition ref="C3:C5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F2" sqref="F2"/>
      <selection pane="bottomLeft"/>
      <selection pane="topRight"/>
    </sheetView>
  </sheetViews>
  <sheetFormatPr defaultRowHeight="12.75"/>
  <cols>
    <col min="1" max="1" width="35.85546875" bestFit="1" customWidth="1"/>
    <col min="2" max="2" width="11.7109375" customWidth="1"/>
    <col min="3" max="4" width="13.28515625" customWidth="1"/>
    <col min="5" max="5" width="13.28515625" style="1" customWidth="1"/>
    <col min="6" max="7" width="13.28515625" customWidth="1"/>
    <col min="8" max="8" width="13.28515625" style="1" customWidth="1"/>
  </cols>
  <sheetData>
    <row r="1" spans="1:8" ht="19.5" customHeight="1">
      <c r="A1" s="58" t="str" cm="1">
        <f t="array" ref="A1">portfolio</f>
        <v>Wells Fargo</v>
      </c>
      <c r="B1" s="58"/>
      <c r="C1" s="59" t="s">
        <v>0</v>
      </c>
      <c r="D1" s="59"/>
      <c r="E1" s="59"/>
      <c r="F1" s="57" t="s">
        <v>1</v>
      </c>
      <c r="G1" s="57"/>
      <c r="H1" s="57"/>
    </row>
    <row r="2" spans="1:8" ht="19.5" customHeight="1">
      <c r="A2" s="42" t="s">
        <v>2</v>
      </c>
      <c r="B2" s="4">
        <f>SUM(B4:B94)</f>
        <v>2022284.6485849586</v>
      </c>
      <c r="C2" s="4">
        <f>SUM(C4:C94)</f>
        <v>2259425.2582999999</v>
      </c>
      <c r="D2" s="4">
        <f>B2-C2</f>
        <v>-237140.60971504124</v>
      </c>
      <c r="E2" s="5">
        <f>IFERROR(D2/C2, 0)</f>
        <v>-0.1049561647785892</v>
      </c>
      <c r="F2" s="4">
        <f>SUM(F4:F94)</f>
        <v>3056274.5467999997</v>
      </c>
      <c r="G2" s="6">
        <f>B2-F2</f>
        <v>-1033989.898215041</v>
      </c>
      <c r="H2" s="5">
        <f>IFERROR(G2/F2, 0)</f>
        <v>-0.3383170858448093</v>
      </c>
    </row>
    <row r="3" spans="1:8" ht="14.25" customHeight="1">
      <c r="A3" s="7" t="s">
        <v>3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SUM('1st Qtr'!B4, '2nd Qtr'!B4, '3rd Qtr'!B4, '4th Qtr'!B4)</f>
        <v>96460.874169194838</v>
      </c>
      <c r="C4" s="11">
        <f>SUM('1st Qtr'!C4, '2nd Qtr'!C4, '3rd Qtr'!C4, '4th Qtr'!C4)</f>
        <v>98630.98</v>
      </c>
      <c r="D4" s="11">
        <f>IF(AND(ISNUMBER($B4),ISNUMBER(C4)), $B4-C4, "")</f>
        <v>-2170.1058308051579</v>
      </c>
      <c r="E4" s="12">
        <f>IFERROR(D4/C4, "")</f>
        <v>-2.2002273837339527E-2</v>
      </c>
      <c r="F4" s="13">
        <f>SUM('1st Qtr'!F4, '2nd Qtr'!F4, '3rd Qtr'!F4, '4th Qtr'!F4)</f>
        <v>92937.790000000008</v>
      </c>
      <c r="G4" s="13">
        <f>IF(AND(ISNUMBER($B4),ISNUMBER(F4)), $B4-F4, "")</f>
        <v>3523.0841691948299</v>
      </c>
      <c r="H4" s="14">
        <f>IFERROR(G4/F4, "")</f>
        <v>3.7907983062593048E-2</v>
      </c>
    </row>
    <row r="5" spans="1:8" ht="15.75">
      <c r="A5" s="28" t="str">
        <v>CO</v>
      </c>
      <c r="B5" s="10">
        <f>SUM('1st Qtr'!B5, '2nd Qtr'!B5, '3rd Qtr'!B5, '4th Qtr'!B5)</f>
        <v>49254.600362056226</v>
      </c>
      <c r="C5" s="16">
        <f>SUM('1st Qtr'!C5, '2nd Qtr'!C5, '3rd Qtr'!C5, '4th Qtr'!C5)</f>
        <v>0</v>
      </c>
      <c r="D5" s="16">
        <f>IF(AND(ISNUMBER($B5),ISNUMBER(C5)), $B5-C5, "")</f>
        <v>49254.600362056226</v>
      </c>
      <c r="E5" s="17" t="str">
        <f>IFERROR(D5/C5, "")</f>
        <v/>
      </c>
      <c r="F5" s="18">
        <f>SUM('1st Qtr'!F5, '2nd Qtr'!F5, '3rd Qtr'!F5, '4th Qtr'!F5)</f>
        <v>58983.134999999995</v>
      </c>
      <c r="G5" s="18">
        <f>IF(AND(ISNUMBER($B5),ISNUMBER(F5)), $B5-F5, "")</f>
        <v>-9728.5346379437688</v>
      </c>
      <c r="H5" s="17">
        <f>IFERROR(G5/F5, "")</f>
        <v>-0.16493756457576847</v>
      </c>
    </row>
    <row r="6" spans="1:8" ht="15.75">
      <c r="A6" s="26" t="str">
        <v>CT</v>
      </c>
      <c r="B6" s="22">
        <f>SUM('1st Qtr'!B6, '2nd Qtr'!B6, '3rd Qtr'!B6, '4th Qtr'!B6)</f>
        <v>1437.15027175254</v>
      </c>
      <c r="C6" s="11">
        <f>SUM('1st Qtr'!C6, '2nd Qtr'!C6, '3rd Qtr'!C6, '4th Qtr'!C6)</f>
        <v>3198.4032999999999</v>
      </c>
      <c r="D6" s="11">
        <f t="shared" ref="D6:D11" si="0">IF(AND(ISNUMBER($B6),ISNUMBER(C6)), $B6-C6, "")</f>
        <v>-1761.25302824746</v>
      </c>
      <c r="E6" s="12">
        <f t="shared" ref="E6:E11" si="1">IFERROR(D6/C6, "")</f>
        <v>-0.55066633662098208</v>
      </c>
      <c r="F6" s="13">
        <f>SUM('1st Qtr'!F6, '2nd Qtr'!F6, '3rd Qtr'!F6, '4th Qtr'!F6)</f>
        <v>2904.6053000000002</v>
      </c>
      <c r="G6" s="13">
        <f t="shared" ref="G6:G11" si="2">IF(AND(ISNUMBER($B6),ISNUMBER(F6)), $B6-F6, "")</f>
        <v>-1467.4550282474602</v>
      </c>
      <c r="H6" s="14">
        <f t="shared" ref="H6:H11" si="3">IFERROR(G6/F6, "")</f>
        <v>-0.50521667375855162</v>
      </c>
    </row>
    <row r="7" spans="1:8" ht="15.75">
      <c r="A7" s="28" t="str">
        <v>FL</v>
      </c>
      <c r="B7" s="10">
        <f>SUM('1st Qtr'!B7, '2nd Qtr'!B7, '3rd Qtr'!B7, '4th Qtr'!B7)</f>
        <v>3427.8034604549398</v>
      </c>
      <c r="C7" s="16">
        <f>SUM('1st Qtr'!C7, '2nd Qtr'!C7, '3rd Qtr'!C7, '4th Qtr'!C7)</f>
        <v>9472.91</v>
      </c>
      <c r="D7" s="16">
        <f t="shared" si="0"/>
        <v>-6045.1065395450605</v>
      </c>
      <c r="E7" s="17">
        <f t="shared" si="1"/>
        <v>-0.63814672994307564</v>
      </c>
      <c r="F7" s="18">
        <f>SUM('1st Qtr'!F7, '2nd Qtr'!F7, '3rd Qtr'!F7, '4th Qtr'!F7)</f>
        <v>12229.661</v>
      </c>
      <c r="G7" s="18">
        <f t="shared" si="2"/>
        <v>-8801.8575395450607</v>
      </c>
      <c r="H7" s="17">
        <f t="shared" si="3"/>
        <v>-0.71971394297397617</v>
      </c>
    </row>
    <row r="8" spans="1:8" ht="15.75">
      <c r="A8" s="26" t="str">
        <v>IA</v>
      </c>
      <c r="B8" s="22">
        <f>SUM('1st Qtr'!B8, '2nd Qtr'!B8, '3rd Qtr'!B8, '4th Qtr'!B8)</f>
        <v>600256.9375</v>
      </c>
      <c r="C8" s="11">
        <f>SUM('1st Qtr'!C8, '2nd Qtr'!C8, '3rd Qtr'!C8, '4th Qtr'!C8)</f>
        <v>573354.79399999999</v>
      </c>
      <c r="D8" s="11">
        <f t="shared" si="0"/>
        <v>26902.143500000006</v>
      </c>
      <c r="E8" s="12">
        <f t="shared" si="1"/>
        <v>4.6920587010911091E-2</v>
      </c>
      <c r="F8" s="13">
        <f>SUM('1st Qtr'!F8, '2nd Qtr'!F8, '3rd Qtr'!F8, '4th Qtr'!F8)</f>
        <v>641026.38699999999</v>
      </c>
      <c r="G8" s="13">
        <f t="shared" si="2"/>
        <v>-40769.449499999988</v>
      </c>
      <c r="H8" s="14">
        <f t="shared" si="3"/>
        <v>-6.3600267207097022E-2</v>
      </c>
    </row>
    <row r="9" spans="1:8" ht="15.75">
      <c r="A9" s="28" t="str">
        <v>NC</v>
      </c>
      <c r="B9" s="10">
        <f>SUM('1st Qtr'!B9, '2nd Qtr'!B9, '3rd Qtr'!B9, '4th Qtr'!B9)</f>
        <v>102107</v>
      </c>
      <c r="C9" s="16">
        <f>SUM('1st Qtr'!C9, '2nd Qtr'!C9, '3rd Qtr'!C9, '4th Qtr'!C9)</f>
        <v>266710</v>
      </c>
      <c r="D9" s="16">
        <f t="shared" si="0"/>
        <v>-164603</v>
      </c>
      <c r="E9" s="17">
        <f t="shared" si="1"/>
        <v>-0.61716096134378162</v>
      </c>
      <c r="F9" s="18">
        <f>SUM('1st Qtr'!F9, '2nd Qtr'!F9, '3rd Qtr'!F9, '4th Qtr'!F9)</f>
        <v>336745</v>
      </c>
      <c r="G9" s="18">
        <f t="shared" si="2"/>
        <v>-234638</v>
      </c>
      <c r="H9" s="17">
        <f t="shared" si="3"/>
        <v>-0.69678243181042032</v>
      </c>
    </row>
    <row r="10" spans="1:8" ht="15.75">
      <c r="A10" s="26" t="str">
        <v>NJ</v>
      </c>
      <c r="B10" s="22">
        <f>SUM('1st Qtr'!B10, '2nd Qtr'!B10, '3rd Qtr'!B10, '4th Qtr'!B10)</f>
        <v>152779.90282149997</v>
      </c>
      <c r="C10" s="11">
        <f>SUM('1st Qtr'!C10, '2nd Qtr'!C10, '3rd Qtr'!C10, '4th Qtr'!C10)</f>
        <v>157231.97099999999</v>
      </c>
      <c r="D10" s="11">
        <f t="shared" si="0"/>
        <v>-4452.0681785000197</v>
      </c>
      <c r="E10" s="12">
        <f t="shared" si="1"/>
        <v>-2.8315285690211311E-2</v>
      </c>
      <c r="F10" s="13">
        <f>SUM('1st Qtr'!F10, '2nd Qtr'!F10, '3rd Qtr'!F10, '4th Qtr'!F10)</f>
        <v>166141.62250000003</v>
      </c>
      <c r="G10" s="13">
        <f t="shared" si="2"/>
        <v>-13361.719678500056</v>
      </c>
      <c r="H10" s="14">
        <f t="shared" si="3"/>
        <v>-8.0423673956236064E-2</v>
      </c>
    </row>
    <row r="11" spans="1:8" ht="15.75">
      <c r="A11" s="28" t="str">
        <v>TX</v>
      </c>
      <c r="B11" s="10">
        <f>SUM('1st Qtr'!B11, '2nd Qtr'!B11, '3rd Qtr'!B11, '4th Qtr'!B11)</f>
        <v>1016560.38</v>
      </c>
      <c r="C11" s="16">
        <f>SUM('1st Qtr'!C11, '2nd Qtr'!C11, '3rd Qtr'!C11, '4th Qtr'!C11)</f>
        <v>1150826.2</v>
      </c>
      <c r="D11" s="16">
        <f t="shared" si="0"/>
        <v>-134265.81999999995</v>
      </c>
      <c r="E11" s="17">
        <f t="shared" si="1"/>
        <v>-0.11666906784013081</v>
      </c>
      <c r="F11" s="18">
        <f>SUM('1st Qtr'!F11, '2nd Qtr'!F11, '3rd Qtr'!F11, '4th Qtr'!F11)</f>
        <v>1745306.3459999999</v>
      </c>
      <c r="G11" s="18">
        <f t="shared" si="2"/>
        <v>-728745.9659999999</v>
      </c>
      <c r="H11" s="17">
        <f t="shared" si="3"/>
        <v>-0.41754616183582016</v>
      </c>
    </row>
    <row r="12" spans="1:8" ht="12.75" customHeight="1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  <row r="26" spans="1:8">
      <c r="A26" s="19"/>
      <c r="B26" s="19"/>
      <c r="C26" s="19"/>
      <c r="D26" s="19"/>
      <c r="E26" s="19"/>
      <c r="F26" s="19"/>
      <c r="G26" s="19"/>
      <c r="H26" s="19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  <row r="333" spans="1:8">
      <c r="A333" s="19"/>
      <c r="B333" s="19"/>
      <c r="C333" s="19"/>
      <c r="D333" s="19"/>
      <c r="E333" s="20"/>
      <c r="F333" s="19"/>
      <c r="G333" s="19"/>
      <c r="H333" s="20"/>
    </row>
    <row r="334" spans="1:8">
      <c r="A334" s="19"/>
      <c r="B334" s="19"/>
      <c r="C334" s="19"/>
      <c r="D334" s="19"/>
      <c r="E334" s="20"/>
      <c r="F334" s="19"/>
      <c r="G334" s="19"/>
      <c r="H334" s="20"/>
    </row>
    <row r="335" spans="1:8">
      <c r="A335" s="19"/>
      <c r="B335" s="19"/>
      <c r="C335" s="19"/>
      <c r="D335" s="19"/>
      <c r="E335" s="20"/>
      <c r="F335" s="19"/>
      <c r="G335" s="19"/>
      <c r="H335" s="20"/>
    </row>
    <row r="336" spans="1:8">
      <c r="A336" s="19"/>
      <c r="B336" s="19"/>
      <c r="C336" s="19"/>
      <c r="D336" s="19"/>
      <c r="E336" s="20"/>
      <c r="F336" s="19"/>
      <c r="G336" s="19"/>
      <c r="H336" s="20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56" priority="1" stopIfTrue="1" operator="lessThanOrEqual">
      <formula>-0.1</formula>
    </cfRule>
    <cfRule type="expression" dxfId="55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B11" sqref="B11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0.710937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60" t="str" cm="1">
        <f t="array" ref="A1">portfolio</f>
        <v>Wells Fargo</v>
      </c>
      <c r="B1" s="61"/>
      <c r="C1" s="62" t="s">
        <v>9</v>
      </c>
      <c r="D1" s="63"/>
      <c r="E1" s="64"/>
      <c r="F1" s="65" t="s">
        <v>10</v>
      </c>
      <c r="G1" s="66"/>
      <c r="H1" s="67"/>
    </row>
    <row r="2" spans="1:8" ht="19.5" customHeight="1">
      <c r="A2" s="42" t="s">
        <v>2</v>
      </c>
      <c r="B2" s="4">
        <f>SUM(B4:B90)</f>
        <v>2022284.6485849586</v>
      </c>
      <c r="C2" s="4">
        <f>SUM(C4:C90)</f>
        <v>2259425.2582999999</v>
      </c>
      <c r="D2" s="4">
        <f>B2-C2</f>
        <v>-237140.60971504124</v>
      </c>
      <c r="E2" s="5">
        <f>IFERROR(D2/C2, 0)</f>
        <v>-0.1049561647785892</v>
      </c>
      <c r="F2" s="4">
        <f>SUM(F4:F90)</f>
        <v>3056274.5467999997</v>
      </c>
      <c r="G2" s="6">
        <f>B2-F2</f>
        <v>-1033989.898215041</v>
      </c>
      <c r="H2" s="5">
        <f>IFERROR(G2/F2, 0)</f>
        <v>-0.3383170858448093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44">
        <f>SUM(SUMIF(_xlfn.ANCHORARRAY(Jan!$B$4), $A4, Jan!C$4:C$65), SUMIF(_xlfn.ANCHORARRAY(Feb!$B$4), $A4, Feb!C$4:C$78), SUMIF(_xlfn.ANCHORARRAY(Mar!$B$4), $A4, Mar!C$4:C$65))</f>
        <v>96460.874169194838</v>
      </c>
      <c r="C4" s="11">
        <f>SUM(SUMIF(_xlfn.ANCHORARRAY(Jan!$B$4), $A4, Jan!D$4:D$65), SUMIF(_xlfn.ANCHORARRAY(Feb!$B$4), $A4, Feb!D$4:D$78), SUMIF(_xlfn.ANCHORARRAY(Mar!$B$4), $A4, Mar!D$4:D$65))</f>
        <v>98630.98</v>
      </c>
      <c r="D4" s="11">
        <f>IF(AND(ISNUMBER(B4),ISNUMBER(C4)), B4-C4, "")</f>
        <v>-2170.1058308051579</v>
      </c>
      <c r="E4" s="12">
        <f>IFERROR(D4/C4, "")</f>
        <v>-2.2002273837339527E-2</v>
      </c>
      <c r="F4" s="13">
        <f>SUM(SUMIF(_xlfn.ANCHORARRAY(Jan!$B$4), $A4, Jan!G$4:G$65), SUMIF(_xlfn.ANCHORARRAY(Feb!$B$4), $A4, Feb!G$4:G$78), SUMIF(_xlfn.ANCHORARRAY(Mar!$B$4), $A4, Mar!G$4:G$65))</f>
        <v>92937.790000000008</v>
      </c>
      <c r="G4" s="13">
        <f>IF(AND(ISNUMBER(B4),ISNUMBER(F4)), B4-F4, "")</f>
        <v>3523.0841691948299</v>
      </c>
      <c r="H4" s="14">
        <f>IFERROR(G4/F4, "")</f>
        <v>3.7907983062593048E-2</v>
      </c>
    </row>
    <row r="5" spans="1:8" ht="15">
      <c r="A5" s="9" t="str">
        <v>CO</v>
      </c>
      <c r="B5" s="10">
        <f>SUM(SUMIF(_xlfn.ANCHORARRAY(Jan!$B$4), $A5, Jan!C$4:C$65), SUMIF(_xlfn.ANCHORARRAY(Feb!$B$4), $A5, Feb!C$4:C$78), SUMIF(_xlfn.ANCHORARRAY(Mar!$B$4), $A5, Mar!C$4:C$65))</f>
        <v>49254.600362056226</v>
      </c>
      <c r="C5" s="16">
        <f>SUM(SUMIF(_xlfn.ANCHORARRAY(Jan!$B$4), $A5, Jan!D$4:D$65), SUMIF(_xlfn.ANCHORARRAY(Feb!$B$4), $A5, Feb!D$4:D$78), SUMIF(_xlfn.ANCHORARRAY(Mar!$B$4), $A5, Mar!D$4:D$65))</f>
        <v>0</v>
      </c>
      <c r="D5" s="16">
        <f t="shared" ref="D5:D6" si="0">IF(AND(ISNUMBER(B5),ISNUMBER(C5)), B5-C5, "")</f>
        <v>49254.600362056226</v>
      </c>
      <c r="E5" s="17" t="str">
        <f>IFERROR(D5/C5, "")</f>
        <v/>
      </c>
      <c r="F5" s="16">
        <f>SUM(SUMIF(_xlfn.ANCHORARRAY(Jan!$B$4), $A5, Jan!G$4:G$65), SUMIF(_xlfn.ANCHORARRAY(Feb!$B$4), $A5, Feb!G$4:G$78), SUMIF(_xlfn.ANCHORARRAY(Mar!$B$4), $A5, Mar!G$4:G$65))</f>
        <v>58983.134999999995</v>
      </c>
      <c r="G5" s="16">
        <f>IF(AND(ISNUMBER(B5),ISNUMBER(F5)), B5-F5, "")</f>
        <v>-9728.5346379437688</v>
      </c>
      <c r="H5" s="17">
        <f>IFERROR(G5/F5, "")</f>
        <v>-0.16493756457576847</v>
      </c>
    </row>
    <row r="6" spans="1:8" ht="15">
      <c r="A6" s="8" t="str">
        <v>CT</v>
      </c>
      <c r="B6" s="22">
        <f>SUM(SUMIF(_xlfn.ANCHORARRAY(Jan!$B$4), $A6, Jan!C$4:C$65), SUMIF(_xlfn.ANCHORARRAY(Feb!$B$4), $A6, Feb!C$4:C$78), SUMIF(_xlfn.ANCHORARRAY(Mar!$B$4), $A6, Mar!C$4:C$65))</f>
        <v>1437.15027175254</v>
      </c>
      <c r="C6" s="11">
        <f>SUM(SUMIF(_xlfn.ANCHORARRAY(Jan!$B$4), $A6, Jan!D$4:D$65), SUMIF(_xlfn.ANCHORARRAY(Feb!$B$4), $A6, Feb!D$4:D$78), SUMIF(_xlfn.ANCHORARRAY(Mar!$B$4), $A6, Mar!D$4:D$65))</f>
        <v>3198.4032999999999</v>
      </c>
      <c r="D6" s="11">
        <f t="shared" si="0"/>
        <v>-1761.25302824746</v>
      </c>
      <c r="E6" s="12">
        <f t="shared" ref="E6:E11" si="1">IFERROR(D6/C6, "")</f>
        <v>-0.55066633662098208</v>
      </c>
      <c r="F6" s="13">
        <f>SUM(SUMIF(_xlfn.ANCHORARRAY(Jan!$B$4), $A6, Jan!G$4:G$65), SUMIF(_xlfn.ANCHORARRAY(Feb!$B$4), $A6, Feb!G$4:G$78), SUMIF(_xlfn.ANCHORARRAY(Mar!$B$4), $A6, Mar!G$4:G$65))</f>
        <v>2904.6053000000002</v>
      </c>
      <c r="G6" s="13">
        <f t="shared" ref="G6:G11" si="2">IF(AND(ISNUMBER(B6),ISNUMBER(F6)), B6-F6, "")</f>
        <v>-1467.4550282474602</v>
      </c>
      <c r="H6" s="14">
        <f t="shared" ref="H6:H11" si="3">IFERROR(G6/F6, "")</f>
        <v>-0.50521667375855162</v>
      </c>
    </row>
    <row r="7" spans="1:8" ht="15">
      <c r="A7" s="9" t="str">
        <v>FL</v>
      </c>
      <c r="B7" s="10">
        <f>SUM(SUMIF(_xlfn.ANCHORARRAY(Jan!$B$4), $A7, Jan!C$4:C$65), SUMIF(_xlfn.ANCHORARRAY(Feb!$B$4), $A7, Feb!C$4:C$78), SUMIF(_xlfn.ANCHORARRAY(Mar!$B$4), $A7, Mar!C$4:C$65))</f>
        <v>3427.8034604549398</v>
      </c>
      <c r="C7" s="16">
        <f>SUM(SUMIF(_xlfn.ANCHORARRAY(Jan!$B$4), $A7, Jan!D$4:D$65), SUMIF(_xlfn.ANCHORARRAY(Feb!$B$4), $A7, Feb!D$4:D$78), SUMIF(_xlfn.ANCHORARRAY(Mar!$B$4), $A7, Mar!D$4:D$65))</f>
        <v>9472.91</v>
      </c>
      <c r="D7" s="16">
        <f t="shared" ref="D7:D11" si="4">IF(AND(ISNUMBER(B7),ISNUMBER(C7)), B7-C7, "")</f>
        <v>-6045.1065395450605</v>
      </c>
      <c r="E7" s="17">
        <f t="shared" si="1"/>
        <v>-0.63814672994307564</v>
      </c>
      <c r="F7" s="16">
        <f>SUM(SUMIF(_xlfn.ANCHORARRAY(Jan!$B$4), $A7, Jan!G$4:G$65), SUMIF(_xlfn.ANCHORARRAY(Feb!$B$4), $A7, Feb!G$4:G$78), SUMIF(_xlfn.ANCHORARRAY(Mar!$B$4), $A7, Mar!G$4:G$65))</f>
        <v>12229.661</v>
      </c>
      <c r="G7" s="16">
        <f t="shared" si="2"/>
        <v>-8801.8575395450607</v>
      </c>
      <c r="H7" s="17">
        <f t="shared" si="3"/>
        <v>-0.71971394297397617</v>
      </c>
    </row>
    <row r="8" spans="1:8" ht="12.75" customHeight="1">
      <c r="A8" s="8" t="str">
        <v>IA</v>
      </c>
      <c r="B8" s="22">
        <f>SUM(SUMIF(_xlfn.ANCHORARRAY(Jan!$B$4), $A8, Jan!C$4:C$65), SUMIF(_xlfn.ANCHORARRAY(Feb!$B$4), $A8, Feb!C$4:C$78), SUMIF(_xlfn.ANCHORARRAY(Mar!$B$4), $A8, Mar!C$4:C$65))</f>
        <v>600256.9375</v>
      </c>
      <c r="C8" s="11">
        <f>SUM(SUMIF(_xlfn.ANCHORARRAY(Jan!$B$4), $A8, Jan!D$4:D$65), SUMIF(_xlfn.ANCHORARRAY(Feb!$B$4), $A8, Feb!D$4:D$78), SUMIF(_xlfn.ANCHORARRAY(Mar!$B$4), $A8, Mar!D$4:D$65))</f>
        <v>573354.79399999999</v>
      </c>
      <c r="D8" s="11">
        <f t="shared" si="4"/>
        <v>26902.143500000006</v>
      </c>
      <c r="E8" s="12">
        <f t="shared" si="1"/>
        <v>4.6920587010911091E-2</v>
      </c>
      <c r="F8" s="13">
        <f>SUM(SUMIF(_xlfn.ANCHORARRAY(Jan!$B$4), $A8, Jan!G$4:G$65), SUMIF(_xlfn.ANCHORARRAY(Feb!$B$4), $A8, Feb!G$4:G$78), SUMIF(_xlfn.ANCHORARRAY(Mar!$B$4), $A8, Mar!G$4:G$65))</f>
        <v>641026.38699999999</v>
      </c>
      <c r="G8" s="13">
        <f t="shared" si="2"/>
        <v>-40769.449499999988</v>
      </c>
      <c r="H8" s="14">
        <f t="shared" si="3"/>
        <v>-6.3600267207097022E-2</v>
      </c>
    </row>
    <row r="9" spans="1:8" ht="15">
      <c r="A9" s="9" t="str">
        <v>NC</v>
      </c>
      <c r="B9" s="10">
        <f>SUM(SUMIF(_xlfn.ANCHORARRAY(Jan!$B$4), $A9, Jan!C$4:C$65), SUMIF(_xlfn.ANCHORARRAY(Feb!$B$4), $A9, Feb!C$4:C$78), SUMIF(_xlfn.ANCHORARRAY(Mar!$B$4), $A9, Mar!C$4:C$65))</f>
        <v>102107</v>
      </c>
      <c r="C9" s="16">
        <f>SUM(SUMIF(_xlfn.ANCHORARRAY(Jan!$B$4), $A9, Jan!D$4:D$65), SUMIF(_xlfn.ANCHORARRAY(Feb!$B$4), $A9, Feb!D$4:D$78), SUMIF(_xlfn.ANCHORARRAY(Mar!$B$4), $A9, Mar!D$4:D$65))</f>
        <v>266710</v>
      </c>
      <c r="D9" s="16">
        <f t="shared" si="4"/>
        <v>-164603</v>
      </c>
      <c r="E9" s="17">
        <f t="shared" si="1"/>
        <v>-0.61716096134378162</v>
      </c>
      <c r="F9" s="16">
        <f>SUM(SUMIF(_xlfn.ANCHORARRAY(Jan!$B$4), $A9, Jan!G$4:G$65), SUMIF(_xlfn.ANCHORARRAY(Feb!$B$4), $A9, Feb!G$4:G$78), SUMIF(_xlfn.ANCHORARRAY(Mar!$B$4), $A9, Mar!G$4:G$65))</f>
        <v>336745</v>
      </c>
      <c r="G9" s="16">
        <f t="shared" si="2"/>
        <v>-234638</v>
      </c>
      <c r="H9" s="17">
        <f t="shared" si="3"/>
        <v>-0.69678243181042032</v>
      </c>
    </row>
    <row r="10" spans="1:8" ht="15">
      <c r="A10" s="8" t="str">
        <v>NJ</v>
      </c>
      <c r="B10" s="22">
        <f>SUM(SUMIF(_xlfn.ANCHORARRAY(Jan!$B$4), $A10, Jan!C$4:C$65), SUMIF(_xlfn.ANCHORARRAY(Feb!$B$4), $A10, Feb!C$4:C$78), SUMIF(_xlfn.ANCHORARRAY(Mar!$B$4), $A10, Mar!C$4:C$65))</f>
        <v>152779.90282149997</v>
      </c>
      <c r="C10" s="11">
        <f>SUM(SUMIF(_xlfn.ANCHORARRAY(Jan!$B$4), $A10, Jan!D$4:D$65), SUMIF(_xlfn.ANCHORARRAY(Feb!$B$4), $A10, Feb!D$4:D$78), SUMIF(_xlfn.ANCHORARRAY(Mar!$B$4), $A10, Mar!D$4:D$65))</f>
        <v>157231.97099999999</v>
      </c>
      <c r="D10" s="11">
        <f t="shared" si="4"/>
        <v>-4452.0681785000197</v>
      </c>
      <c r="E10" s="12">
        <f t="shared" si="1"/>
        <v>-2.8315285690211311E-2</v>
      </c>
      <c r="F10" s="13">
        <f>SUM(SUMIF(_xlfn.ANCHORARRAY(Jan!$B$4), $A10, Jan!G$4:G$65), SUMIF(_xlfn.ANCHORARRAY(Feb!$B$4), $A10, Feb!G$4:G$78), SUMIF(_xlfn.ANCHORARRAY(Mar!$B$4), $A10, Mar!G$4:G$65))</f>
        <v>166141.62250000003</v>
      </c>
      <c r="G10" s="13">
        <f t="shared" si="2"/>
        <v>-13361.719678500056</v>
      </c>
      <c r="H10" s="14">
        <f t="shared" si="3"/>
        <v>-8.0423673956236064E-2</v>
      </c>
    </row>
    <row r="11" spans="1:8" ht="15">
      <c r="A11" s="9" t="str">
        <v>TX</v>
      </c>
      <c r="B11" s="10">
        <f>SUM(SUMIF(_xlfn.ANCHORARRAY(Jan!$B$4), $A11, Jan!C$4:C$65), SUMIF(_xlfn.ANCHORARRAY(Feb!$B$4), $A11, Feb!C$4:C$78), SUMIF(_xlfn.ANCHORARRAY(Mar!$B$4), $A11, Mar!C$4:C$65))</f>
        <v>1016560.38</v>
      </c>
      <c r="C11" s="16">
        <f>SUM(SUMIF(_xlfn.ANCHORARRAY(Jan!$B$4), $A11, Jan!D$4:D$65), SUMIF(_xlfn.ANCHORARRAY(Feb!$B$4), $A11, Feb!D$4:D$78), SUMIF(_xlfn.ANCHORARRAY(Mar!$B$4), $A11, Mar!D$4:D$65))</f>
        <v>1150826.2</v>
      </c>
      <c r="D11" s="16">
        <f t="shared" si="4"/>
        <v>-134265.81999999995</v>
      </c>
      <c r="E11" s="17">
        <f t="shared" si="1"/>
        <v>-0.11666906784013081</v>
      </c>
      <c r="F11" s="16">
        <f>SUM(SUMIF(_xlfn.ANCHORARRAY(Jan!$B$4), $A11, Jan!G$4:G$65), SUMIF(_xlfn.ANCHORARRAY(Feb!$B$4), $A11, Feb!G$4:G$78), SUMIF(_xlfn.ANCHORARRAY(Mar!$B$4), $A11, Mar!G$4:G$65))</f>
        <v>1745306.3459999999</v>
      </c>
      <c r="G11" s="16">
        <f t="shared" si="2"/>
        <v>-728745.9659999999</v>
      </c>
      <c r="H11" s="17">
        <f t="shared" si="3"/>
        <v>-0.41754616183582016</v>
      </c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20"/>
      <c r="F23" s="19"/>
      <c r="G23" s="19"/>
      <c r="H23" s="20"/>
    </row>
    <row r="24" spans="1:8">
      <c r="A24" s="19"/>
      <c r="B24" s="19"/>
      <c r="C24" s="19"/>
      <c r="D24" s="19"/>
      <c r="E24" s="20"/>
      <c r="F24" s="19"/>
      <c r="G24" s="19"/>
      <c r="H24" s="20"/>
    </row>
    <row r="25" spans="1:8">
      <c r="A25" s="19"/>
      <c r="B25" s="19"/>
      <c r="C25" s="19"/>
      <c r="D25" s="19"/>
      <c r="E25" s="20"/>
      <c r="F25" s="19"/>
      <c r="G25" s="19"/>
      <c r="H25" s="20"/>
    </row>
    <row r="26" spans="1:8">
      <c r="A26" s="19"/>
      <c r="B26" s="19"/>
      <c r="C26" s="19"/>
      <c r="D26" s="19"/>
      <c r="E26" s="20"/>
      <c r="F26" s="19"/>
      <c r="G26" s="19"/>
      <c r="H26" s="20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54" priority="1" stopIfTrue="1" operator="lessThanOrEqual">
      <formula>-0.1</formula>
    </cfRule>
    <cfRule type="expression" dxfId="53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</cols>
  <sheetData>
    <row r="1" spans="1:8" ht="19.5" customHeight="1">
      <c r="A1" s="60" t="str" cm="1">
        <f t="array" ref="A1">portfolio</f>
        <v>Wells Fargo</v>
      </c>
      <c r="B1" s="61"/>
      <c r="C1" s="62" t="s">
        <v>12</v>
      </c>
      <c r="D1" s="63"/>
      <c r="E1" s="64"/>
      <c r="F1" s="65" t="s">
        <v>13</v>
      </c>
      <c r="G1" s="66"/>
      <c r="H1" s="67"/>
    </row>
    <row r="2" spans="1:8" ht="19.5" customHeight="1">
      <c r="A2" s="42" t="s">
        <v>2</v>
      </c>
      <c r="B2" s="4">
        <f>SUM(B4:B85)</f>
        <v>0</v>
      </c>
      <c r="C2" s="4">
        <f>SUM(C4:C85)</f>
        <v>0</v>
      </c>
      <c r="D2" s="4">
        <f>B2-C2</f>
        <v>0</v>
      </c>
      <c r="E2" s="5">
        <f>IFERROR(D2/C2, 0)</f>
        <v>0</v>
      </c>
      <c r="F2" s="4">
        <f>SUM(F4:F85)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SUM(SUMIF(_xlfn.ANCHORARRAY(Apr!$B$4), $A4, Apr!C$4:C$78), SUMIF(_xlfn.ANCHORARRAY(May!$B$4), $A4, May!C$4:C$78), SUMIF(_xlfn.ANCHORARRAY(Jun!$B$4), $A4, Jun!C$4:C$78))</f>
        <v>0</v>
      </c>
      <c r="C4" s="11">
        <f>SUM(SUMIF(_xlfn.ANCHORARRAY(Apr!$B$4), $A4, Apr!D$4:D$78), SUMIF(_xlfn.ANCHORARRAY(May!$B$4), $A4, May!D$4:D$78), SUMIF(_xlfn.ANCHORARRAY(Jun!$B$4), $A4, Jun!D$4:D$78))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SUM(SUMIF(_xlfn.ANCHORARRAY(Apr!$B$4), $A4, Apr!G$4:G$78), SUMIF(_xlfn.ANCHORARRAY(May!$B$4), $A4, May!G$4:G$78), SUMIF(_xlfn.ANCHORARRAY(Jun!$B$4), $A4, Jun!G$4:G$78))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5">
      <c r="A5" s="9" t="str">
        <v>CO</v>
      </c>
      <c r="B5" s="10">
        <f>SUM(SUMIF(_xlfn.ANCHORARRAY(Apr!$B$4), $A5, Apr!C$4:C$78), SUMIF(_xlfn.ANCHORARRAY(May!$B$4), $A5, May!C$4:C$78), SUMIF(_xlfn.ANCHORARRAY(Jun!$B$4), $A5, Jun!C$4:C$78))</f>
        <v>0</v>
      </c>
      <c r="C5" s="16">
        <f>SUM(SUMIF(_xlfn.ANCHORARRAY(Apr!$B$4), $A5, Apr!D$4:D$78), SUMIF(_xlfn.ANCHORARRAY(May!$B$4), $A5, May!D$4:D$78), SUMIF(_xlfn.ANCHORARRAY(Jun!$B$4), $A5, Jun!D$4:D$78))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SUM(SUMIF(_xlfn.ANCHORARRAY(Apr!$B$4), $A5, Apr!G$4:G$78), SUMIF(_xlfn.ANCHORARRAY(May!$B$4), $A5, May!G$4:G$78), SUMIF(_xlfn.ANCHORARRAY(Jun!$B$4), $A5, Jun!G$4:G$78))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5">
      <c r="A6" s="8" t="str">
        <v>CT</v>
      </c>
      <c r="B6" s="22">
        <f>SUM(SUMIF(_xlfn.ANCHORARRAY(Apr!$B$4), $A6, Apr!C$4:C$78), SUMIF(_xlfn.ANCHORARRAY(May!$B$4), $A6, May!C$4:C$78), SUMIF(_xlfn.ANCHORARRAY(Jun!$B$4), $A6, Jun!C$4:C$78))</f>
        <v>0</v>
      </c>
      <c r="C6" s="11">
        <f>SUM(SUMIF(_xlfn.ANCHORARRAY(Apr!$B$4), $A6, Apr!D$4:D$78), SUMIF(_xlfn.ANCHORARRAY(May!$B$4), $A6, May!D$4:D$78), SUMIF(_xlfn.ANCHORARRAY(Jun!$B$4), $A6, Jun!D$4:D$78))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SUM(SUMIF(_xlfn.ANCHORARRAY(Apr!$B$4), $A6, Apr!G$4:G$78), SUMIF(_xlfn.ANCHORARRAY(May!$B$4), $A6, May!G$4:G$78), SUMIF(_xlfn.ANCHORARRAY(Jun!$B$4), $A6, Jun!G$4:G$78))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5">
      <c r="A7" s="9" t="str">
        <v>FL</v>
      </c>
      <c r="B7" s="10">
        <f>SUM(SUMIF(_xlfn.ANCHORARRAY(Apr!$B$4), $A7, Apr!C$4:C$78), SUMIF(_xlfn.ANCHORARRAY(May!$B$4), $A7, May!C$4:C$78), SUMIF(_xlfn.ANCHORARRAY(Jun!$B$4), $A7, Jun!C$4:C$78))</f>
        <v>0</v>
      </c>
      <c r="C7" s="16">
        <f>SUM(SUMIF(_xlfn.ANCHORARRAY(Apr!$B$4), $A7, Apr!D$4:D$78), SUMIF(_xlfn.ANCHORARRAY(May!$B$4), $A7, May!D$4:D$78), SUMIF(_xlfn.ANCHORARRAY(Jun!$B$4), $A7, Jun!D$4:D$78))</f>
        <v>0</v>
      </c>
      <c r="D7" s="16">
        <f t="shared" si="0"/>
        <v>0</v>
      </c>
      <c r="E7" s="17" t="str">
        <f t="shared" si="1"/>
        <v/>
      </c>
      <c r="F7" s="16">
        <f>SUM(SUMIF(_xlfn.ANCHORARRAY(Apr!$B$4), $A7, Apr!G$4:G$78), SUMIF(_xlfn.ANCHORARRAY(May!$B$4), $A7, May!G$4:G$78), SUMIF(_xlfn.ANCHORARRAY(Jun!$B$4), $A7, Jun!G$4:G$78))</f>
        <v>0</v>
      </c>
      <c r="G7" s="16">
        <f t="shared" si="2"/>
        <v>0</v>
      </c>
      <c r="H7" s="17" t="str">
        <f t="shared" si="3"/>
        <v/>
      </c>
    </row>
    <row r="8" spans="1:8" ht="15">
      <c r="A8" s="8" t="str">
        <v>IA</v>
      </c>
      <c r="B8" s="22">
        <f>SUM(SUMIF(_xlfn.ANCHORARRAY(Apr!$B$4), $A8, Apr!C$4:C$78), SUMIF(_xlfn.ANCHORARRAY(May!$B$4), $A8, May!C$4:C$78), SUMIF(_xlfn.ANCHORARRAY(Jun!$B$4), $A8, Jun!C$4:C$78))</f>
        <v>0</v>
      </c>
      <c r="C8" s="11">
        <f>SUM(SUMIF(_xlfn.ANCHORARRAY(Apr!$B$4), $A8, Apr!D$4:D$78), SUMIF(_xlfn.ANCHORARRAY(May!$B$4), $A8, May!D$4:D$78), SUMIF(_xlfn.ANCHORARRAY(Jun!$B$4), $A8, Jun!D$4:D$78))</f>
        <v>0</v>
      </c>
      <c r="D8" s="11">
        <f t="shared" si="0"/>
        <v>0</v>
      </c>
      <c r="E8" s="12" t="str">
        <f t="shared" si="1"/>
        <v/>
      </c>
      <c r="F8" s="13">
        <f>SUM(SUMIF(_xlfn.ANCHORARRAY(Apr!$B$4), $A8, Apr!G$4:G$78), SUMIF(_xlfn.ANCHORARRAY(May!$B$4), $A8, May!G$4:G$78), SUMIF(_xlfn.ANCHORARRAY(Jun!$B$4), $A8, Jun!G$4:G$78))</f>
        <v>0</v>
      </c>
      <c r="G8" s="13">
        <f t="shared" si="2"/>
        <v>0</v>
      </c>
      <c r="H8" s="14" t="str">
        <f t="shared" si="3"/>
        <v/>
      </c>
    </row>
    <row r="9" spans="1:8" ht="15">
      <c r="A9" s="9" t="str">
        <v>NC</v>
      </c>
      <c r="B9" s="10">
        <f>SUM(SUMIF(_xlfn.ANCHORARRAY(Apr!$B$4), $A9, Apr!C$4:C$78), SUMIF(_xlfn.ANCHORARRAY(May!$B$4), $A9, May!C$4:C$78), SUMIF(_xlfn.ANCHORARRAY(Jun!$B$4), $A9, Jun!C$4:C$78))</f>
        <v>0</v>
      </c>
      <c r="C9" s="16">
        <f>SUM(SUMIF(_xlfn.ANCHORARRAY(Apr!$B$4), $A9, Apr!D$4:D$78), SUMIF(_xlfn.ANCHORARRAY(May!$B$4), $A9, May!D$4:D$78), SUMIF(_xlfn.ANCHORARRAY(Jun!$B$4), $A9, Jun!D$4:D$78))</f>
        <v>0</v>
      </c>
      <c r="D9" s="16">
        <f t="shared" si="0"/>
        <v>0</v>
      </c>
      <c r="E9" s="17" t="str">
        <f t="shared" si="1"/>
        <v/>
      </c>
      <c r="F9" s="16">
        <f>SUM(SUMIF(_xlfn.ANCHORARRAY(Apr!$B$4), $A9, Apr!G$4:G$78), SUMIF(_xlfn.ANCHORARRAY(May!$B$4), $A9, May!G$4:G$78), SUMIF(_xlfn.ANCHORARRAY(Jun!$B$4), $A9, Jun!G$4:G$78))</f>
        <v>0</v>
      </c>
      <c r="G9" s="16">
        <f t="shared" si="2"/>
        <v>0</v>
      </c>
      <c r="H9" s="17" t="str">
        <f t="shared" si="3"/>
        <v/>
      </c>
    </row>
    <row r="10" spans="1:8" ht="15">
      <c r="A10" s="8" t="str">
        <v>NJ</v>
      </c>
      <c r="B10" s="22">
        <f>SUM(SUMIF(_xlfn.ANCHORARRAY(Apr!$B$4), $A10, Apr!C$4:C$78), SUMIF(_xlfn.ANCHORARRAY(May!$B$4), $A10, May!C$4:C$78), SUMIF(_xlfn.ANCHORARRAY(Jun!$B$4), $A10, Jun!C$4:C$78))</f>
        <v>0</v>
      </c>
      <c r="C10" s="11">
        <f>SUM(SUMIF(_xlfn.ANCHORARRAY(Apr!$B$4), $A10, Apr!D$4:D$78), SUMIF(_xlfn.ANCHORARRAY(May!$B$4), $A10, May!D$4:D$78), SUMIF(_xlfn.ANCHORARRAY(Jun!$B$4), $A10, Jun!D$4:D$78))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SUM(SUMIF(_xlfn.ANCHORARRAY(Apr!$B$4), $A10, Apr!G$4:G$78), SUMIF(_xlfn.ANCHORARRAY(May!$B$4), $A10, May!G$4:G$78), SUMIF(_xlfn.ANCHORARRAY(Jun!$B$4), $A10, Jun!G$4:G$78))</f>
        <v>0</v>
      </c>
      <c r="G10" s="13">
        <f t="shared" si="2"/>
        <v>0</v>
      </c>
      <c r="H10" s="14" t="str">
        <f t="shared" si="3"/>
        <v/>
      </c>
    </row>
    <row r="11" spans="1:8" ht="15">
      <c r="A11" s="9" t="str">
        <v>TX</v>
      </c>
      <c r="B11" s="10">
        <f>SUM(SUMIF(_xlfn.ANCHORARRAY(Apr!$B$4), $A11, Apr!C$4:C$78), SUMIF(_xlfn.ANCHORARRAY(May!$B$4), $A11, May!C$4:C$78), SUMIF(_xlfn.ANCHORARRAY(Jun!$B$4), $A11, Jun!C$4:C$78))</f>
        <v>0</v>
      </c>
      <c r="C11" s="16">
        <f>SUM(SUMIF(_xlfn.ANCHORARRAY(Apr!$B$4), $A11, Apr!D$4:D$78), SUMIF(_xlfn.ANCHORARRAY(May!$B$4), $A11, May!D$4:D$78), SUMIF(_xlfn.ANCHORARRAY(Jun!$B$4), $A11, Jun!D$4:D$78))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SUM(SUMIF(_xlfn.ANCHORARRAY(Apr!$B$4), $A11, Apr!G$4:G$78), SUMIF(_xlfn.ANCHORARRAY(May!$B$4), $A11, May!G$4:G$78), SUMIF(_xlfn.ANCHORARRAY(Jun!$B$4), $A11, Jun!G$4:G$78))</f>
        <v>0</v>
      </c>
      <c r="G11" s="16">
        <f t="shared" si="2"/>
        <v>0</v>
      </c>
      <c r="H11" s="17" t="str">
        <f t="shared" si="3"/>
        <v/>
      </c>
    </row>
    <row r="12" spans="1:8" ht="15.75">
      <c r="A12" s="15"/>
      <c r="B12" s="9"/>
      <c r="C12" s="10"/>
      <c r="D12" s="16"/>
      <c r="E12" s="16"/>
      <c r="F12" s="17"/>
      <c r="G12" s="18"/>
      <c r="H12" s="18"/>
    </row>
    <row r="13" spans="1:8" ht="12.75" customHeight="1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  <row r="26" spans="1:8">
      <c r="A26" s="19"/>
      <c r="B26" s="19"/>
      <c r="C26" s="19"/>
      <c r="D26" s="19"/>
      <c r="E26" s="19"/>
      <c r="F26" s="19"/>
      <c r="G26" s="19"/>
      <c r="H26" s="19"/>
    </row>
    <row r="27" spans="1:8">
      <c r="A27" s="19"/>
      <c r="B27" s="19"/>
      <c r="C27" s="19"/>
      <c r="D27" s="19"/>
      <c r="E27" s="19"/>
      <c r="F27" s="19"/>
      <c r="G27" s="19"/>
      <c r="H27" s="19"/>
    </row>
    <row r="28" spans="1:8">
      <c r="A28" s="19"/>
      <c r="B28" s="19"/>
      <c r="C28" s="19"/>
      <c r="D28" s="19"/>
      <c r="E28" s="19"/>
      <c r="F28" s="20"/>
      <c r="G28" s="19"/>
      <c r="H28" s="19"/>
    </row>
    <row r="29" spans="1:8">
      <c r="A29" s="19"/>
      <c r="B29" s="19"/>
      <c r="C29" s="19"/>
      <c r="D29" s="19"/>
      <c r="E29" s="19"/>
      <c r="F29" s="20"/>
      <c r="G29" s="19"/>
      <c r="H29" s="19"/>
    </row>
    <row r="30" spans="1:8">
      <c r="A30" s="19"/>
      <c r="B30" s="19"/>
      <c r="C30" s="19"/>
      <c r="D30" s="19"/>
      <c r="E30" s="19"/>
      <c r="F30" s="20"/>
      <c r="G30" s="19"/>
      <c r="H30" s="19"/>
    </row>
    <row r="31" spans="1:8">
      <c r="A31" s="19"/>
      <c r="B31" s="19"/>
      <c r="C31" s="19"/>
      <c r="D31" s="19"/>
      <c r="E31" s="19"/>
      <c r="F31" s="20"/>
      <c r="G31" s="19"/>
      <c r="H31" s="19"/>
    </row>
    <row r="32" spans="1:8">
      <c r="A32" s="19"/>
      <c r="B32" s="19"/>
      <c r="C32" s="19"/>
      <c r="D32" s="19"/>
      <c r="E32" s="19"/>
      <c r="F32" s="20"/>
      <c r="G32" s="19"/>
      <c r="H32" s="19"/>
    </row>
    <row r="33" spans="1:8">
      <c r="A33" s="19"/>
      <c r="B33" s="19"/>
      <c r="C33" s="19"/>
      <c r="D33" s="19"/>
      <c r="E33" s="19"/>
      <c r="F33" s="20"/>
      <c r="G33" s="19"/>
      <c r="H33" s="19"/>
    </row>
    <row r="34" spans="1:8">
      <c r="A34" s="19"/>
      <c r="B34" s="19"/>
      <c r="C34" s="19"/>
      <c r="D34" s="19"/>
      <c r="E34" s="19"/>
      <c r="F34" s="20"/>
      <c r="G34" s="19"/>
      <c r="H34" s="19"/>
    </row>
    <row r="35" spans="1:8">
      <c r="A35" s="19"/>
      <c r="B35" s="19"/>
      <c r="C35" s="19"/>
      <c r="D35" s="19"/>
      <c r="E35" s="19"/>
      <c r="F35" s="20"/>
      <c r="G35" s="19"/>
      <c r="H35" s="19"/>
    </row>
    <row r="36" spans="1:8">
      <c r="A36" s="19"/>
      <c r="B36" s="19"/>
      <c r="C36" s="19"/>
      <c r="D36" s="19"/>
      <c r="E36" s="19"/>
      <c r="F36" s="20"/>
      <c r="G36" s="19"/>
      <c r="H36" s="19"/>
    </row>
    <row r="37" spans="1:8">
      <c r="A37" s="19"/>
      <c r="B37" s="19"/>
      <c r="C37" s="19"/>
      <c r="D37" s="19"/>
      <c r="E37" s="19"/>
      <c r="F37" s="20"/>
      <c r="G37" s="19"/>
      <c r="H37" s="19"/>
    </row>
    <row r="38" spans="1:8">
      <c r="A38" s="19"/>
      <c r="B38" s="19"/>
      <c r="C38" s="19"/>
      <c r="D38" s="19"/>
      <c r="E38" s="19"/>
      <c r="F38" s="20"/>
      <c r="G38" s="19"/>
      <c r="H38" s="19"/>
    </row>
    <row r="39" spans="1:8">
      <c r="A39" s="19"/>
      <c r="B39" s="19"/>
      <c r="C39" s="19"/>
      <c r="D39" s="19"/>
      <c r="E39" s="19"/>
      <c r="F39" s="20"/>
      <c r="G39" s="19"/>
      <c r="H39" s="19"/>
    </row>
    <row r="40" spans="1:8">
      <c r="A40" s="19"/>
      <c r="B40" s="19"/>
      <c r="C40" s="19"/>
      <c r="D40" s="19"/>
      <c r="E40" s="19"/>
      <c r="F40" s="20"/>
      <c r="G40" s="19"/>
      <c r="H40" s="19"/>
    </row>
    <row r="41" spans="1:8">
      <c r="A41" s="19"/>
      <c r="B41" s="19"/>
      <c r="C41" s="19"/>
      <c r="D41" s="19"/>
      <c r="E41" s="19"/>
      <c r="F41" s="20"/>
      <c r="G41" s="19"/>
      <c r="H41" s="19"/>
    </row>
    <row r="42" spans="1:8">
      <c r="A42" s="19"/>
      <c r="B42" s="19"/>
      <c r="C42" s="19"/>
      <c r="D42" s="19"/>
      <c r="E42" s="19"/>
      <c r="F42" s="20"/>
      <c r="G42" s="19"/>
      <c r="H42" s="19"/>
    </row>
    <row r="43" spans="1:8">
      <c r="A43" s="19"/>
      <c r="B43" s="19"/>
      <c r="C43" s="19"/>
      <c r="D43" s="19"/>
      <c r="E43" s="19"/>
      <c r="F43" s="20"/>
      <c r="G43" s="19"/>
      <c r="H43" s="19"/>
    </row>
    <row r="44" spans="1:8">
      <c r="A44" s="19"/>
      <c r="B44" s="19"/>
      <c r="C44" s="19"/>
      <c r="D44" s="19"/>
      <c r="E44" s="19"/>
      <c r="F44" s="20"/>
      <c r="G44" s="19"/>
      <c r="H44" s="19"/>
    </row>
    <row r="45" spans="1:8">
      <c r="A45" s="19"/>
      <c r="B45" s="19"/>
      <c r="C45" s="19"/>
      <c r="D45" s="19"/>
      <c r="E45" s="19"/>
      <c r="F45" s="20"/>
      <c r="G45" s="19"/>
      <c r="H45" s="19"/>
    </row>
    <row r="46" spans="1:8">
      <c r="A46" s="19"/>
      <c r="B46" s="19"/>
      <c r="C46" s="19"/>
      <c r="D46" s="19"/>
      <c r="E46" s="19"/>
      <c r="F46" s="20"/>
      <c r="G46" s="19"/>
      <c r="H46" s="19"/>
    </row>
    <row r="47" spans="1:8">
      <c r="A47" s="19"/>
      <c r="B47" s="19"/>
      <c r="C47" s="19"/>
      <c r="D47" s="19"/>
      <c r="E47" s="19"/>
      <c r="F47" s="20"/>
      <c r="G47" s="19"/>
      <c r="H47" s="19"/>
    </row>
    <row r="48" spans="1:8">
      <c r="A48" s="19"/>
      <c r="B48" s="19"/>
      <c r="C48" s="19"/>
      <c r="D48" s="19"/>
      <c r="E48" s="19"/>
      <c r="F48" s="20"/>
      <c r="G48" s="19"/>
      <c r="H48" s="19"/>
    </row>
    <row r="49" spans="1:8">
      <c r="A49" s="19"/>
      <c r="B49" s="19"/>
      <c r="C49" s="19"/>
      <c r="D49" s="19"/>
      <c r="E49" s="19"/>
      <c r="F49" s="20"/>
      <c r="G49" s="19"/>
      <c r="H49" s="19"/>
    </row>
    <row r="50" spans="1:8">
      <c r="A50" s="19"/>
      <c r="B50" s="19"/>
      <c r="C50" s="19"/>
      <c r="D50" s="19"/>
      <c r="E50" s="19"/>
      <c r="F50" s="20"/>
      <c r="G50" s="19"/>
      <c r="H50" s="19"/>
    </row>
    <row r="51" spans="1:8">
      <c r="A51" s="19"/>
      <c r="B51" s="19"/>
      <c r="C51" s="19"/>
      <c r="D51" s="19"/>
      <c r="E51" s="19"/>
      <c r="F51" s="20"/>
      <c r="G51" s="19"/>
      <c r="H51" s="19"/>
    </row>
    <row r="52" spans="1:8">
      <c r="A52" s="19"/>
      <c r="B52" s="19"/>
      <c r="C52" s="19"/>
      <c r="D52" s="19"/>
      <c r="E52" s="19"/>
      <c r="F52" s="20"/>
      <c r="G52" s="19"/>
      <c r="H52" s="19"/>
    </row>
    <row r="53" spans="1:8">
      <c r="A53" s="19"/>
      <c r="B53" s="19"/>
      <c r="C53" s="19"/>
      <c r="D53" s="19"/>
      <c r="E53" s="19"/>
      <c r="F53" s="20"/>
      <c r="G53" s="19"/>
      <c r="H53" s="19"/>
    </row>
    <row r="54" spans="1:8">
      <c r="A54" s="19"/>
      <c r="B54" s="19"/>
      <c r="C54" s="19"/>
      <c r="D54" s="19"/>
      <c r="E54" s="19"/>
      <c r="F54" s="20"/>
      <c r="G54" s="19"/>
      <c r="H54" s="19"/>
    </row>
    <row r="55" spans="1:8">
      <c r="A55" s="19"/>
      <c r="B55" s="19"/>
      <c r="C55" s="19"/>
      <c r="D55" s="19"/>
      <c r="E55" s="19"/>
      <c r="F55" s="20"/>
      <c r="G55" s="19"/>
      <c r="H55" s="19"/>
    </row>
    <row r="56" spans="1:8">
      <c r="A56" s="19"/>
      <c r="B56" s="19"/>
      <c r="C56" s="19"/>
      <c r="D56" s="19"/>
      <c r="E56" s="19"/>
      <c r="F56" s="20"/>
      <c r="G56" s="19"/>
      <c r="H56" s="19"/>
    </row>
    <row r="57" spans="1:8">
      <c r="A57" s="19"/>
      <c r="B57" s="19"/>
      <c r="C57" s="19"/>
      <c r="D57" s="19"/>
      <c r="E57" s="19"/>
      <c r="F57" s="20"/>
      <c r="G57" s="19"/>
      <c r="H57" s="19"/>
    </row>
    <row r="58" spans="1:8">
      <c r="A58" s="19"/>
      <c r="B58" s="19"/>
      <c r="C58" s="19"/>
      <c r="D58" s="19"/>
      <c r="E58" s="19"/>
      <c r="F58" s="20"/>
      <c r="G58" s="19"/>
      <c r="H58" s="19"/>
    </row>
    <row r="59" spans="1:8">
      <c r="A59" s="19"/>
      <c r="B59" s="19"/>
      <c r="C59" s="19"/>
      <c r="D59" s="19"/>
      <c r="E59" s="19"/>
      <c r="F59" s="20"/>
      <c r="G59" s="19"/>
      <c r="H59" s="19"/>
    </row>
    <row r="60" spans="1:8">
      <c r="A60" s="19"/>
      <c r="B60" s="19"/>
      <c r="C60" s="19"/>
      <c r="D60" s="19"/>
      <c r="E60" s="19"/>
      <c r="F60" s="20"/>
      <c r="G60" s="19"/>
      <c r="H60" s="19"/>
    </row>
    <row r="61" spans="1:8">
      <c r="A61" s="19"/>
      <c r="B61" s="19"/>
      <c r="C61" s="19"/>
      <c r="D61" s="19"/>
      <c r="E61" s="19"/>
      <c r="F61" s="20"/>
      <c r="G61" s="19"/>
      <c r="H61" s="19"/>
    </row>
    <row r="62" spans="1:8">
      <c r="A62" s="19"/>
      <c r="B62" s="19"/>
      <c r="C62" s="19"/>
      <c r="D62" s="19"/>
      <c r="E62" s="19"/>
      <c r="F62" s="20"/>
      <c r="G62" s="19"/>
      <c r="H62" s="19"/>
    </row>
    <row r="63" spans="1:8">
      <c r="A63" s="19"/>
      <c r="B63" s="19"/>
      <c r="C63" s="19"/>
      <c r="D63" s="19"/>
      <c r="E63" s="19"/>
      <c r="F63" s="20"/>
      <c r="G63" s="19"/>
      <c r="H63" s="19"/>
    </row>
    <row r="64" spans="1:8">
      <c r="A64" s="19"/>
      <c r="B64" s="19"/>
      <c r="C64" s="19"/>
      <c r="D64" s="19"/>
      <c r="E64" s="19"/>
      <c r="F64" s="20"/>
      <c r="G64" s="19"/>
      <c r="H64" s="19"/>
    </row>
    <row r="65" spans="1:8">
      <c r="A65" s="19"/>
      <c r="B65" s="19"/>
      <c r="C65" s="19"/>
      <c r="D65" s="19"/>
      <c r="E65" s="19"/>
      <c r="F65" s="20"/>
      <c r="G65" s="19"/>
      <c r="H65" s="19"/>
    </row>
    <row r="66" spans="1:8">
      <c r="A66" s="19"/>
      <c r="B66" s="19"/>
      <c r="C66" s="19"/>
      <c r="D66" s="19"/>
      <c r="E66" s="19"/>
      <c r="F66" s="20"/>
      <c r="G66" s="19"/>
      <c r="H66" s="19"/>
    </row>
    <row r="67" spans="1:8">
      <c r="A67" s="19"/>
      <c r="B67" s="19"/>
      <c r="C67" s="19"/>
      <c r="D67" s="19"/>
      <c r="E67" s="19"/>
      <c r="F67" s="20"/>
      <c r="G67" s="19"/>
      <c r="H67" s="19"/>
    </row>
    <row r="68" spans="1:8">
      <c r="A68" s="19"/>
      <c r="B68" s="19"/>
      <c r="C68" s="19"/>
      <c r="D68" s="19"/>
      <c r="E68" s="19"/>
      <c r="F68" s="20"/>
      <c r="G68" s="19"/>
      <c r="H68" s="19"/>
    </row>
    <row r="69" spans="1:8">
      <c r="A69" s="19"/>
      <c r="B69" s="19"/>
      <c r="C69" s="19"/>
      <c r="D69" s="19"/>
      <c r="E69" s="19"/>
      <c r="F69" s="20"/>
      <c r="G69" s="19"/>
      <c r="H69" s="19"/>
    </row>
    <row r="70" spans="1:8">
      <c r="A70" s="19"/>
      <c r="B70" s="19"/>
      <c r="C70" s="19"/>
      <c r="D70" s="19"/>
      <c r="E70" s="19"/>
      <c r="F70" s="20"/>
      <c r="G70" s="19"/>
      <c r="H70" s="19"/>
    </row>
    <row r="71" spans="1:8">
      <c r="A71" s="19"/>
      <c r="B71" s="19"/>
      <c r="C71" s="19"/>
      <c r="D71" s="19"/>
      <c r="E71" s="19"/>
      <c r="F71" s="20"/>
      <c r="G71" s="19"/>
      <c r="H71" s="19"/>
    </row>
    <row r="72" spans="1:8">
      <c r="A72" s="19"/>
      <c r="B72" s="19"/>
      <c r="C72" s="19"/>
      <c r="D72" s="19"/>
      <c r="E72" s="19"/>
      <c r="F72" s="20"/>
      <c r="G72" s="19"/>
      <c r="H72" s="19"/>
    </row>
    <row r="73" spans="1:8">
      <c r="A73" s="19"/>
      <c r="B73" s="19"/>
      <c r="C73" s="19"/>
      <c r="D73" s="19"/>
      <c r="E73" s="19"/>
      <c r="F73" s="20"/>
      <c r="G73" s="19"/>
      <c r="H73" s="19"/>
    </row>
    <row r="74" spans="1:8">
      <c r="A74" s="19"/>
      <c r="B74" s="19"/>
      <c r="C74" s="19"/>
      <c r="D74" s="19"/>
      <c r="E74" s="19"/>
      <c r="F74" s="20"/>
      <c r="G74" s="19"/>
      <c r="H74" s="19"/>
    </row>
    <row r="75" spans="1:8">
      <c r="A75" s="19"/>
      <c r="B75" s="19"/>
      <c r="C75" s="19"/>
      <c r="D75" s="19"/>
      <c r="E75" s="19"/>
      <c r="F75" s="20"/>
      <c r="G75" s="19"/>
      <c r="H75" s="19"/>
    </row>
    <row r="76" spans="1:8">
      <c r="A76" s="19"/>
      <c r="B76" s="19"/>
      <c r="C76" s="19"/>
      <c r="D76" s="19"/>
      <c r="E76" s="19"/>
      <c r="F76" s="20"/>
      <c r="G76" s="19"/>
      <c r="H76" s="19"/>
    </row>
    <row r="77" spans="1:8">
      <c r="A77" s="19"/>
      <c r="B77" s="19"/>
      <c r="C77" s="19"/>
      <c r="D77" s="19"/>
      <c r="E77" s="19"/>
      <c r="F77" s="20"/>
      <c r="G77" s="19"/>
      <c r="H77" s="19"/>
    </row>
    <row r="78" spans="1:8">
      <c r="A78" s="19"/>
      <c r="B78" s="19"/>
      <c r="C78" s="19"/>
      <c r="D78" s="19"/>
      <c r="E78" s="19"/>
      <c r="F78" s="20"/>
      <c r="G78" s="19"/>
      <c r="H78" s="19"/>
    </row>
    <row r="79" spans="1:8">
      <c r="A79" s="19"/>
      <c r="B79" s="19"/>
      <c r="C79" s="19"/>
      <c r="D79" s="19"/>
      <c r="E79" s="19"/>
      <c r="F79" s="20"/>
      <c r="G79" s="19"/>
      <c r="H79" s="19"/>
    </row>
    <row r="80" spans="1:8">
      <c r="A80" s="19"/>
      <c r="B80" s="19"/>
      <c r="C80" s="19"/>
      <c r="D80" s="19"/>
      <c r="E80" s="19"/>
      <c r="F80" s="20"/>
      <c r="G80" s="19"/>
      <c r="H80" s="19"/>
    </row>
    <row r="81" spans="1:8">
      <c r="A81" s="19"/>
      <c r="B81" s="19"/>
      <c r="C81" s="19"/>
      <c r="D81" s="19"/>
      <c r="E81" s="19"/>
      <c r="F81" s="20"/>
      <c r="G81" s="19"/>
      <c r="H81" s="19"/>
    </row>
    <row r="82" spans="1:8">
      <c r="A82" s="19"/>
      <c r="B82" s="19"/>
      <c r="C82" s="19"/>
      <c r="D82" s="19"/>
      <c r="E82" s="19"/>
      <c r="F82" s="20"/>
      <c r="G82" s="19"/>
      <c r="H82" s="19"/>
    </row>
    <row r="83" spans="1:8">
      <c r="A83" s="19"/>
      <c r="B83" s="19"/>
      <c r="C83" s="19"/>
      <c r="D83" s="19"/>
      <c r="E83" s="19"/>
      <c r="F83" s="20"/>
      <c r="G83" s="19"/>
      <c r="H83" s="19"/>
    </row>
    <row r="84" spans="1:8">
      <c r="A84" s="19"/>
      <c r="B84" s="19"/>
      <c r="C84" s="19"/>
      <c r="D84" s="19"/>
      <c r="E84" s="19"/>
      <c r="F84" s="20"/>
      <c r="G84" s="19"/>
      <c r="H84" s="19"/>
    </row>
    <row r="85" spans="1:8">
      <c r="A85" s="19"/>
      <c r="B85" s="19"/>
      <c r="C85" s="19"/>
      <c r="D85" s="19"/>
      <c r="E85" s="19"/>
      <c r="F85" s="20"/>
      <c r="G85" s="19"/>
      <c r="H85" s="19"/>
    </row>
    <row r="86" spans="1:8">
      <c r="A86" s="19"/>
      <c r="B86" s="19"/>
      <c r="C86" s="19"/>
      <c r="D86" s="19"/>
      <c r="E86" s="19"/>
      <c r="F86" s="20"/>
      <c r="G86" s="19"/>
      <c r="H86" s="19"/>
    </row>
    <row r="87" spans="1:8">
      <c r="A87" s="19"/>
      <c r="B87" s="19"/>
      <c r="C87" s="19"/>
      <c r="D87" s="19"/>
      <c r="E87" s="19"/>
      <c r="F87" s="20"/>
      <c r="G87" s="19"/>
      <c r="H87" s="19"/>
    </row>
    <row r="88" spans="1:8">
      <c r="A88" s="19"/>
      <c r="B88" s="19"/>
      <c r="C88" s="19"/>
      <c r="D88" s="19"/>
      <c r="E88" s="19"/>
      <c r="F88" s="20"/>
      <c r="G88" s="19"/>
      <c r="H88" s="19"/>
    </row>
    <row r="89" spans="1:8">
      <c r="A89" s="19"/>
      <c r="B89" s="19"/>
      <c r="C89" s="19"/>
      <c r="D89" s="19"/>
      <c r="E89" s="19"/>
      <c r="F89" s="20"/>
      <c r="G89" s="19"/>
      <c r="H89" s="19"/>
    </row>
    <row r="90" spans="1:8">
      <c r="A90" s="19"/>
      <c r="B90" s="19"/>
      <c r="C90" s="19"/>
      <c r="D90" s="19"/>
      <c r="E90" s="19"/>
      <c r="F90" s="20"/>
      <c r="G90" s="19"/>
      <c r="H90" s="19"/>
    </row>
    <row r="91" spans="1:8">
      <c r="A91" s="19"/>
      <c r="B91" s="19"/>
      <c r="C91" s="19"/>
      <c r="D91" s="19"/>
      <c r="E91" s="19"/>
      <c r="F91" s="20"/>
      <c r="G91" s="19"/>
      <c r="H91" s="19"/>
    </row>
    <row r="92" spans="1:8">
      <c r="A92" s="19"/>
      <c r="B92" s="19"/>
      <c r="C92" s="19"/>
      <c r="D92" s="19"/>
      <c r="E92" s="19"/>
      <c r="F92" s="20"/>
      <c r="G92" s="19"/>
      <c r="H92" s="19"/>
    </row>
    <row r="93" spans="1:8">
      <c r="A93" s="19"/>
      <c r="B93" s="19"/>
      <c r="C93" s="19"/>
      <c r="D93" s="19"/>
      <c r="E93" s="19"/>
      <c r="F93" s="20"/>
      <c r="G93" s="19"/>
      <c r="H93" s="19"/>
    </row>
    <row r="94" spans="1:8">
      <c r="A94" s="19"/>
      <c r="B94" s="19"/>
      <c r="C94" s="19"/>
      <c r="D94" s="19"/>
      <c r="E94" s="19"/>
      <c r="F94" s="20"/>
      <c r="G94" s="19"/>
      <c r="H94" s="19"/>
    </row>
    <row r="95" spans="1:8">
      <c r="A95" s="19"/>
      <c r="B95" s="19"/>
      <c r="C95" s="19"/>
      <c r="D95" s="19"/>
      <c r="E95" s="19"/>
      <c r="F95" s="20"/>
      <c r="G95" s="19"/>
      <c r="H95" s="19"/>
    </row>
    <row r="96" spans="1:8">
      <c r="A96" s="19"/>
      <c r="B96" s="19"/>
      <c r="C96" s="19"/>
      <c r="D96" s="19"/>
      <c r="E96" s="19"/>
      <c r="F96" s="20"/>
      <c r="G96" s="19"/>
      <c r="H96" s="19"/>
    </row>
    <row r="97" spans="1:8">
      <c r="A97" s="19"/>
      <c r="B97" s="19"/>
      <c r="C97" s="19"/>
      <c r="D97" s="19"/>
      <c r="E97" s="19"/>
      <c r="F97" s="20"/>
      <c r="G97" s="19"/>
      <c r="H97" s="19"/>
    </row>
    <row r="98" spans="1:8">
      <c r="A98" s="19"/>
      <c r="B98" s="19"/>
      <c r="C98" s="19"/>
      <c r="D98" s="19"/>
      <c r="E98" s="19"/>
      <c r="F98" s="20"/>
      <c r="G98" s="19"/>
      <c r="H98" s="19"/>
    </row>
    <row r="99" spans="1:8">
      <c r="A99" s="19"/>
      <c r="B99" s="19"/>
      <c r="C99" s="19"/>
      <c r="D99" s="19"/>
      <c r="E99" s="19"/>
      <c r="F99" s="20"/>
      <c r="G99" s="19"/>
      <c r="H99" s="19"/>
    </row>
    <row r="100" spans="1:8">
      <c r="A100" s="19"/>
      <c r="B100" s="19"/>
      <c r="C100" s="19"/>
      <c r="D100" s="19"/>
      <c r="E100" s="19"/>
      <c r="F100" s="20"/>
      <c r="G100" s="19"/>
      <c r="H100" s="19"/>
    </row>
    <row r="101" spans="1:8">
      <c r="A101" s="19"/>
      <c r="B101" s="19"/>
      <c r="C101" s="19"/>
      <c r="D101" s="19"/>
      <c r="E101" s="19"/>
      <c r="F101" s="20"/>
      <c r="G101" s="19"/>
      <c r="H101" s="19"/>
    </row>
    <row r="102" spans="1:8">
      <c r="A102" s="19"/>
      <c r="B102" s="19"/>
      <c r="C102" s="19"/>
      <c r="D102" s="19"/>
      <c r="E102" s="19"/>
      <c r="F102" s="20"/>
      <c r="G102" s="19"/>
      <c r="H102" s="19"/>
    </row>
    <row r="103" spans="1:8">
      <c r="A103" s="19"/>
      <c r="B103" s="19"/>
      <c r="C103" s="19"/>
      <c r="D103" s="19"/>
      <c r="E103" s="19"/>
      <c r="F103" s="20"/>
      <c r="G103" s="19"/>
      <c r="H103" s="19"/>
    </row>
    <row r="104" spans="1:8">
      <c r="A104" s="19"/>
      <c r="B104" s="19"/>
      <c r="C104" s="19"/>
      <c r="D104" s="19"/>
      <c r="E104" s="19"/>
      <c r="F104" s="20"/>
      <c r="G104" s="19"/>
      <c r="H104" s="19"/>
    </row>
    <row r="105" spans="1:8">
      <c r="A105" s="19"/>
      <c r="B105" s="19"/>
      <c r="C105" s="19"/>
      <c r="D105" s="19"/>
      <c r="E105" s="19"/>
      <c r="F105" s="20"/>
      <c r="G105" s="19"/>
      <c r="H105" s="19"/>
    </row>
    <row r="106" spans="1:8">
      <c r="A106" s="19"/>
      <c r="B106" s="19"/>
      <c r="C106" s="19"/>
      <c r="D106" s="19"/>
      <c r="E106" s="19"/>
      <c r="F106" s="20"/>
      <c r="G106" s="19"/>
      <c r="H106" s="19"/>
    </row>
    <row r="107" spans="1:8">
      <c r="A107" s="19"/>
      <c r="B107" s="19"/>
      <c r="C107" s="19"/>
      <c r="D107" s="19"/>
      <c r="E107" s="19"/>
      <c r="F107" s="20"/>
      <c r="G107" s="19"/>
      <c r="H107" s="19"/>
    </row>
    <row r="108" spans="1:8">
      <c r="A108" s="19"/>
      <c r="B108" s="19"/>
      <c r="C108" s="19"/>
      <c r="D108" s="19"/>
      <c r="E108" s="19"/>
      <c r="F108" s="20"/>
      <c r="G108" s="19"/>
      <c r="H108" s="19"/>
    </row>
    <row r="109" spans="1:8">
      <c r="A109" s="19"/>
      <c r="B109" s="19"/>
      <c r="C109" s="19"/>
      <c r="D109" s="19"/>
      <c r="E109" s="19"/>
      <c r="F109" s="20"/>
      <c r="G109" s="19"/>
      <c r="H109" s="19"/>
    </row>
    <row r="110" spans="1:8">
      <c r="A110" s="19"/>
      <c r="B110" s="19"/>
      <c r="C110" s="19"/>
      <c r="D110" s="19"/>
      <c r="E110" s="19"/>
      <c r="F110" s="20"/>
      <c r="G110" s="19"/>
      <c r="H110" s="19"/>
    </row>
    <row r="111" spans="1:8">
      <c r="A111" s="19"/>
      <c r="B111" s="19"/>
      <c r="C111" s="19"/>
      <c r="D111" s="19"/>
      <c r="E111" s="19"/>
      <c r="F111" s="20"/>
      <c r="G111" s="19"/>
      <c r="H111" s="19"/>
    </row>
    <row r="112" spans="1:8">
      <c r="A112" s="19"/>
      <c r="B112" s="19"/>
      <c r="C112" s="19"/>
      <c r="D112" s="19"/>
      <c r="E112" s="19"/>
      <c r="F112" s="20"/>
      <c r="G112" s="19"/>
      <c r="H112" s="19"/>
    </row>
    <row r="113" spans="1:8">
      <c r="A113" s="19"/>
      <c r="B113" s="19"/>
      <c r="C113" s="19"/>
      <c r="D113" s="19"/>
      <c r="E113" s="19"/>
      <c r="F113" s="20"/>
      <c r="G113" s="19"/>
      <c r="H113" s="19"/>
    </row>
    <row r="114" spans="1:8">
      <c r="A114" s="19"/>
      <c r="B114" s="19"/>
      <c r="C114" s="19"/>
      <c r="D114" s="19"/>
      <c r="E114" s="19"/>
      <c r="F114" s="20"/>
      <c r="G114" s="19"/>
      <c r="H114" s="19"/>
    </row>
    <row r="115" spans="1:8">
      <c r="A115" s="19"/>
      <c r="B115" s="19"/>
      <c r="C115" s="19"/>
      <c r="D115" s="19"/>
      <c r="E115" s="19"/>
      <c r="F115" s="20"/>
      <c r="G115" s="19"/>
      <c r="H115" s="19"/>
    </row>
    <row r="116" spans="1:8">
      <c r="A116" s="19"/>
      <c r="B116" s="19"/>
      <c r="C116" s="19"/>
      <c r="D116" s="19"/>
      <c r="E116" s="19"/>
      <c r="F116" s="20"/>
      <c r="G116" s="19"/>
      <c r="H116" s="19"/>
    </row>
    <row r="117" spans="1:8">
      <c r="A117" s="19"/>
      <c r="B117" s="19"/>
      <c r="C117" s="19"/>
      <c r="D117" s="19"/>
      <c r="E117" s="19"/>
      <c r="F117" s="20"/>
      <c r="G117" s="19"/>
      <c r="H117" s="19"/>
    </row>
    <row r="118" spans="1:8">
      <c r="A118" s="19"/>
      <c r="B118" s="19"/>
      <c r="C118" s="19"/>
      <c r="D118" s="19"/>
      <c r="E118" s="19"/>
      <c r="F118" s="20"/>
      <c r="G118" s="19"/>
      <c r="H118" s="19"/>
    </row>
    <row r="119" spans="1:8">
      <c r="A119" s="19"/>
      <c r="B119" s="19"/>
      <c r="C119" s="19"/>
      <c r="D119" s="19"/>
      <c r="E119" s="19"/>
      <c r="F119" s="20"/>
      <c r="G119" s="19"/>
      <c r="H119" s="19"/>
    </row>
    <row r="120" spans="1:8">
      <c r="A120" s="19"/>
      <c r="B120" s="19"/>
      <c r="C120" s="19"/>
      <c r="D120" s="19"/>
      <c r="E120" s="19"/>
      <c r="F120" s="20"/>
      <c r="G120" s="19"/>
      <c r="H120" s="19"/>
    </row>
    <row r="121" spans="1:8">
      <c r="A121" s="19"/>
      <c r="B121" s="19"/>
      <c r="C121" s="19"/>
      <c r="D121" s="19"/>
      <c r="E121" s="19"/>
      <c r="F121" s="20"/>
      <c r="G121" s="19"/>
      <c r="H121" s="19"/>
    </row>
    <row r="122" spans="1:8">
      <c r="A122" s="19"/>
      <c r="B122" s="19"/>
      <c r="C122" s="19"/>
      <c r="D122" s="19"/>
      <c r="E122" s="19"/>
      <c r="F122" s="20"/>
      <c r="G122" s="19"/>
      <c r="H122" s="19"/>
    </row>
    <row r="123" spans="1:8">
      <c r="A123" s="19"/>
      <c r="B123" s="19"/>
      <c r="C123" s="19"/>
      <c r="D123" s="19"/>
      <c r="E123" s="19"/>
      <c r="F123" s="20"/>
      <c r="G123" s="19"/>
      <c r="H123" s="19"/>
    </row>
    <row r="124" spans="1:8">
      <c r="A124" s="19"/>
      <c r="B124" s="19"/>
      <c r="C124" s="19"/>
      <c r="D124" s="19"/>
      <c r="E124" s="19"/>
      <c r="F124" s="20"/>
      <c r="G124" s="19"/>
      <c r="H124" s="19"/>
    </row>
    <row r="125" spans="1:8">
      <c r="A125" s="19"/>
      <c r="B125" s="19"/>
      <c r="C125" s="19"/>
      <c r="D125" s="19"/>
      <c r="E125" s="19"/>
      <c r="F125" s="20"/>
      <c r="G125" s="19"/>
      <c r="H125" s="19"/>
    </row>
    <row r="126" spans="1:8">
      <c r="A126" s="19"/>
      <c r="B126" s="19"/>
      <c r="C126" s="19"/>
      <c r="D126" s="19"/>
      <c r="E126" s="19"/>
      <c r="F126" s="20"/>
      <c r="G126" s="19"/>
      <c r="H126" s="19"/>
    </row>
    <row r="127" spans="1:8">
      <c r="A127" s="19"/>
      <c r="B127" s="19"/>
      <c r="C127" s="19"/>
      <c r="D127" s="19"/>
      <c r="E127" s="19"/>
      <c r="F127" s="20"/>
      <c r="G127" s="19"/>
      <c r="H127" s="19"/>
    </row>
    <row r="128" spans="1:8">
      <c r="A128" s="19"/>
      <c r="B128" s="19"/>
      <c r="C128" s="19"/>
      <c r="D128" s="19"/>
      <c r="E128" s="19"/>
      <c r="F128" s="20"/>
      <c r="G128" s="19"/>
      <c r="H128" s="19"/>
    </row>
    <row r="129" spans="1:8">
      <c r="A129" s="19"/>
      <c r="B129" s="19"/>
      <c r="C129" s="19"/>
      <c r="D129" s="19"/>
      <c r="E129" s="19"/>
      <c r="F129" s="20"/>
      <c r="G129" s="19"/>
      <c r="H129" s="19"/>
    </row>
    <row r="130" spans="1:8">
      <c r="A130" s="19"/>
      <c r="B130" s="19"/>
      <c r="C130" s="19"/>
      <c r="D130" s="19"/>
      <c r="E130" s="19"/>
      <c r="F130" s="20"/>
      <c r="G130" s="19"/>
      <c r="H130" s="19"/>
    </row>
    <row r="131" spans="1:8">
      <c r="A131" s="19"/>
      <c r="B131" s="19"/>
      <c r="C131" s="19"/>
      <c r="D131" s="19"/>
      <c r="E131" s="19"/>
      <c r="F131" s="20"/>
      <c r="G131" s="19"/>
      <c r="H131" s="19"/>
    </row>
    <row r="132" spans="1:8">
      <c r="A132" s="19"/>
      <c r="B132" s="19"/>
      <c r="C132" s="19"/>
      <c r="D132" s="19"/>
      <c r="E132" s="19"/>
      <c r="F132" s="20"/>
      <c r="G132" s="19"/>
      <c r="H132" s="19"/>
    </row>
    <row r="133" spans="1:8">
      <c r="A133" s="19"/>
      <c r="B133" s="19"/>
      <c r="C133" s="19"/>
      <c r="D133" s="19"/>
      <c r="E133" s="19"/>
      <c r="F133" s="20"/>
      <c r="G133" s="19"/>
      <c r="H133" s="19"/>
    </row>
    <row r="134" spans="1:8">
      <c r="A134" s="19"/>
      <c r="B134" s="19"/>
      <c r="C134" s="19"/>
      <c r="D134" s="19"/>
      <c r="E134" s="19"/>
      <c r="F134" s="20"/>
      <c r="G134" s="19"/>
      <c r="H134" s="19"/>
    </row>
    <row r="135" spans="1:8">
      <c r="A135" s="19"/>
      <c r="B135" s="19"/>
      <c r="C135" s="19"/>
      <c r="D135" s="19"/>
      <c r="E135" s="19"/>
      <c r="F135" s="20"/>
      <c r="G135" s="19"/>
      <c r="H135" s="19"/>
    </row>
    <row r="136" spans="1:8">
      <c r="A136" s="19"/>
      <c r="B136" s="19"/>
      <c r="C136" s="19"/>
      <c r="D136" s="19"/>
      <c r="E136" s="19"/>
      <c r="F136" s="20"/>
      <c r="G136" s="19"/>
      <c r="H136" s="19"/>
    </row>
    <row r="137" spans="1:8">
      <c r="A137" s="19"/>
      <c r="B137" s="19"/>
      <c r="C137" s="19"/>
      <c r="D137" s="19"/>
      <c r="E137" s="19"/>
      <c r="F137" s="20"/>
      <c r="G137" s="19"/>
      <c r="H137" s="19"/>
    </row>
    <row r="138" spans="1:8">
      <c r="A138" s="19"/>
      <c r="B138" s="19"/>
      <c r="C138" s="19"/>
      <c r="D138" s="19"/>
      <c r="E138" s="19"/>
      <c r="F138" s="20"/>
      <c r="G138" s="19"/>
      <c r="H138" s="19"/>
    </row>
    <row r="139" spans="1:8">
      <c r="A139" s="19"/>
      <c r="B139" s="19"/>
      <c r="C139" s="19"/>
      <c r="D139" s="19"/>
      <c r="E139" s="19"/>
      <c r="F139" s="20"/>
      <c r="G139" s="19"/>
      <c r="H139" s="19"/>
    </row>
    <row r="140" spans="1:8">
      <c r="A140" s="19"/>
      <c r="B140" s="19"/>
      <c r="C140" s="19"/>
      <c r="D140" s="19"/>
      <c r="E140" s="19"/>
      <c r="F140" s="20"/>
      <c r="G140" s="19"/>
      <c r="H140" s="19"/>
    </row>
    <row r="141" spans="1:8">
      <c r="A141" s="19"/>
      <c r="B141" s="19"/>
      <c r="C141" s="19"/>
      <c r="D141" s="19"/>
      <c r="E141" s="19"/>
      <c r="F141" s="20"/>
      <c r="G141" s="19"/>
      <c r="H141" s="19"/>
    </row>
    <row r="142" spans="1:8">
      <c r="A142" s="19"/>
      <c r="B142" s="19"/>
      <c r="C142" s="19"/>
      <c r="D142" s="19"/>
      <c r="E142" s="19"/>
      <c r="F142" s="20"/>
      <c r="G142" s="19"/>
      <c r="H142" s="19"/>
    </row>
    <row r="143" spans="1:8">
      <c r="A143" s="19"/>
      <c r="B143" s="19"/>
      <c r="C143" s="19"/>
      <c r="D143" s="19"/>
      <c r="E143" s="19"/>
      <c r="F143" s="20"/>
      <c r="G143" s="19"/>
      <c r="H143" s="19"/>
    </row>
    <row r="144" spans="1:8">
      <c r="A144" s="19"/>
      <c r="B144" s="19"/>
      <c r="C144" s="19"/>
      <c r="D144" s="19"/>
      <c r="E144" s="19"/>
      <c r="F144" s="20"/>
      <c r="G144" s="19"/>
      <c r="H144" s="19"/>
    </row>
    <row r="145" spans="1:8">
      <c r="A145" s="19"/>
      <c r="B145" s="19"/>
      <c r="C145" s="19"/>
      <c r="D145" s="19"/>
      <c r="E145" s="19"/>
      <c r="F145" s="20"/>
      <c r="G145" s="19"/>
      <c r="H145" s="19"/>
    </row>
    <row r="146" spans="1:8">
      <c r="A146" s="19"/>
      <c r="B146" s="19"/>
      <c r="C146" s="19"/>
      <c r="D146" s="19"/>
      <c r="E146" s="19"/>
      <c r="F146" s="20"/>
      <c r="G146" s="19"/>
      <c r="H146" s="19"/>
    </row>
    <row r="147" spans="1:8">
      <c r="A147" s="19"/>
      <c r="B147" s="19"/>
      <c r="C147" s="19"/>
      <c r="D147" s="19"/>
      <c r="E147" s="19"/>
      <c r="F147" s="20"/>
      <c r="G147" s="19"/>
      <c r="H147" s="19"/>
    </row>
    <row r="148" spans="1:8">
      <c r="A148" s="19"/>
      <c r="B148" s="19"/>
      <c r="C148" s="19"/>
      <c r="D148" s="19"/>
      <c r="E148" s="19"/>
      <c r="F148" s="20"/>
      <c r="G148" s="19"/>
      <c r="H148" s="19"/>
    </row>
    <row r="149" spans="1:8">
      <c r="A149" s="19"/>
      <c r="B149" s="19"/>
      <c r="C149" s="19"/>
      <c r="D149" s="19"/>
      <c r="E149" s="19"/>
      <c r="F149" s="20"/>
      <c r="G149" s="19"/>
      <c r="H149" s="19"/>
    </row>
    <row r="150" spans="1:8">
      <c r="A150" s="19"/>
      <c r="B150" s="19"/>
      <c r="C150" s="19"/>
      <c r="D150" s="19"/>
      <c r="E150" s="19"/>
      <c r="F150" s="20"/>
      <c r="G150" s="19"/>
      <c r="H150" s="19"/>
    </row>
    <row r="151" spans="1:8">
      <c r="A151" s="19"/>
      <c r="B151" s="19"/>
      <c r="C151" s="19"/>
      <c r="D151" s="19"/>
      <c r="E151" s="19"/>
      <c r="F151" s="20"/>
      <c r="G151" s="19"/>
      <c r="H151" s="19"/>
    </row>
    <row r="152" spans="1:8">
      <c r="A152" s="19"/>
      <c r="B152" s="19"/>
      <c r="C152" s="19"/>
      <c r="D152" s="19"/>
      <c r="E152" s="19"/>
      <c r="F152" s="20"/>
      <c r="G152" s="19"/>
      <c r="H152" s="19"/>
    </row>
    <row r="153" spans="1:8">
      <c r="A153" s="19"/>
      <c r="B153" s="19"/>
      <c r="C153" s="19"/>
      <c r="D153" s="19"/>
      <c r="E153" s="19"/>
      <c r="F153" s="20"/>
      <c r="G153" s="19"/>
      <c r="H153" s="19"/>
    </row>
    <row r="154" spans="1:8">
      <c r="A154" s="19"/>
      <c r="B154" s="19"/>
      <c r="C154" s="19"/>
      <c r="D154" s="19"/>
      <c r="E154" s="19"/>
      <c r="F154" s="20"/>
      <c r="G154" s="19"/>
      <c r="H154" s="19"/>
    </row>
    <row r="155" spans="1:8">
      <c r="A155" s="19"/>
      <c r="B155" s="19"/>
      <c r="C155" s="19"/>
      <c r="D155" s="19"/>
      <c r="E155" s="19"/>
      <c r="F155" s="20"/>
      <c r="G155" s="19"/>
      <c r="H155" s="19"/>
    </row>
    <row r="156" spans="1:8">
      <c r="A156" s="19"/>
      <c r="B156" s="19"/>
      <c r="C156" s="19"/>
      <c r="D156" s="19"/>
      <c r="E156" s="19"/>
      <c r="F156" s="20"/>
      <c r="G156" s="19"/>
      <c r="H156" s="19"/>
    </row>
    <row r="157" spans="1:8">
      <c r="A157" s="19"/>
      <c r="B157" s="19"/>
      <c r="C157" s="19"/>
      <c r="D157" s="19"/>
      <c r="E157" s="19"/>
      <c r="F157" s="20"/>
      <c r="G157" s="19"/>
      <c r="H157" s="19"/>
    </row>
    <row r="158" spans="1:8">
      <c r="A158" s="19"/>
      <c r="B158" s="19"/>
      <c r="C158" s="19"/>
      <c r="D158" s="19"/>
      <c r="E158" s="19"/>
      <c r="F158" s="20"/>
      <c r="G158" s="19"/>
      <c r="H158" s="19"/>
    </row>
    <row r="159" spans="1:8">
      <c r="A159" s="19"/>
      <c r="B159" s="19"/>
      <c r="C159" s="19"/>
      <c r="D159" s="19"/>
      <c r="E159" s="19"/>
      <c r="F159" s="20"/>
      <c r="G159" s="19"/>
      <c r="H159" s="19"/>
    </row>
    <row r="160" spans="1:8">
      <c r="A160" s="19"/>
      <c r="B160" s="19"/>
      <c r="C160" s="19"/>
      <c r="D160" s="19"/>
      <c r="E160" s="19"/>
      <c r="F160" s="20"/>
      <c r="G160" s="19"/>
      <c r="H160" s="19"/>
    </row>
    <row r="161" spans="1:8">
      <c r="A161" s="19"/>
      <c r="B161" s="19"/>
      <c r="C161" s="19"/>
      <c r="D161" s="19"/>
      <c r="E161" s="19"/>
      <c r="F161" s="20"/>
      <c r="G161" s="19"/>
      <c r="H161" s="19"/>
    </row>
    <row r="162" spans="1:8">
      <c r="A162" s="19"/>
      <c r="B162" s="19"/>
      <c r="C162" s="19"/>
      <c r="D162" s="19"/>
      <c r="E162" s="19"/>
      <c r="F162" s="20"/>
      <c r="G162" s="19"/>
      <c r="H162" s="19"/>
    </row>
    <row r="163" spans="1:8">
      <c r="A163" s="19"/>
      <c r="B163" s="19"/>
      <c r="C163" s="19"/>
      <c r="D163" s="19"/>
      <c r="E163" s="19"/>
      <c r="F163" s="20"/>
      <c r="G163" s="19"/>
      <c r="H163" s="19"/>
    </row>
    <row r="164" spans="1:8">
      <c r="A164" s="19"/>
      <c r="B164" s="19"/>
      <c r="C164" s="19"/>
      <c r="D164" s="19"/>
      <c r="E164" s="19"/>
      <c r="F164" s="20"/>
      <c r="G164" s="19"/>
      <c r="H164" s="19"/>
    </row>
    <row r="165" spans="1:8">
      <c r="A165" s="19"/>
      <c r="B165" s="19"/>
      <c r="C165" s="19"/>
      <c r="D165" s="19"/>
      <c r="E165" s="19"/>
      <c r="F165" s="20"/>
      <c r="G165" s="19"/>
      <c r="H165" s="19"/>
    </row>
    <row r="166" spans="1:8">
      <c r="A166" s="19"/>
      <c r="B166" s="19"/>
      <c r="C166" s="19"/>
      <c r="D166" s="19"/>
      <c r="E166" s="19"/>
      <c r="F166" s="20"/>
      <c r="G166" s="19"/>
      <c r="H166" s="19"/>
    </row>
    <row r="167" spans="1:8">
      <c r="A167" s="19"/>
      <c r="B167" s="19"/>
      <c r="C167" s="19"/>
      <c r="D167" s="19"/>
      <c r="E167" s="19"/>
      <c r="F167" s="20"/>
      <c r="G167" s="19"/>
      <c r="H167" s="19"/>
    </row>
    <row r="168" spans="1:8">
      <c r="A168" s="19"/>
      <c r="B168" s="19"/>
      <c r="C168" s="19"/>
      <c r="D168" s="19"/>
      <c r="E168" s="19"/>
      <c r="F168" s="20"/>
      <c r="G168" s="19"/>
      <c r="H168" s="19"/>
    </row>
    <row r="169" spans="1:8">
      <c r="A169" s="19"/>
      <c r="B169" s="19"/>
      <c r="C169" s="19"/>
      <c r="D169" s="19"/>
      <c r="E169" s="19"/>
      <c r="F169" s="20"/>
      <c r="G169" s="19"/>
      <c r="H169" s="19"/>
    </row>
    <row r="170" spans="1:8">
      <c r="A170" s="19"/>
      <c r="B170" s="19"/>
      <c r="C170" s="19"/>
      <c r="D170" s="19"/>
      <c r="E170" s="19"/>
      <c r="F170" s="20"/>
      <c r="G170" s="19"/>
      <c r="H170" s="19"/>
    </row>
    <row r="171" spans="1:8">
      <c r="A171" s="19"/>
      <c r="B171" s="19"/>
      <c r="C171" s="19"/>
      <c r="D171" s="19"/>
      <c r="E171" s="19"/>
      <c r="F171" s="20"/>
      <c r="G171" s="19"/>
      <c r="H171" s="19"/>
    </row>
    <row r="172" spans="1:8">
      <c r="A172" s="19"/>
      <c r="B172" s="19"/>
      <c r="C172" s="19"/>
      <c r="D172" s="19"/>
      <c r="E172" s="19"/>
      <c r="F172" s="20"/>
      <c r="G172" s="19"/>
      <c r="H172" s="19"/>
    </row>
    <row r="173" spans="1:8">
      <c r="A173" s="19"/>
      <c r="B173" s="19"/>
      <c r="C173" s="19"/>
      <c r="D173" s="19"/>
      <c r="E173" s="19"/>
      <c r="F173" s="20"/>
      <c r="G173" s="19"/>
      <c r="H173" s="19"/>
    </row>
    <row r="174" spans="1:8">
      <c r="A174" s="19"/>
      <c r="B174" s="19"/>
      <c r="C174" s="19"/>
      <c r="D174" s="19"/>
      <c r="E174" s="19"/>
      <c r="F174" s="20"/>
      <c r="G174" s="19"/>
      <c r="H174" s="19"/>
    </row>
    <row r="175" spans="1:8">
      <c r="A175" s="19"/>
      <c r="B175" s="19"/>
      <c r="C175" s="19"/>
      <c r="D175" s="19"/>
      <c r="E175" s="19"/>
      <c r="F175" s="20"/>
      <c r="G175" s="19"/>
      <c r="H175" s="19"/>
    </row>
    <row r="176" spans="1:8">
      <c r="A176" s="19"/>
      <c r="B176" s="19"/>
      <c r="C176" s="19"/>
      <c r="D176" s="19"/>
      <c r="E176" s="19"/>
      <c r="F176" s="20"/>
      <c r="G176" s="19"/>
      <c r="H176" s="19"/>
    </row>
    <row r="177" spans="1:8">
      <c r="A177" s="19"/>
      <c r="B177" s="19"/>
      <c r="C177" s="19"/>
      <c r="D177" s="19"/>
      <c r="E177" s="19"/>
      <c r="F177" s="20"/>
      <c r="G177" s="19"/>
      <c r="H177" s="19"/>
    </row>
    <row r="178" spans="1:8">
      <c r="A178" s="19"/>
      <c r="B178" s="19"/>
      <c r="C178" s="19"/>
      <c r="D178" s="19"/>
      <c r="E178" s="19"/>
      <c r="F178" s="20"/>
      <c r="G178" s="19"/>
      <c r="H178" s="19"/>
    </row>
    <row r="179" spans="1:8">
      <c r="A179" s="19"/>
      <c r="B179" s="19"/>
      <c r="C179" s="19"/>
      <c r="D179" s="19"/>
      <c r="E179" s="19"/>
      <c r="F179" s="20"/>
      <c r="G179" s="19"/>
      <c r="H179" s="19"/>
    </row>
    <row r="180" spans="1:8">
      <c r="A180" s="19"/>
      <c r="B180" s="19"/>
      <c r="C180" s="19"/>
      <c r="D180" s="19"/>
      <c r="E180" s="19"/>
      <c r="F180" s="20"/>
      <c r="G180" s="19"/>
      <c r="H180" s="19"/>
    </row>
    <row r="181" spans="1:8">
      <c r="A181" s="19"/>
      <c r="B181" s="19"/>
      <c r="C181" s="19"/>
      <c r="D181" s="19"/>
      <c r="E181" s="19"/>
      <c r="F181" s="20"/>
      <c r="G181" s="19"/>
      <c r="H181" s="19"/>
    </row>
    <row r="182" spans="1:8">
      <c r="A182" s="19"/>
      <c r="B182" s="19"/>
      <c r="C182" s="19"/>
      <c r="D182" s="19"/>
      <c r="E182" s="19"/>
      <c r="F182" s="20"/>
      <c r="G182" s="19"/>
      <c r="H182" s="19"/>
    </row>
    <row r="183" spans="1:8">
      <c r="A183" s="19"/>
      <c r="B183" s="19"/>
      <c r="C183" s="19"/>
      <c r="D183" s="19"/>
      <c r="E183" s="19"/>
      <c r="F183" s="20"/>
      <c r="G183" s="19"/>
      <c r="H183" s="19"/>
    </row>
    <row r="184" spans="1:8">
      <c r="A184" s="19"/>
      <c r="B184" s="19"/>
      <c r="C184" s="19"/>
      <c r="D184" s="19"/>
      <c r="E184" s="19"/>
      <c r="F184" s="20"/>
      <c r="G184" s="19"/>
      <c r="H184" s="19"/>
    </row>
    <row r="185" spans="1:8">
      <c r="A185" s="19"/>
      <c r="B185" s="19"/>
      <c r="C185" s="19"/>
      <c r="D185" s="19"/>
      <c r="E185" s="19"/>
      <c r="F185" s="20"/>
      <c r="G185" s="19"/>
      <c r="H185" s="19"/>
    </row>
    <row r="186" spans="1:8">
      <c r="A186" s="19"/>
      <c r="B186" s="19"/>
      <c r="C186" s="19"/>
      <c r="D186" s="19"/>
      <c r="E186" s="19"/>
      <c r="F186" s="20"/>
      <c r="G186" s="19"/>
      <c r="H186" s="19"/>
    </row>
    <row r="187" spans="1:8">
      <c r="A187" s="19"/>
      <c r="B187" s="19"/>
      <c r="C187" s="19"/>
      <c r="D187" s="19"/>
      <c r="E187" s="19"/>
      <c r="F187" s="20"/>
      <c r="G187" s="19"/>
      <c r="H187" s="19"/>
    </row>
    <row r="188" spans="1:8">
      <c r="A188" s="19"/>
      <c r="B188" s="19"/>
      <c r="C188" s="19"/>
      <c r="D188" s="19"/>
      <c r="E188" s="19"/>
      <c r="F188" s="20"/>
      <c r="G188" s="19"/>
      <c r="H188" s="19"/>
    </row>
    <row r="189" spans="1:8">
      <c r="A189" s="19"/>
      <c r="B189" s="19"/>
      <c r="C189" s="19"/>
      <c r="D189" s="19"/>
      <c r="E189" s="19"/>
      <c r="F189" s="20"/>
      <c r="G189" s="19"/>
      <c r="H189" s="19"/>
    </row>
    <row r="190" spans="1:8">
      <c r="A190" s="19"/>
      <c r="B190" s="19"/>
      <c r="C190" s="19"/>
      <c r="D190" s="19"/>
      <c r="E190" s="19"/>
      <c r="F190" s="20"/>
      <c r="G190" s="19"/>
      <c r="H190" s="19"/>
    </row>
    <row r="191" spans="1:8">
      <c r="A191" s="19"/>
      <c r="B191" s="19"/>
      <c r="C191" s="19"/>
      <c r="D191" s="19"/>
      <c r="E191" s="19"/>
      <c r="F191" s="20"/>
      <c r="G191" s="19"/>
      <c r="H191" s="19"/>
    </row>
    <row r="192" spans="1:8">
      <c r="A192" s="19"/>
      <c r="B192" s="19"/>
      <c r="C192" s="19"/>
      <c r="D192" s="19"/>
      <c r="E192" s="19"/>
      <c r="F192" s="20"/>
      <c r="G192" s="19"/>
      <c r="H192" s="19"/>
    </row>
    <row r="193" spans="1:8">
      <c r="A193" s="19"/>
      <c r="B193" s="19"/>
      <c r="C193" s="19"/>
      <c r="D193" s="19"/>
      <c r="E193" s="19"/>
      <c r="F193" s="20"/>
      <c r="G193" s="19"/>
      <c r="H193" s="19"/>
    </row>
    <row r="194" spans="1:8">
      <c r="A194" s="19"/>
      <c r="B194" s="19"/>
      <c r="C194" s="19"/>
      <c r="D194" s="19"/>
      <c r="E194" s="19"/>
      <c r="F194" s="20"/>
      <c r="G194" s="19"/>
      <c r="H194" s="19"/>
    </row>
    <row r="195" spans="1:8">
      <c r="A195" s="19"/>
      <c r="B195" s="19"/>
      <c r="C195" s="19"/>
      <c r="D195" s="19"/>
      <c r="E195" s="19"/>
      <c r="F195" s="20"/>
      <c r="G195" s="19"/>
      <c r="H195" s="19"/>
    </row>
    <row r="196" spans="1:8">
      <c r="A196" s="19"/>
      <c r="B196" s="19"/>
      <c r="C196" s="19"/>
      <c r="D196" s="19"/>
      <c r="E196" s="19"/>
      <c r="F196" s="20"/>
      <c r="G196" s="19"/>
      <c r="H196" s="19"/>
    </row>
    <row r="197" spans="1:8">
      <c r="A197" s="19"/>
      <c r="B197" s="19"/>
      <c r="C197" s="19"/>
      <c r="D197" s="19"/>
      <c r="E197" s="19"/>
      <c r="F197" s="20"/>
      <c r="G197" s="19"/>
      <c r="H197" s="19"/>
    </row>
    <row r="198" spans="1:8">
      <c r="A198" s="19"/>
      <c r="B198" s="19"/>
      <c r="C198" s="19"/>
      <c r="D198" s="19"/>
      <c r="E198" s="19"/>
      <c r="F198" s="20"/>
      <c r="G198" s="19"/>
      <c r="H198" s="19"/>
    </row>
    <row r="199" spans="1:8">
      <c r="A199" s="19"/>
      <c r="B199" s="19"/>
      <c r="C199" s="19"/>
      <c r="D199" s="19"/>
      <c r="E199" s="19"/>
      <c r="F199" s="20"/>
      <c r="G199" s="19"/>
      <c r="H199" s="19"/>
    </row>
    <row r="200" spans="1:8">
      <c r="A200" s="19"/>
      <c r="B200" s="19"/>
      <c r="C200" s="19"/>
      <c r="D200" s="19"/>
      <c r="E200" s="19"/>
      <c r="F200" s="20"/>
      <c r="G200" s="19"/>
      <c r="H200" s="19"/>
    </row>
    <row r="201" spans="1:8">
      <c r="A201" s="19"/>
      <c r="B201" s="19"/>
      <c r="C201" s="19"/>
      <c r="D201" s="19"/>
      <c r="E201" s="19"/>
      <c r="F201" s="20"/>
      <c r="G201" s="19"/>
      <c r="H201" s="19"/>
    </row>
    <row r="202" spans="1:8">
      <c r="A202" s="19"/>
      <c r="B202" s="19"/>
      <c r="C202" s="19"/>
      <c r="D202" s="19"/>
      <c r="E202" s="19"/>
      <c r="F202" s="20"/>
      <c r="G202" s="19"/>
      <c r="H202" s="19"/>
    </row>
    <row r="203" spans="1:8">
      <c r="A203" s="19"/>
      <c r="B203" s="19"/>
      <c r="C203" s="19"/>
      <c r="D203" s="19"/>
      <c r="E203" s="19"/>
      <c r="F203" s="20"/>
      <c r="G203" s="19"/>
      <c r="H203" s="19"/>
    </row>
    <row r="204" spans="1:8">
      <c r="A204" s="19"/>
      <c r="B204" s="19"/>
      <c r="C204" s="19"/>
      <c r="D204" s="19"/>
      <c r="E204" s="19"/>
      <c r="F204" s="20"/>
      <c r="G204" s="19"/>
      <c r="H204" s="19"/>
    </row>
    <row r="205" spans="1:8">
      <c r="A205" s="19"/>
      <c r="B205" s="19"/>
      <c r="C205" s="19"/>
      <c r="D205" s="19"/>
      <c r="E205" s="19"/>
      <c r="F205" s="20"/>
      <c r="G205" s="19"/>
      <c r="H205" s="19"/>
    </row>
    <row r="206" spans="1:8">
      <c r="A206" s="19"/>
      <c r="B206" s="19"/>
      <c r="C206" s="19"/>
      <c r="D206" s="19"/>
      <c r="E206" s="19"/>
      <c r="F206" s="20"/>
      <c r="G206" s="19"/>
      <c r="H206" s="19"/>
    </row>
    <row r="207" spans="1:8">
      <c r="A207" s="19"/>
      <c r="B207" s="19"/>
      <c r="C207" s="19"/>
      <c r="D207" s="19"/>
      <c r="E207" s="19"/>
      <c r="F207" s="20"/>
      <c r="G207" s="19"/>
      <c r="H207" s="19"/>
    </row>
    <row r="208" spans="1:8">
      <c r="A208" s="19"/>
      <c r="B208" s="19"/>
      <c r="C208" s="19"/>
      <c r="D208" s="19"/>
      <c r="E208" s="19"/>
      <c r="F208" s="20"/>
      <c r="G208" s="19"/>
      <c r="H208" s="19"/>
    </row>
    <row r="209" spans="1:8">
      <c r="A209" s="19"/>
      <c r="B209" s="19"/>
      <c r="C209" s="19"/>
      <c r="D209" s="19"/>
      <c r="E209" s="19"/>
      <c r="F209" s="20"/>
      <c r="G209" s="19"/>
      <c r="H209" s="19"/>
    </row>
    <row r="210" spans="1:8">
      <c r="A210" s="19"/>
      <c r="B210" s="19"/>
      <c r="C210" s="19"/>
      <c r="D210" s="19"/>
      <c r="E210" s="19"/>
      <c r="F210" s="20"/>
      <c r="G210" s="19"/>
      <c r="H210" s="19"/>
    </row>
    <row r="211" spans="1:8">
      <c r="A211" s="19"/>
      <c r="B211" s="19"/>
      <c r="C211" s="19"/>
      <c r="D211" s="19"/>
      <c r="E211" s="19"/>
      <c r="F211" s="20"/>
      <c r="G211" s="19"/>
      <c r="H211" s="19"/>
    </row>
    <row r="212" spans="1:8">
      <c r="A212" s="19"/>
      <c r="B212" s="19"/>
      <c r="C212" s="19"/>
      <c r="D212" s="19"/>
      <c r="E212" s="19"/>
      <c r="F212" s="20"/>
      <c r="G212" s="19"/>
      <c r="H212" s="19"/>
    </row>
    <row r="213" spans="1:8">
      <c r="A213" s="19"/>
      <c r="B213" s="19"/>
      <c r="C213" s="19"/>
      <c r="D213" s="19"/>
      <c r="E213" s="19"/>
      <c r="F213" s="20"/>
      <c r="G213" s="19"/>
      <c r="H213" s="19"/>
    </row>
    <row r="214" spans="1:8">
      <c r="A214" s="19"/>
      <c r="B214" s="19"/>
      <c r="C214" s="19"/>
      <c r="D214" s="19"/>
      <c r="E214" s="19"/>
      <c r="F214" s="20"/>
      <c r="G214" s="19"/>
      <c r="H214" s="19"/>
    </row>
    <row r="215" spans="1:8">
      <c r="A215" s="19"/>
      <c r="B215" s="19"/>
      <c r="C215" s="19"/>
      <c r="D215" s="19"/>
      <c r="E215" s="19"/>
      <c r="F215" s="20"/>
      <c r="G215" s="19"/>
      <c r="H215" s="19"/>
    </row>
    <row r="216" spans="1:8">
      <c r="A216" s="19"/>
      <c r="B216" s="19"/>
      <c r="C216" s="19"/>
      <c r="D216" s="19"/>
      <c r="E216" s="19"/>
      <c r="F216" s="20"/>
      <c r="G216" s="19"/>
      <c r="H216" s="19"/>
    </row>
    <row r="217" spans="1:8">
      <c r="A217" s="19"/>
      <c r="B217" s="19"/>
      <c r="C217" s="19"/>
      <c r="D217" s="19"/>
      <c r="E217" s="19"/>
      <c r="F217" s="20"/>
      <c r="G217" s="19"/>
      <c r="H217" s="19"/>
    </row>
    <row r="218" spans="1:8">
      <c r="A218" s="19"/>
      <c r="B218" s="19"/>
      <c r="C218" s="19"/>
      <c r="D218" s="19"/>
      <c r="E218" s="19"/>
      <c r="F218" s="20"/>
      <c r="G218" s="19"/>
      <c r="H218" s="19"/>
    </row>
    <row r="219" spans="1:8">
      <c r="A219" s="19"/>
      <c r="B219" s="19"/>
      <c r="C219" s="19"/>
      <c r="D219" s="19"/>
      <c r="E219" s="19"/>
      <c r="F219" s="20"/>
      <c r="G219" s="19"/>
      <c r="H219" s="19"/>
    </row>
    <row r="220" spans="1:8">
      <c r="A220" s="19"/>
      <c r="B220" s="19"/>
      <c r="C220" s="19"/>
      <c r="D220" s="19"/>
      <c r="E220" s="19"/>
      <c r="F220" s="20"/>
      <c r="G220" s="19"/>
      <c r="H220" s="19"/>
    </row>
    <row r="221" spans="1:8">
      <c r="A221" s="19"/>
      <c r="B221" s="19"/>
      <c r="C221" s="19"/>
      <c r="D221" s="19"/>
      <c r="E221" s="19"/>
      <c r="F221" s="20"/>
      <c r="G221" s="19"/>
      <c r="H221" s="19"/>
    </row>
    <row r="222" spans="1:8">
      <c r="A222" s="19"/>
      <c r="B222" s="19"/>
      <c r="C222" s="19"/>
      <c r="D222" s="19"/>
      <c r="E222" s="19"/>
      <c r="F222" s="20"/>
      <c r="G222" s="19"/>
      <c r="H222" s="19"/>
    </row>
    <row r="223" spans="1:8">
      <c r="A223" s="19"/>
      <c r="B223" s="19"/>
      <c r="C223" s="19"/>
      <c r="D223" s="19"/>
      <c r="E223" s="19"/>
      <c r="F223" s="20"/>
      <c r="G223" s="19"/>
      <c r="H223" s="19"/>
    </row>
    <row r="224" spans="1:8">
      <c r="A224" s="19"/>
      <c r="B224" s="19"/>
      <c r="C224" s="19"/>
      <c r="D224" s="19"/>
      <c r="E224" s="19"/>
      <c r="F224" s="20"/>
      <c r="G224" s="19"/>
      <c r="H224" s="19"/>
    </row>
    <row r="225" spans="1:8">
      <c r="A225" s="19"/>
      <c r="B225" s="19"/>
      <c r="C225" s="19"/>
      <c r="D225" s="19"/>
      <c r="E225" s="19"/>
      <c r="F225" s="20"/>
      <c r="G225" s="19"/>
      <c r="H225" s="19"/>
    </row>
    <row r="226" spans="1:8">
      <c r="A226" s="19"/>
      <c r="B226" s="19"/>
      <c r="C226" s="19"/>
      <c r="D226" s="19"/>
      <c r="E226" s="19"/>
      <c r="F226" s="20"/>
      <c r="G226" s="19"/>
      <c r="H226" s="19"/>
    </row>
    <row r="227" spans="1:8">
      <c r="A227" s="19"/>
      <c r="B227" s="19"/>
      <c r="C227" s="19"/>
      <c r="D227" s="19"/>
      <c r="E227" s="19"/>
      <c r="F227" s="20"/>
      <c r="G227" s="19"/>
      <c r="H227" s="19"/>
    </row>
    <row r="228" spans="1:8">
      <c r="A228" s="19"/>
      <c r="B228" s="19"/>
      <c r="C228" s="19"/>
      <c r="D228" s="19"/>
      <c r="E228" s="19"/>
      <c r="F228" s="20"/>
      <c r="G228" s="19"/>
      <c r="H228" s="19"/>
    </row>
    <row r="229" spans="1:8">
      <c r="A229" s="19"/>
      <c r="B229" s="19"/>
      <c r="C229" s="19"/>
      <c r="D229" s="19"/>
      <c r="E229" s="19"/>
      <c r="F229" s="20"/>
      <c r="G229" s="19"/>
      <c r="H229" s="19"/>
    </row>
    <row r="230" spans="1:8">
      <c r="A230" s="19"/>
      <c r="B230" s="19"/>
      <c r="C230" s="19"/>
      <c r="D230" s="19"/>
      <c r="E230" s="19"/>
      <c r="F230" s="20"/>
      <c r="G230" s="19"/>
      <c r="H230" s="19"/>
    </row>
    <row r="231" spans="1:8">
      <c r="A231" s="19"/>
      <c r="B231" s="19"/>
      <c r="C231" s="19"/>
      <c r="D231" s="19"/>
      <c r="E231" s="19"/>
      <c r="F231" s="20"/>
      <c r="G231" s="19"/>
      <c r="H231" s="19"/>
    </row>
    <row r="232" spans="1:8">
      <c r="A232" s="19"/>
      <c r="B232" s="19"/>
      <c r="C232" s="19"/>
      <c r="D232" s="19"/>
      <c r="E232" s="19"/>
      <c r="F232" s="20"/>
      <c r="G232" s="19"/>
      <c r="H232" s="19"/>
    </row>
    <row r="233" spans="1:8">
      <c r="A233" s="19"/>
      <c r="B233" s="19"/>
      <c r="C233" s="19"/>
      <c r="D233" s="19"/>
      <c r="E233" s="19"/>
      <c r="F233" s="20"/>
      <c r="G233" s="19"/>
      <c r="H233" s="19"/>
    </row>
    <row r="234" spans="1:8">
      <c r="A234" s="19"/>
      <c r="B234" s="19"/>
      <c r="C234" s="19"/>
      <c r="D234" s="19"/>
      <c r="E234" s="19"/>
      <c r="F234" s="20"/>
      <c r="G234" s="19"/>
      <c r="H234" s="19"/>
    </row>
    <row r="235" spans="1:8">
      <c r="A235" s="19"/>
      <c r="B235" s="19"/>
      <c r="C235" s="19"/>
      <c r="D235" s="19"/>
      <c r="E235" s="19"/>
      <c r="F235" s="20"/>
      <c r="G235" s="19"/>
      <c r="H235" s="19"/>
    </row>
    <row r="236" spans="1:8">
      <c r="A236" s="19"/>
      <c r="B236" s="19"/>
      <c r="C236" s="19"/>
      <c r="D236" s="19"/>
      <c r="E236" s="19"/>
      <c r="F236" s="20"/>
      <c r="G236" s="19"/>
      <c r="H236" s="19"/>
    </row>
    <row r="237" spans="1:8">
      <c r="A237" s="19"/>
      <c r="B237" s="19"/>
      <c r="C237" s="19"/>
      <c r="D237" s="19"/>
      <c r="E237" s="19"/>
      <c r="F237" s="20"/>
      <c r="G237" s="19"/>
      <c r="H237" s="19"/>
    </row>
    <row r="238" spans="1:8">
      <c r="A238" s="19"/>
      <c r="B238" s="19"/>
      <c r="C238" s="19"/>
      <c r="D238" s="19"/>
      <c r="E238" s="19"/>
      <c r="F238" s="20"/>
      <c r="G238" s="19"/>
      <c r="H238" s="19"/>
    </row>
    <row r="239" spans="1:8">
      <c r="A239" s="19"/>
      <c r="B239" s="19"/>
      <c r="C239" s="19"/>
      <c r="D239" s="19"/>
      <c r="E239" s="19"/>
      <c r="F239" s="20"/>
      <c r="G239" s="19"/>
      <c r="H239" s="19"/>
    </row>
    <row r="240" spans="1:8">
      <c r="A240" s="19"/>
      <c r="B240" s="19"/>
      <c r="C240" s="19"/>
      <c r="D240" s="19"/>
      <c r="E240" s="19"/>
      <c r="F240" s="20"/>
      <c r="G240" s="19"/>
      <c r="H240" s="19"/>
    </row>
    <row r="241" spans="1:8">
      <c r="A241" s="19"/>
      <c r="B241" s="19"/>
      <c r="C241" s="19"/>
      <c r="D241" s="19"/>
      <c r="E241" s="19"/>
      <c r="F241" s="20"/>
      <c r="G241" s="19"/>
      <c r="H241" s="19"/>
    </row>
    <row r="242" spans="1:8">
      <c r="A242" s="19"/>
      <c r="B242" s="19"/>
      <c r="C242" s="19"/>
      <c r="D242" s="19"/>
      <c r="E242" s="19"/>
      <c r="F242" s="20"/>
      <c r="G242" s="19"/>
      <c r="H242" s="19"/>
    </row>
    <row r="243" spans="1:8">
      <c r="A243" s="19"/>
      <c r="B243" s="19"/>
      <c r="C243" s="19"/>
      <c r="D243" s="19"/>
      <c r="E243" s="19"/>
      <c r="F243" s="20"/>
      <c r="G243" s="19"/>
      <c r="H243" s="19"/>
    </row>
    <row r="244" spans="1:8">
      <c r="A244" s="19"/>
      <c r="B244" s="19"/>
      <c r="C244" s="19"/>
      <c r="D244" s="19"/>
      <c r="E244" s="19"/>
      <c r="F244" s="20"/>
      <c r="G244" s="19"/>
      <c r="H244" s="19"/>
    </row>
    <row r="245" spans="1:8">
      <c r="A245" s="19"/>
      <c r="B245" s="19"/>
      <c r="C245" s="19"/>
      <c r="D245" s="19"/>
      <c r="E245" s="19"/>
      <c r="F245" s="20"/>
      <c r="G245" s="19"/>
      <c r="H245" s="19"/>
    </row>
    <row r="246" spans="1:8">
      <c r="A246" s="19"/>
      <c r="B246" s="19"/>
      <c r="C246" s="19"/>
      <c r="D246" s="19"/>
      <c r="E246" s="19"/>
      <c r="F246" s="20"/>
      <c r="G246" s="19"/>
      <c r="H246" s="19"/>
    </row>
    <row r="247" spans="1:8">
      <c r="A247" s="19"/>
      <c r="B247" s="19"/>
      <c r="C247" s="19"/>
      <c r="D247" s="19"/>
      <c r="E247" s="19"/>
      <c r="F247" s="20"/>
      <c r="G247" s="19"/>
      <c r="H247" s="19"/>
    </row>
    <row r="248" spans="1:8">
      <c r="A248" s="19"/>
      <c r="B248" s="19"/>
      <c r="C248" s="19"/>
      <c r="D248" s="19"/>
      <c r="E248" s="19"/>
      <c r="F248" s="20"/>
      <c r="G248" s="19"/>
      <c r="H248" s="19"/>
    </row>
    <row r="249" spans="1:8">
      <c r="A249" s="19"/>
      <c r="B249" s="19"/>
      <c r="C249" s="19"/>
      <c r="D249" s="19"/>
      <c r="E249" s="19"/>
      <c r="F249" s="20"/>
      <c r="G249" s="19"/>
      <c r="H249" s="19"/>
    </row>
    <row r="250" spans="1:8">
      <c r="A250" s="19"/>
      <c r="B250" s="19"/>
      <c r="C250" s="19"/>
      <c r="D250" s="19"/>
      <c r="E250" s="19"/>
      <c r="F250" s="20"/>
      <c r="G250" s="19"/>
      <c r="H250" s="19"/>
    </row>
    <row r="251" spans="1:8">
      <c r="A251" s="19"/>
      <c r="B251" s="19"/>
      <c r="C251" s="19"/>
      <c r="D251" s="19"/>
      <c r="E251" s="19"/>
      <c r="F251" s="20"/>
      <c r="G251" s="19"/>
      <c r="H251" s="19"/>
    </row>
    <row r="252" spans="1:8">
      <c r="A252" s="19"/>
      <c r="B252" s="19"/>
      <c r="C252" s="19"/>
      <c r="D252" s="19"/>
      <c r="E252" s="19"/>
      <c r="F252" s="20"/>
      <c r="G252" s="19"/>
      <c r="H252" s="19"/>
    </row>
    <row r="253" spans="1:8">
      <c r="A253" s="19"/>
      <c r="B253" s="19"/>
      <c r="C253" s="19"/>
      <c r="D253" s="19"/>
      <c r="E253" s="19"/>
      <c r="F253" s="20"/>
      <c r="G253" s="19"/>
      <c r="H253" s="19"/>
    </row>
    <row r="254" spans="1:8">
      <c r="A254" s="19"/>
      <c r="B254" s="19"/>
      <c r="C254" s="19"/>
      <c r="D254" s="19"/>
      <c r="E254" s="19"/>
      <c r="F254" s="20"/>
      <c r="G254" s="19"/>
      <c r="H254" s="19"/>
    </row>
    <row r="255" spans="1:8">
      <c r="A255" s="19"/>
      <c r="B255" s="19"/>
      <c r="C255" s="19"/>
      <c r="D255" s="19"/>
      <c r="E255" s="19"/>
      <c r="F255" s="20"/>
      <c r="G255" s="19"/>
      <c r="H255" s="19"/>
    </row>
    <row r="256" spans="1:8">
      <c r="A256" s="19"/>
      <c r="B256" s="19"/>
      <c r="C256" s="19"/>
      <c r="D256" s="19"/>
      <c r="E256" s="19"/>
      <c r="F256" s="20"/>
      <c r="G256" s="19"/>
      <c r="H256" s="19"/>
    </row>
    <row r="257" spans="1:8">
      <c r="A257" s="19"/>
      <c r="B257" s="19"/>
      <c r="C257" s="19"/>
      <c r="D257" s="19"/>
      <c r="E257" s="19"/>
      <c r="F257" s="20"/>
      <c r="G257" s="19"/>
      <c r="H257" s="19"/>
    </row>
    <row r="258" spans="1:8">
      <c r="A258" s="19"/>
      <c r="B258" s="19"/>
      <c r="C258" s="19"/>
      <c r="D258" s="19"/>
      <c r="E258" s="19"/>
      <c r="F258" s="20"/>
      <c r="G258" s="19"/>
      <c r="H258" s="19"/>
    </row>
    <row r="259" spans="1:8">
      <c r="A259" s="19"/>
      <c r="B259" s="19"/>
      <c r="C259" s="19"/>
      <c r="D259" s="19"/>
      <c r="E259" s="19"/>
      <c r="F259" s="20"/>
      <c r="G259" s="19"/>
      <c r="H259" s="19"/>
    </row>
    <row r="260" spans="1:8">
      <c r="A260" s="19"/>
      <c r="B260" s="19"/>
      <c r="C260" s="19"/>
      <c r="D260" s="19"/>
      <c r="E260" s="19"/>
      <c r="F260" s="20"/>
      <c r="G260" s="19"/>
      <c r="H260" s="19"/>
    </row>
    <row r="261" spans="1:8">
      <c r="A261" s="19"/>
      <c r="B261" s="19"/>
      <c r="C261" s="19"/>
      <c r="D261" s="19"/>
      <c r="E261" s="19"/>
      <c r="F261" s="20"/>
      <c r="G261" s="19"/>
      <c r="H261" s="19"/>
    </row>
    <row r="262" spans="1:8">
      <c r="A262" s="19"/>
      <c r="B262" s="19"/>
      <c r="C262" s="19"/>
      <c r="D262" s="19"/>
      <c r="E262" s="19"/>
      <c r="F262" s="20"/>
      <c r="G262" s="19"/>
      <c r="H262" s="19"/>
    </row>
    <row r="263" spans="1:8">
      <c r="A263" s="19"/>
      <c r="B263" s="19"/>
      <c r="C263" s="19"/>
      <c r="D263" s="19"/>
      <c r="E263" s="19"/>
      <c r="F263" s="20"/>
      <c r="G263" s="19"/>
      <c r="H263" s="19"/>
    </row>
    <row r="264" spans="1:8">
      <c r="A264" s="19"/>
      <c r="B264" s="19"/>
      <c r="C264" s="19"/>
      <c r="D264" s="19"/>
      <c r="E264" s="19"/>
      <c r="F264" s="20"/>
      <c r="G264" s="19"/>
      <c r="H264" s="19"/>
    </row>
    <row r="265" spans="1:8">
      <c r="A265" s="19"/>
      <c r="B265" s="19"/>
      <c r="C265" s="19"/>
      <c r="D265" s="19"/>
      <c r="E265" s="19"/>
      <c r="F265" s="20"/>
      <c r="G265" s="19"/>
      <c r="H265" s="19"/>
    </row>
    <row r="266" spans="1:8">
      <c r="A266" s="19"/>
      <c r="B266" s="19"/>
      <c r="C266" s="19"/>
      <c r="D266" s="19"/>
      <c r="E266" s="19"/>
      <c r="F266" s="20"/>
      <c r="G266" s="19"/>
      <c r="H266" s="19"/>
    </row>
    <row r="267" spans="1:8">
      <c r="A267" s="19"/>
      <c r="B267" s="19"/>
      <c r="C267" s="19"/>
      <c r="D267" s="19"/>
      <c r="E267" s="19"/>
      <c r="F267" s="20"/>
      <c r="G267" s="19"/>
      <c r="H267" s="19"/>
    </row>
    <row r="268" spans="1:8">
      <c r="A268" s="19"/>
      <c r="B268" s="19"/>
      <c r="C268" s="19"/>
      <c r="D268" s="19"/>
      <c r="E268" s="19"/>
      <c r="F268" s="20"/>
      <c r="G268" s="19"/>
      <c r="H268" s="19"/>
    </row>
    <row r="269" spans="1:8">
      <c r="A269" s="19"/>
      <c r="B269" s="19"/>
      <c r="C269" s="19"/>
      <c r="D269" s="19"/>
      <c r="E269" s="19"/>
      <c r="F269" s="20"/>
      <c r="G269" s="19"/>
      <c r="H269" s="19"/>
    </row>
    <row r="270" spans="1:8">
      <c r="A270" s="19"/>
      <c r="B270" s="19"/>
      <c r="C270" s="19"/>
      <c r="D270" s="19"/>
      <c r="E270" s="19"/>
      <c r="F270" s="20"/>
      <c r="G270" s="19"/>
      <c r="H270" s="19"/>
    </row>
    <row r="271" spans="1:8">
      <c r="A271" s="19"/>
      <c r="B271" s="19"/>
      <c r="C271" s="19"/>
      <c r="D271" s="19"/>
      <c r="E271" s="19"/>
      <c r="F271" s="20"/>
      <c r="G271" s="19"/>
      <c r="H271" s="19"/>
    </row>
    <row r="272" spans="1:8">
      <c r="A272" s="19"/>
      <c r="B272" s="19"/>
      <c r="C272" s="19"/>
      <c r="D272" s="19"/>
      <c r="E272" s="19"/>
      <c r="F272" s="20"/>
      <c r="G272" s="19"/>
      <c r="H272" s="19"/>
    </row>
    <row r="273" spans="1:8">
      <c r="A273" s="19"/>
      <c r="B273" s="19"/>
      <c r="C273" s="19"/>
      <c r="D273" s="19"/>
      <c r="E273" s="19"/>
      <c r="F273" s="20"/>
      <c r="G273" s="19"/>
      <c r="H273" s="19"/>
    </row>
    <row r="274" spans="1:8">
      <c r="A274" s="19"/>
      <c r="B274" s="19"/>
      <c r="C274" s="19"/>
      <c r="D274" s="19"/>
      <c r="E274" s="19"/>
      <c r="F274" s="20"/>
      <c r="G274" s="19"/>
      <c r="H274" s="19"/>
    </row>
    <row r="275" spans="1:8">
      <c r="A275" s="19"/>
      <c r="B275" s="19"/>
      <c r="C275" s="19"/>
      <c r="D275" s="19"/>
      <c r="E275" s="19"/>
      <c r="F275" s="20"/>
      <c r="G275" s="19"/>
      <c r="H275" s="19"/>
    </row>
    <row r="276" spans="1:8">
      <c r="A276" s="19"/>
      <c r="B276" s="19"/>
      <c r="C276" s="19"/>
      <c r="D276" s="19"/>
      <c r="E276" s="19"/>
      <c r="F276" s="20"/>
      <c r="G276" s="19"/>
      <c r="H276" s="19"/>
    </row>
    <row r="277" spans="1:8">
      <c r="A277" s="19"/>
      <c r="B277" s="19"/>
      <c r="C277" s="19"/>
      <c r="D277" s="19"/>
      <c r="E277" s="19"/>
      <c r="F277" s="20"/>
      <c r="G277" s="19"/>
      <c r="H277" s="19"/>
    </row>
    <row r="278" spans="1:8">
      <c r="A278" s="19"/>
      <c r="B278" s="19"/>
      <c r="C278" s="19"/>
      <c r="D278" s="19"/>
      <c r="E278" s="19"/>
      <c r="F278" s="20"/>
      <c r="G278" s="19"/>
      <c r="H278" s="19"/>
    </row>
    <row r="279" spans="1:8">
      <c r="A279" s="19"/>
      <c r="B279" s="19"/>
      <c r="C279" s="19"/>
      <c r="D279" s="19"/>
      <c r="E279" s="19"/>
      <c r="F279" s="20"/>
      <c r="G279" s="19"/>
      <c r="H279" s="19"/>
    </row>
    <row r="280" spans="1:8">
      <c r="A280" s="19"/>
      <c r="B280" s="19"/>
      <c r="C280" s="19"/>
      <c r="D280" s="19"/>
      <c r="E280" s="19"/>
      <c r="F280" s="20"/>
      <c r="G280" s="19"/>
      <c r="H280" s="19"/>
    </row>
    <row r="281" spans="1:8">
      <c r="A281" s="19"/>
      <c r="B281" s="19"/>
      <c r="C281" s="19"/>
      <c r="D281" s="19"/>
      <c r="E281" s="19"/>
      <c r="F281" s="20"/>
      <c r="G281" s="19"/>
      <c r="H281" s="19"/>
    </row>
    <row r="282" spans="1:8">
      <c r="A282" s="19"/>
      <c r="B282" s="19"/>
      <c r="C282" s="19"/>
      <c r="D282" s="19"/>
      <c r="E282" s="19"/>
      <c r="F282" s="20"/>
      <c r="G282" s="19"/>
      <c r="H282" s="19"/>
    </row>
    <row r="283" spans="1:8">
      <c r="A283" s="19"/>
      <c r="B283" s="19"/>
      <c r="C283" s="19"/>
      <c r="D283" s="19"/>
      <c r="E283" s="19"/>
      <c r="F283" s="20"/>
      <c r="G283" s="19"/>
      <c r="H283" s="19"/>
    </row>
    <row r="284" spans="1:8">
      <c r="A284" s="19"/>
      <c r="B284" s="19"/>
      <c r="C284" s="19"/>
      <c r="D284" s="19"/>
      <c r="E284" s="19"/>
      <c r="F284" s="20"/>
      <c r="G284" s="19"/>
      <c r="H284" s="19"/>
    </row>
    <row r="285" spans="1:8">
      <c r="A285" s="19"/>
      <c r="B285" s="19"/>
      <c r="C285" s="19"/>
      <c r="D285" s="19"/>
      <c r="E285" s="19"/>
      <c r="F285" s="20"/>
      <c r="G285" s="19"/>
      <c r="H285" s="19"/>
    </row>
    <row r="286" spans="1:8">
      <c r="A286" s="19"/>
      <c r="B286" s="19"/>
      <c r="C286" s="19"/>
      <c r="D286" s="19"/>
      <c r="E286" s="19"/>
      <c r="F286" s="20"/>
      <c r="G286" s="19"/>
      <c r="H286" s="19"/>
    </row>
    <row r="287" spans="1:8">
      <c r="A287" s="19"/>
      <c r="B287" s="19"/>
      <c r="C287" s="19"/>
      <c r="D287" s="19"/>
      <c r="E287" s="19"/>
      <c r="F287" s="20"/>
      <c r="G287" s="19"/>
      <c r="H287" s="19"/>
    </row>
    <row r="288" spans="1:8">
      <c r="A288" s="19"/>
      <c r="B288" s="19"/>
      <c r="C288" s="19"/>
      <c r="D288" s="19"/>
      <c r="E288" s="19"/>
      <c r="F288" s="20"/>
      <c r="G288" s="19"/>
      <c r="H288" s="19"/>
    </row>
    <row r="289" spans="1:8">
      <c r="A289" s="19"/>
      <c r="B289" s="19"/>
      <c r="C289" s="19"/>
      <c r="D289" s="19"/>
      <c r="E289" s="19"/>
      <c r="F289" s="20"/>
      <c r="G289" s="19"/>
      <c r="H289" s="19"/>
    </row>
    <row r="290" spans="1:8">
      <c r="A290" s="19"/>
      <c r="B290" s="19"/>
      <c r="C290" s="19"/>
      <c r="D290" s="19"/>
      <c r="E290" s="19"/>
      <c r="F290" s="20"/>
      <c r="G290" s="19"/>
      <c r="H290" s="19"/>
    </row>
    <row r="291" spans="1:8">
      <c r="A291" s="19"/>
      <c r="B291" s="19"/>
      <c r="C291" s="19"/>
      <c r="D291" s="19"/>
      <c r="E291" s="19"/>
      <c r="F291" s="20"/>
      <c r="G291" s="19"/>
      <c r="H291" s="19"/>
    </row>
    <row r="292" spans="1:8">
      <c r="A292" s="19"/>
      <c r="B292" s="19"/>
      <c r="C292" s="19"/>
      <c r="D292" s="19"/>
      <c r="E292" s="19"/>
      <c r="F292" s="20"/>
      <c r="G292" s="19"/>
      <c r="H292" s="19"/>
    </row>
    <row r="293" spans="1:8">
      <c r="A293" s="19"/>
      <c r="B293" s="19"/>
      <c r="C293" s="19"/>
      <c r="D293" s="19"/>
      <c r="E293" s="19"/>
      <c r="F293" s="20"/>
      <c r="G293" s="19"/>
      <c r="H293" s="19"/>
    </row>
    <row r="294" spans="1:8">
      <c r="A294" s="19"/>
      <c r="B294" s="19"/>
      <c r="C294" s="19"/>
      <c r="D294" s="19"/>
      <c r="E294" s="19"/>
      <c r="F294" s="20"/>
      <c r="G294" s="19"/>
      <c r="H294" s="19"/>
    </row>
    <row r="295" spans="1:8">
      <c r="A295" s="19"/>
      <c r="B295" s="19"/>
      <c r="C295" s="19"/>
      <c r="D295" s="19"/>
      <c r="E295" s="19"/>
      <c r="F295" s="20"/>
      <c r="G295" s="19"/>
      <c r="H295" s="19"/>
    </row>
    <row r="296" spans="1:8">
      <c r="A296" s="19"/>
      <c r="B296" s="19"/>
      <c r="C296" s="19"/>
      <c r="D296" s="19"/>
      <c r="E296" s="19"/>
      <c r="F296" s="20"/>
      <c r="G296" s="19"/>
      <c r="H296" s="19"/>
    </row>
    <row r="297" spans="1:8">
      <c r="A297" s="19"/>
      <c r="B297" s="19"/>
      <c r="C297" s="19"/>
      <c r="D297" s="19"/>
      <c r="E297" s="19"/>
      <c r="F297" s="20"/>
      <c r="G297" s="19"/>
      <c r="H297" s="19"/>
    </row>
    <row r="298" spans="1:8">
      <c r="A298" s="19"/>
      <c r="B298" s="19"/>
      <c r="C298" s="19"/>
      <c r="D298" s="19"/>
      <c r="E298" s="19"/>
      <c r="F298" s="20"/>
      <c r="G298" s="19"/>
      <c r="H298" s="19"/>
    </row>
    <row r="299" spans="1:8">
      <c r="A299" s="19"/>
      <c r="B299" s="19"/>
      <c r="C299" s="19"/>
      <c r="D299" s="19"/>
      <c r="E299" s="19"/>
      <c r="F299" s="20"/>
      <c r="G299" s="19"/>
      <c r="H299" s="19"/>
    </row>
    <row r="300" spans="1:8">
      <c r="A300" s="19"/>
      <c r="B300" s="19"/>
      <c r="C300" s="19"/>
      <c r="D300" s="19"/>
      <c r="E300" s="19"/>
      <c r="F300" s="20"/>
      <c r="G300" s="19"/>
      <c r="H300" s="19"/>
    </row>
    <row r="301" spans="1:8">
      <c r="A301" s="19"/>
      <c r="B301" s="19"/>
      <c r="C301" s="19"/>
      <c r="D301" s="19"/>
      <c r="E301" s="19"/>
      <c r="F301" s="20"/>
      <c r="G301" s="19"/>
      <c r="H301" s="19"/>
    </row>
    <row r="302" spans="1:8">
      <c r="A302" s="19"/>
      <c r="B302" s="19"/>
      <c r="C302" s="19"/>
      <c r="D302" s="19"/>
      <c r="E302" s="19"/>
      <c r="F302" s="20"/>
      <c r="G302" s="19"/>
      <c r="H302" s="19"/>
    </row>
    <row r="303" spans="1:8">
      <c r="A303" s="19"/>
      <c r="B303" s="19"/>
      <c r="C303" s="19"/>
      <c r="D303" s="19"/>
      <c r="E303" s="19"/>
      <c r="F303" s="20"/>
      <c r="G303" s="19"/>
      <c r="H303" s="19"/>
    </row>
    <row r="304" spans="1:8">
      <c r="A304" s="19"/>
      <c r="B304" s="19"/>
      <c r="C304" s="19"/>
      <c r="D304" s="19"/>
      <c r="E304" s="19"/>
      <c r="F304" s="20"/>
      <c r="G304" s="19"/>
      <c r="H304" s="19"/>
    </row>
    <row r="305" spans="1:8">
      <c r="A305" s="19"/>
      <c r="B305" s="19"/>
      <c r="C305" s="19"/>
      <c r="D305" s="19"/>
      <c r="E305" s="19"/>
      <c r="F305" s="20"/>
      <c r="G305" s="19"/>
      <c r="H305" s="19"/>
    </row>
    <row r="306" spans="1:8">
      <c r="A306" s="19"/>
      <c r="B306" s="19"/>
      <c r="C306" s="19"/>
      <c r="D306" s="19"/>
      <c r="E306" s="19"/>
      <c r="F306" s="20"/>
      <c r="G306" s="19"/>
      <c r="H306" s="19"/>
    </row>
    <row r="307" spans="1:8">
      <c r="A307" s="19"/>
      <c r="B307" s="19"/>
      <c r="C307" s="19"/>
      <c r="D307" s="19"/>
      <c r="E307" s="19"/>
      <c r="F307" s="20"/>
      <c r="G307" s="19"/>
      <c r="H307" s="19"/>
    </row>
    <row r="308" spans="1:8">
      <c r="A308" s="19"/>
      <c r="B308" s="19"/>
      <c r="C308" s="19"/>
      <c r="D308" s="19"/>
      <c r="E308" s="19"/>
      <c r="F308" s="20"/>
      <c r="G308" s="19"/>
      <c r="H308" s="19"/>
    </row>
    <row r="309" spans="1:8">
      <c r="A309" s="19"/>
      <c r="B309" s="19"/>
      <c r="C309" s="19"/>
      <c r="D309" s="19"/>
      <c r="E309" s="19"/>
      <c r="F309" s="20"/>
      <c r="G309" s="19"/>
      <c r="H309" s="19"/>
    </row>
    <row r="310" spans="1:8">
      <c r="A310" s="19"/>
      <c r="B310" s="19"/>
      <c r="C310" s="19"/>
      <c r="D310" s="19"/>
      <c r="E310" s="19"/>
      <c r="F310" s="20"/>
      <c r="G310" s="19"/>
      <c r="H310" s="19"/>
    </row>
    <row r="311" spans="1:8">
      <c r="A311" s="19"/>
      <c r="B311" s="19"/>
      <c r="C311" s="19"/>
      <c r="D311" s="19"/>
      <c r="E311" s="19"/>
      <c r="F311" s="20"/>
      <c r="G311" s="19"/>
      <c r="H311" s="19"/>
    </row>
    <row r="312" spans="1:8">
      <c r="A312" s="19"/>
      <c r="B312" s="19"/>
      <c r="C312" s="19"/>
      <c r="D312" s="19"/>
      <c r="E312" s="19"/>
      <c r="F312" s="20"/>
      <c r="G312" s="19"/>
      <c r="H312" s="19"/>
    </row>
    <row r="313" spans="1:8">
      <c r="A313" s="19"/>
      <c r="B313" s="19"/>
      <c r="C313" s="19"/>
      <c r="D313" s="19"/>
      <c r="E313" s="19"/>
      <c r="F313" s="20"/>
      <c r="G313" s="19"/>
      <c r="H313" s="19"/>
    </row>
    <row r="314" spans="1:8">
      <c r="A314" s="19"/>
      <c r="B314" s="19"/>
      <c r="C314" s="19"/>
      <c r="D314" s="19"/>
      <c r="E314" s="19"/>
      <c r="F314" s="20"/>
      <c r="G314" s="19"/>
      <c r="H314" s="19"/>
    </row>
    <row r="315" spans="1:8">
      <c r="A315" s="19"/>
      <c r="B315" s="19"/>
      <c r="C315" s="19"/>
      <c r="D315" s="19"/>
      <c r="E315" s="19"/>
      <c r="F315" s="20"/>
      <c r="G315" s="19"/>
      <c r="H315" s="19"/>
    </row>
    <row r="316" spans="1:8">
      <c r="A316" s="19"/>
      <c r="B316" s="19"/>
      <c r="C316" s="19"/>
      <c r="D316" s="19"/>
      <c r="E316" s="19"/>
      <c r="F316" s="20"/>
      <c r="G316" s="19"/>
      <c r="H316" s="19"/>
    </row>
    <row r="317" spans="1:8">
      <c r="A317" s="19"/>
      <c r="B317" s="19"/>
      <c r="C317" s="19"/>
      <c r="D317" s="19"/>
      <c r="E317" s="19"/>
      <c r="F317" s="20"/>
      <c r="G317" s="19"/>
      <c r="H317" s="19"/>
    </row>
    <row r="318" spans="1:8">
      <c r="A318" s="19"/>
      <c r="B318" s="19"/>
      <c r="C318" s="19"/>
      <c r="D318" s="19"/>
      <c r="E318" s="19"/>
      <c r="F318" s="20"/>
      <c r="G318" s="19"/>
      <c r="H318" s="19"/>
    </row>
    <row r="319" spans="1:8">
      <c r="A319" s="19"/>
      <c r="B319" s="19"/>
      <c r="C319" s="19"/>
      <c r="D319" s="19"/>
      <c r="E319" s="19"/>
      <c r="F319" s="20"/>
      <c r="G319" s="19"/>
      <c r="H319" s="19"/>
    </row>
    <row r="320" spans="1:8">
      <c r="A320" s="19"/>
      <c r="B320" s="19"/>
      <c r="C320" s="19"/>
      <c r="D320" s="19"/>
      <c r="E320" s="19"/>
      <c r="F320" s="20"/>
      <c r="G320" s="19"/>
      <c r="H320" s="19"/>
    </row>
    <row r="321" spans="1:8">
      <c r="A321" s="19"/>
      <c r="B321" s="19"/>
      <c r="C321" s="19"/>
      <c r="D321" s="19"/>
      <c r="E321" s="19"/>
      <c r="F321" s="20"/>
      <c r="G321" s="19"/>
      <c r="H321" s="19"/>
    </row>
    <row r="322" spans="1:8">
      <c r="A322" s="19"/>
      <c r="B322" s="19"/>
      <c r="C322" s="19"/>
      <c r="D322" s="19"/>
      <c r="E322" s="19"/>
      <c r="F322" s="20"/>
      <c r="G322" s="19"/>
      <c r="H322" s="19"/>
    </row>
    <row r="323" spans="1:8">
      <c r="A323" s="19"/>
      <c r="B323" s="19"/>
      <c r="C323" s="19"/>
      <c r="D323" s="19"/>
      <c r="E323" s="19"/>
      <c r="F323" s="20"/>
      <c r="G323" s="19"/>
      <c r="H323" s="19"/>
    </row>
    <row r="324" spans="1:8">
      <c r="A324" s="19"/>
      <c r="B324" s="19"/>
      <c r="C324" s="19"/>
      <c r="D324" s="19"/>
      <c r="E324" s="19"/>
      <c r="F324" s="20"/>
      <c r="G324" s="19"/>
      <c r="H324" s="19"/>
    </row>
    <row r="325" spans="1:8">
      <c r="A325" s="19"/>
      <c r="B325" s="19"/>
      <c r="C325" s="19"/>
      <c r="D325" s="19"/>
      <c r="E325" s="19"/>
      <c r="F325" s="20"/>
      <c r="G325" s="19"/>
      <c r="H325" s="19"/>
    </row>
    <row r="326" spans="1:8">
      <c r="A326" s="19"/>
      <c r="B326" s="19"/>
      <c r="C326" s="19"/>
      <c r="D326" s="19"/>
      <c r="E326" s="19"/>
      <c r="F326" s="20"/>
      <c r="G326" s="19"/>
      <c r="H326" s="19"/>
    </row>
    <row r="327" spans="1:8">
      <c r="A327" s="19"/>
      <c r="B327" s="19"/>
      <c r="C327" s="19"/>
      <c r="D327" s="19"/>
      <c r="E327" s="19"/>
      <c r="F327" s="20"/>
      <c r="G327" s="19"/>
      <c r="H327" s="19"/>
    </row>
    <row r="328" spans="1:8">
      <c r="A328" s="19"/>
      <c r="B328" s="19"/>
      <c r="C328" s="19"/>
      <c r="D328" s="19"/>
      <c r="E328" s="19"/>
      <c r="F328" s="20"/>
      <c r="G328" s="19"/>
      <c r="H328" s="19"/>
    </row>
    <row r="329" spans="1:8">
      <c r="A329" s="19"/>
      <c r="B329" s="19"/>
      <c r="C329" s="19"/>
      <c r="D329" s="19"/>
      <c r="E329" s="19"/>
      <c r="F329" s="20"/>
      <c r="G329" s="19"/>
      <c r="H329" s="19"/>
    </row>
    <row r="330" spans="1:8">
      <c r="A330" s="19"/>
      <c r="B330" s="19"/>
      <c r="C330" s="19"/>
      <c r="D330" s="19"/>
      <c r="E330" s="19"/>
      <c r="F330" s="20"/>
      <c r="G330" s="19"/>
      <c r="H330" s="19"/>
    </row>
    <row r="331" spans="1:8">
      <c r="A331" s="19"/>
      <c r="B331" s="19"/>
      <c r="C331" s="19"/>
      <c r="D331" s="19"/>
      <c r="E331" s="19"/>
      <c r="F331" s="20"/>
      <c r="G331" s="19"/>
      <c r="H331" s="19"/>
    </row>
    <row r="332" spans="1:8">
      <c r="A332" s="19"/>
      <c r="B332" s="19"/>
      <c r="C332" s="19"/>
      <c r="D332" s="19"/>
      <c r="E332" s="19"/>
      <c r="F332" s="20"/>
      <c r="G332" s="19"/>
      <c r="H332" s="19"/>
    </row>
    <row r="333" spans="1:8">
      <c r="A333" s="19"/>
      <c r="B333" s="19"/>
      <c r="C333" s="19"/>
      <c r="D333" s="19"/>
      <c r="E333" s="19"/>
      <c r="F333" s="20"/>
      <c r="G333" s="19"/>
      <c r="H333" s="19"/>
    </row>
    <row r="334" spans="1:8">
      <c r="A334" s="19"/>
      <c r="B334" s="19"/>
      <c r="C334" s="19"/>
      <c r="D334" s="19"/>
      <c r="E334" s="19"/>
      <c r="F334" s="20"/>
      <c r="G334" s="19"/>
      <c r="H334" s="19"/>
    </row>
    <row r="335" spans="1:8">
      <c r="A335" s="19"/>
      <c r="B335" s="19"/>
      <c r="C335" s="19"/>
      <c r="D335" s="19"/>
      <c r="E335" s="19"/>
      <c r="F335" s="20"/>
      <c r="G335" s="19"/>
      <c r="H335" s="19"/>
    </row>
    <row r="336" spans="1:8">
      <c r="A336" s="19"/>
      <c r="B336" s="19"/>
      <c r="C336" s="19"/>
      <c r="D336" s="19"/>
      <c r="E336" s="19"/>
      <c r="F336" s="20"/>
      <c r="G336" s="19"/>
      <c r="H336" s="19"/>
    </row>
    <row r="337" spans="1:8">
      <c r="A337" s="19"/>
      <c r="B337" s="19"/>
      <c r="C337" s="19"/>
      <c r="D337" s="19"/>
      <c r="E337" s="19"/>
      <c r="F337" s="20"/>
      <c r="G337" s="19"/>
      <c r="H337" s="19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1 H4:H11">
    <cfRule type="cellIs" dxfId="52" priority="1" stopIfTrue="1" operator="lessThanOrEqual">
      <formula>-0.1</formula>
    </cfRule>
    <cfRule type="expression" dxfId="51" priority="2">
      <formula>AND(ISNUMBER(E2), E2&gt;=0.1)</formula>
    </cfRule>
  </conditionalFormatting>
  <conditionalFormatting sqref="F12:F95">
    <cfRule type="cellIs" dxfId="50" priority="3" stopIfTrue="1" operator="lessThanOrEqual">
      <formula>-0.1</formula>
    </cfRule>
    <cfRule type="expression" dxfId="49" priority="4">
      <formula>AND(ISNUMBER(F12), F12&gt;=0.1)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60" t="str" cm="1">
        <f t="array" ref="A1">portfolio</f>
        <v>Wells Fargo</v>
      </c>
      <c r="B1" s="61"/>
      <c r="C1" s="62" t="s">
        <v>14</v>
      </c>
      <c r="D1" s="63"/>
      <c r="E1" s="64"/>
      <c r="F1" s="65" t="s">
        <v>15</v>
      </c>
      <c r="G1" s="66"/>
      <c r="H1" s="67"/>
    </row>
    <row r="2" spans="1:8" ht="19.5" customHeight="1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SUM(SUMIF(_xlfn.ANCHORARRAY(Jul!$B$4), $A4, Jul!C$4:C$78), SUMIF(_xlfn.ANCHORARRAY(Aug!$B$4), $A4, Aug!C$4:C$78), SUMIF(_xlfn.ANCHORARRAY(Sep!$B$4), $A4, Sep!C$4:C$78))</f>
        <v>0</v>
      </c>
      <c r="C4" s="11">
        <f>SUM(SUMIF(_xlfn.ANCHORARRAY(Jul!$B$4), $A4, Jul!D$4:D$78), SUMIF(_xlfn.ANCHORARRAY(Aug!$B$4), $A4, Aug!D$4:D$78), SUMIF(_xlfn.ANCHORARRAY(Sep!$B$4), $A4, Sep!D$4:D$78))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SUM(SUMIF(_xlfn.ANCHORARRAY(Jul!$B$4), $A4, Jul!G$4:G$78), SUMIF(_xlfn.ANCHORARRAY(Aug!$B$4), $A4, Aug!G$4:G$78), SUMIF(_xlfn.ANCHORARRAY(Sep!$B$4), $A4, Sep!G$4:G$78))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5">
      <c r="A5" s="9" t="str">
        <v>CO</v>
      </c>
      <c r="B5" s="10">
        <f>SUM(SUMIF(_xlfn.ANCHORARRAY(Jul!$B$4), $A5, Jul!C$4:C$78), SUMIF(_xlfn.ANCHORARRAY(Aug!$B$4), $A5, Aug!C$4:C$78), SUMIF(_xlfn.ANCHORARRAY(Sep!$B$4), $A5, Sep!C$4:C$78))</f>
        <v>0</v>
      </c>
      <c r="C5" s="16">
        <f>SUM(SUMIF(_xlfn.ANCHORARRAY(Jul!$B$4), $A5, Jul!D$4:D$78), SUMIF(_xlfn.ANCHORARRAY(Aug!$B$4), $A5, Aug!D$4:D$78), SUMIF(_xlfn.ANCHORARRAY(Sep!$B$4), $A5, Sep!D$4:D$78))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SUM(SUMIF(_xlfn.ANCHORARRAY(Jul!$B$4), $A5, Jul!G$4:G$78), SUMIF(_xlfn.ANCHORARRAY(Aug!$B$4), $A5, Aug!G$4:G$78), SUMIF(_xlfn.ANCHORARRAY(Sep!$B$4), $A5, Sep!G$4:G$78))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5">
      <c r="A6" s="8" t="str">
        <v>CT</v>
      </c>
      <c r="B6" s="22">
        <f>SUM(SUMIF(_xlfn.ANCHORARRAY(Jul!$B$4), $A6, Jul!C$4:C$78), SUMIF(_xlfn.ANCHORARRAY(Aug!$B$4), $A6, Aug!C$4:C$78), SUMIF(_xlfn.ANCHORARRAY(Sep!$B$4), $A6, Sep!C$4:C$78))</f>
        <v>0</v>
      </c>
      <c r="C6" s="11">
        <f>SUM(SUMIF(_xlfn.ANCHORARRAY(Jul!$B$4), $A6, Jul!D$4:D$78), SUMIF(_xlfn.ANCHORARRAY(Aug!$B$4), $A6, Aug!D$4:D$78), SUMIF(_xlfn.ANCHORARRAY(Sep!$B$4), $A6, Sep!D$4:D$78))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SUM(SUMIF(_xlfn.ANCHORARRAY(Jul!$B$4), $A6, Jul!G$4:G$78), SUMIF(_xlfn.ANCHORARRAY(Aug!$B$4), $A6, Aug!G$4:G$78), SUMIF(_xlfn.ANCHORARRAY(Sep!$B$4), $A6, Sep!G$4:G$78))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5">
      <c r="A7" s="9" t="str">
        <v>FL</v>
      </c>
      <c r="B7" s="10">
        <f>SUM(SUMIF(_xlfn.ANCHORARRAY(Jul!$B$4), $A7, Jul!C$4:C$78), SUMIF(_xlfn.ANCHORARRAY(Aug!$B$4), $A7, Aug!C$4:C$78), SUMIF(_xlfn.ANCHORARRAY(Sep!$B$4), $A7, Sep!C$4:C$78))</f>
        <v>0</v>
      </c>
      <c r="C7" s="16">
        <f>SUM(SUMIF(_xlfn.ANCHORARRAY(Jul!$B$4), $A7, Jul!D$4:D$78), SUMIF(_xlfn.ANCHORARRAY(Aug!$B$4), $A7, Aug!D$4:D$78), SUMIF(_xlfn.ANCHORARRAY(Sep!$B$4), $A7, Sep!D$4:D$78))</f>
        <v>0</v>
      </c>
      <c r="D7" s="16">
        <f t="shared" si="0"/>
        <v>0</v>
      </c>
      <c r="E7" s="17" t="str">
        <f t="shared" si="1"/>
        <v/>
      </c>
      <c r="F7" s="16">
        <f>SUM(SUMIF(_xlfn.ANCHORARRAY(Jul!$B$4), $A7, Jul!G$4:G$78), SUMIF(_xlfn.ANCHORARRAY(Aug!$B$4), $A7, Aug!G$4:G$78), SUMIF(_xlfn.ANCHORARRAY(Sep!$B$4), $A7, Sep!G$4:G$78))</f>
        <v>0</v>
      </c>
      <c r="G7" s="16">
        <f t="shared" si="2"/>
        <v>0</v>
      </c>
      <c r="H7" s="17" t="str">
        <f t="shared" si="3"/>
        <v/>
      </c>
    </row>
    <row r="8" spans="1:8" ht="12.75" customHeight="1">
      <c r="A8" s="8" t="str">
        <v>IA</v>
      </c>
      <c r="B8" s="22">
        <f>SUM(SUMIF(_xlfn.ANCHORARRAY(Jul!$B$4), $A8, Jul!C$4:C$78), SUMIF(_xlfn.ANCHORARRAY(Aug!$B$4), $A8, Aug!C$4:C$78), SUMIF(_xlfn.ANCHORARRAY(Sep!$B$4), $A8, Sep!C$4:C$78))</f>
        <v>0</v>
      </c>
      <c r="C8" s="11">
        <f>SUM(SUMIF(_xlfn.ANCHORARRAY(Jul!$B$4), $A8, Jul!D$4:D$78), SUMIF(_xlfn.ANCHORARRAY(Aug!$B$4), $A8, Aug!D$4:D$78), SUMIF(_xlfn.ANCHORARRAY(Sep!$B$4), $A8, Sep!D$4:D$78))</f>
        <v>0</v>
      </c>
      <c r="D8" s="11">
        <f t="shared" si="0"/>
        <v>0</v>
      </c>
      <c r="E8" s="12" t="str">
        <f t="shared" si="1"/>
        <v/>
      </c>
      <c r="F8" s="13">
        <f>SUM(SUMIF(_xlfn.ANCHORARRAY(Jul!$B$4), $A8, Jul!G$4:G$78), SUMIF(_xlfn.ANCHORARRAY(Aug!$B$4), $A8, Aug!G$4:G$78), SUMIF(_xlfn.ANCHORARRAY(Sep!$B$4), $A8, Sep!G$4:G$78))</f>
        <v>0</v>
      </c>
      <c r="G8" s="13">
        <f t="shared" si="2"/>
        <v>0</v>
      </c>
      <c r="H8" s="14" t="str">
        <f t="shared" si="3"/>
        <v/>
      </c>
    </row>
    <row r="9" spans="1:8" ht="15">
      <c r="A9" s="9" t="str">
        <v>NC</v>
      </c>
      <c r="B9" s="10">
        <f>SUM(SUMIF(_xlfn.ANCHORARRAY(Jul!$B$4), $A9, Jul!C$4:C$78), SUMIF(_xlfn.ANCHORARRAY(Aug!$B$4), $A9, Aug!C$4:C$78), SUMIF(_xlfn.ANCHORARRAY(Sep!$B$4), $A9, Sep!C$4:C$78))</f>
        <v>0</v>
      </c>
      <c r="C9" s="16">
        <f>SUM(SUMIF(_xlfn.ANCHORARRAY(Jul!$B$4), $A9, Jul!D$4:D$78), SUMIF(_xlfn.ANCHORARRAY(Aug!$B$4), $A9, Aug!D$4:D$78), SUMIF(_xlfn.ANCHORARRAY(Sep!$B$4), $A9, Sep!D$4:D$78))</f>
        <v>0</v>
      </c>
      <c r="D9" s="16">
        <f t="shared" si="0"/>
        <v>0</v>
      </c>
      <c r="E9" s="17" t="str">
        <f t="shared" si="1"/>
        <v/>
      </c>
      <c r="F9" s="16">
        <f>SUM(SUMIF(_xlfn.ANCHORARRAY(Jul!$B$4), $A9, Jul!G$4:G$78), SUMIF(_xlfn.ANCHORARRAY(Aug!$B$4), $A9, Aug!G$4:G$78), SUMIF(_xlfn.ANCHORARRAY(Sep!$B$4), $A9, Sep!G$4:G$78))</f>
        <v>0</v>
      </c>
      <c r="G9" s="16">
        <f t="shared" si="2"/>
        <v>0</v>
      </c>
      <c r="H9" s="17" t="str">
        <f t="shared" si="3"/>
        <v/>
      </c>
    </row>
    <row r="10" spans="1:8" ht="15">
      <c r="A10" s="8" t="str">
        <v>NJ</v>
      </c>
      <c r="B10" s="22">
        <f>SUM(SUMIF(_xlfn.ANCHORARRAY(Jul!$B$4), $A10, Jul!C$4:C$78), SUMIF(_xlfn.ANCHORARRAY(Aug!$B$4), $A10, Aug!C$4:C$78), SUMIF(_xlfn.ANCHORARRAY(Sep!$B$4), $A10, Sep!C$4:C$78))</f>
        <v>0</v>
      </c>
      <c r="C10" s="11">
        <f>SUM(SUMIF(_xlfn.ANCHORARRAY(Jul!$B$4), $A10, Jul!D$4:D$78), SUMIF(_xlfn.ANCHORARRAY(Aug!$B$4), $A10, Aug!D$4:D$78), SUMIF(_xlfn.ANCHORARRAY(Sep!$B$4), $A10, Sep!D$4:D$78))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SUM(SUMIF(_xlfn.ANCHORARRAY(Jul!$B$4), $A10, Jul!G$4:G$78), SUMIF(_xlfn.ANCHORARRAY(Aug!$B$4), $A10, Aug!G$4:G$78), SUMIF(_xlfn.ANCHORARRAY(Sep!$B$4), $A10, Sep!G$4:G$78))</f>
        <v>0</v>
      </c>
      <c r="G10" s="13">
        <f t="shared" si="2"/>
        <v>0</v>
      </c>
      <c r="H10" s="14" t="str">
        <f t="shared" si="3"/>
        <v/>
      </c>
    </row>
    <row r="11" spans="1:8" ht="15">
      <c r="A11" s="9" t="str">
        <v>TX</v>
      </c>
      <c r="B11" s="10">
        <f>SUM(SUMIF(_xlfn.ANCHORARRAY(Jul!$B$4), $A11, Jul!C$4:C$78), SUMIF(_xlfn.ANCHORARRAY(Aug!$B$4), $A11, Aug!C$4:C$78), SUMIF(_xlfn.ANCHORARRAY(Sep!$B$4), $A11, Sep!C$4:C$78))</f>
        <v>0</v>
      </c>
      <c r="C11" s="16">
        <f>SUM(SUMIF(_xlfn.ANCHORARRAY(Jul!$B$4), $A11, Jul!D$4:D$78), SUMIF(_xlfn.ANCHORARRAY(Aug!$B$4), $A11, Aug!D$4:D$78), SUMIF(_xlfn.ANCHORARRAY(Sep!$B$4), $A11, Sep!D$4:D$78))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SUM(SUMIF(_xlfn.ANCHORARRAY(Jul!$B$4), $A11, Jul!G$4:G$78), SUMIF(_xlfn.ANCHORARRAY(Aug!$B$4), $A11, Aug!G$4:G$78), SUMIF(_xlfn.ANCHORARRAY(Sep!$B$4), $A11, Sep!G$4:G$78))</f>
        <v>0</v>
      </c>
      <c r="G11" s="16">
        <f t="shared" si="2"/>
        <v>0</v>
      </c>
      <c r="H11" s="17" t="str">
        <f t="shared" si="3"/>
        <v/>
      </c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20"/>
      <c r="F23" s="19"/>
      <c r="G23" s="19"/>
      <c r="H23" s="20"/>
    </row>
    <row r="24" spans="1:8">
      <c r="A24" s="19"/>
      <c r="B24" s="19"/>
      <c r="C24" s="19"/>
      <c r="D24" s="19"/>
      <c r="E24" s="20"/>
      <c r="F24" s="19"/>
      <c r="G24" s="19"/>
      <c r="H24" s="20"/>
    </row>
    <row r="25" spans="1:8">
      <c r="A25" s="19"/>
      <c r="B25" s="19"/>
      <c r="C25" s="19"/>
      <c r="D25" s="19"/>
      <c r="E25" s="20"/>
      <c r="F25" s="19"/>
      <c r="G25" s="19"/>
      <c r="H25" s="20"/>
    </row>
    <row r="26" spans="1:8">
      <c r="A26" s="19"/>
      <c r="B26" s="19"/>
      <c r="C26" s="19"/>
      <c r="D26" s="19"/>
      <c r="E26" s="20"/>
      <c r="F26" s="19"/>
      <c r="G26" s="19"/>
      <c r="H26" s="20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8" priority="1" stopIfTrue="1" operator="lessThanOrEqual">
      <formula>-0.1</formula>
    </cfRule>
    <cfRule type="expression" dxfId="47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60" t="str" cm="1">
        <f t="array" ref="A1">portfolio</f>
        <v>Wells Fargo</v>
      </c>
      <c r="B1" s="61"/>
      <c r="C1" s="62" t="s">
        <v>16</v>
      </c>
      <c r="D1" s="63"/>
      <c r="E1" s="64"/>
      <c r="F1" s="65" t="s">
        <v>17</v>
      </c>
      <c r="G1" s="66"/>
      <c r="H1" s="67"/>
    </row>
    <row r="2" spans="1:8" ht="19.5" customHeight="1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SUM(SUMIF(_xlfn.ANCHORARRAY(Oct!$B$4), $A4, Oct!C$4:C$78), SUMIF(_xlfn.ANCHORARRAY(Nov!$B$4), $A4, Nov!C$4:C$78), SUMIF(_xlfn.ANCHORARRAY(Dec!$B$4), $A4, Dec!C$4:C$78))</f>
        <v>0</v>
      </c>
      <c r="C4" s="11">
        <f>SUM(SUMIF(_xlfn.ANCHORARRAY(Oct!$B$4), $A4, Oct!D$4:D$78), SUMIF(_xlfn.ANCHORARRAY(Nov!$B$4), $A4, Nov!D$4:D$78), SUMIF(_xlfn.ANCHORARRAY(Dec!$B$4), $A4, Dec!D$4:D$78))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SUM(SUMIF(_xlfn.ANCHORARRAY(Oct!$B$4), $A4, Oct!G$4:G$78), SUMIF(_xlfn.ANCHORARRAY(Nov!$B$4), $A4, Nov!G$4:G$78), SUMIF(_xlfn.ANCHORARRAY(Dec!$B$4), $A4, Dec!G$4:G$78))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5">
      <c r="A5" s="9" t="str">
        <v>CO</v>
      </c>
      <c r="B5" s="10">
        <f>SUM(SUMIF(_xlfn.ANCHORARRAY(Oct!$B$4), $A5, Oct!C$4:C$78), SUMIF(_xlfn.ANCHORARRAY(Nov!$B$4), $A5, Nov!C$4:C$78), SUMIF(_xlfn.ANCHORARRAY(Dec!$B$4), $A5, Dec!C$4:C$78))</f>
        <v>0</v>
      </c>
      <c r="C5" s="16">
        <f>SUM(SUMIF(_xlfn.ANCHORARRAY(Oct!$B$4), $A5, Oct!D$4:D$78), SUMIF(_xlfn.ANCHORARRAY(Nov!$B$4), $A5, Nov!D$4:D$78), SUMIF(_xlfn.ANCHORARRAY(Dec!$B$4), $A5, Dec!D$4:D$78))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SUM(SUMIF(_xlfn.ANCHORARRAY(Oct!$B$4), $A5, Oct!G$4:G$78), SUMIF(_xlfn.ANCHORARRAY(Nov!$B$4), $A5, Nov!G$4:G$78), SUMIF(_xlfn.ANCHORARRAY(Dec!$B$4), $A5, Dec!G$4:G$78))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5">
      <c r="A6" s="8" t="str">
        <v>CT</v>
      </c>
      <c r="B6" s="22">
        <f>SUM(SUMIF(_xlfn.ANCHORARRAY(Oct!$B$4), $A6, Oct!C$4:C$78), SUMIF(_xlfn.ANCHORARRAY(Nov!$B$4), $A6, Nov!C$4:C$78), SUMIF(_xlfn.ANCHORARRAY(Dec!$B$4), $A6, Dec!C$4:C$78))</f>
        <v>0</v>
      </c>
      <c r="C6" s="11">
        <f>SUM(SUMIF(_xlfn.ANCHORARRAY(Oct!$B$4), $A6, Oct!D$4:D$78), SUMIF(_xlfn.ANCHORARRAY(Nov!$B$4), $A6, Nov!D$4:D$78), SUMIF(_xlfn.ANCHORARRAY(Dec!$B$4), $A6, Dec!D$4:D$78))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SUM(SUMIF(_xlfn.ANCHORARRAY(Oct!$B$4), $A6, Oct!G$4:G$78), SUMIF(_xlfn.ANCHORARRAY(Nov!$B$4), $A6, Nov!G$4:G$78), SUMIF(_xlfn.ANCHORARRAY(Dec!$B$4), $A6, Dec!G$4:G$78))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5">
      <c r="A7" s="9" t="str">
        <v>FL</v>
      </c>
      <c r="B7" s="10">
        <f>SUM(SUMIF(_xlfn.ANCHORARRAY(Oct!$B$4), $A7, Oct!C$4:C$78), SUMIF(_xlfn.ANCHORARRAY(Nov!$B$4), $A7, Nov!C$4:C$78), SUMIF(_xlfn.ANCHORARRAY(Dec!$B$4), $A7, Dec!C$4:C$78))</f>
        <v>0</v>
      </c>
      <c r="C7" s="16">
        <f>SUM(SUMIF(_xlfn.ANCHORARRAY(Oct!$B$4), $A7, Oct!D$4:D$78), SUMIF(_xlfn.ANCHORARRAY(Nov!$B$4), $A7, Nov!D$4:D$78), SUMIF(_xlfn.ANCHORARRAY(Dec!$B$4), $A7, Dec!D$4:D$78))</f>
        <v>0</v>
      </c>
      <c r="D7" s="16">
        <f t="shared" si="0"/>
        <v>0</v>
      </c>
      <c r="E7" s="17" t="str">
        <f t="shared" si="1"/>
        <v/>
      </c>
      <c r="F7" s="16">
        <f>SUM(SUMIF(_xlfn.ANCHORARRAY(Oct!$B$4), $A7, Oct!G$4:G$78), SUMIF(_xlfn.ANCHORARRAY(Nov!$B$4), $A7, Nov!G$4:G$78), SUMIF(_xlfn.ANCHORARRAY(Dec!$B$4), $A7, Dec!G$4:G$78))</f>
        <v>0</v>
      </c>
      <c r="G7" s="16">
        <f t="shared" si="2"/>
        <v>0</v>
      </c>
      <c r="H7" s="17" t="str">
        <f t="shared" si="3"/>
        <v/>
      </c>
    </row>
    <row r="8" spans="1:8" ht="12.75" customHeight="1">
      <c r="A8" s="8" t="str">
        <v>IA</v>
      </c>
      <c r="B8" s="22">
        <f>SUM(SUMIF(_xlfn.ANCHORARRAY(Oct!$B$4), $A8, Oct!C$4:C$78), SUMIF(_xlfn.ANCHORARRAY(Nov!$B$4), $A8, Nov!C$4:C$78), SUMIF(_xlfn.ANCHORARRAY(Dec!$B$4), $A8, Dec!C$4:C$78))</f>
        <v>0</v>
      </c>
      <c r="C8" s="11">
        <f>SUM(SUMIF(_xlfn.ANCHORARRAY(Oct!$B$4), $A8, Oct!D$4:D$78), SUMIF(_xlfn.ANCHORARRAY(Nov!$B$4), $A8, Nov!D$4:D$78), SUMIF(_xlfn.ANCHORARRAY(Dec!$B$4), $A8, Dec!D$4:D$78))</f>
        <v>0</v>
      </c>
      <c r="D8" s="11">
        <f t="shared" si="0"/>
        <v>0</v>
      </c>
      <c r="E8" s="12" t="str">
        <f t="shared" si="1"/>
        <v/>
      </c>
      <c r="F8" s="13">
        <f>SUM(SUMIF(_xlfn.ANCHORARRAY(Oct!$B$4), $A8, Oct!G$4:G$78), SUMIF(_xlfn.ANCHORARRAY(Nov!$B$4), $A8, Nov!G$4:G$78), SUMIF(_xlfn.ANCHORARRAY(Dec!$B$4), $A8, Dec!G$4:G$78))</f>
        <v>0</v>
      </c>
      <c r="G8" s="13">
        <f t="shared" si="2"/>
        <v>0</v>
      </c>
      <c r="H8" s="14" t="str">
        <f t="shared" si="3"/>
        <v/>
      </c>
    </row>
    <row r="9" spans="1:8" ht="15">
      <c r="A9" s="9" t="str">
        <v>NC</v>
      </c>
      <c r="B9" s="10">
        <f>SUM(SUMIF(_xlfn.ANCHORARRAY(Oct!$B$4), $A9, Oct!C$4:C$78), SUMIF(_xlfn.ANCHORARRAY(Nov!$B$4), $A9, Nov!C$4:C$78), SUMIF(_xlfn.ANCHORARRAY(Dec!$B$4), $A9, Dec!C$4:C$78))</f>
        <v>0</v>
      </c>
      <c r="C9" s="16">
        <f>SUM(SUMIF(_xlfn.ANCHORARRAY(Oct!$B$4), $A9, Oct!D$4:D$78), SUMIF(_xlfn.ANCHORARRAY(Nov!$B$4), $A9, Nov!D$4:D$78), SUMIF(_xlfn.ANCHORARRAY(Dec!$B$4), $A9, Dec!D$4:D$78))</f>
        <v>0</v>
      </c>
      <c r="D9" s="16">
        <f t="shared" si="0"/>
        <v>0</v>
      </c>
      <c r="E9" s="17" t="str">
        <f t="shared" si="1"/>
        <v/>
      </c>
      <c r="F9" s="16">
        <f>SUM(SUMIF(_xlfn.ANCHORARRAY(Oct!$B$4), $A9, Oct!G$4:G$78), SUMIF(_xlfn.ANCHORARRAY(Nov!$B$4), $A9, Nov!G$4:G$78), SUMIF(_xlfn.ANCHORARRAY(Dec!$B$4), $A9, Dec!G$4:G$78))</f>
        <v>0</v>
      </c>
      <c r="G9" s="16">
        <f t="shared" si="2"/>
        <v>0</v>
      </c>
      <c r="H9" s="17" t="str">
        <f t="shared" si="3"/>
        <v/>
      </c>
    </row>
    <row r="10" spans="1:8" ht="15">
      <c r="A10" s="8" t="str">
        <v>NJ</v>
      </c>
      <c r="B10" s="22">
        <f>SUM(SUMIF(_xlfn.ANCHORARRAY(Oct!$B$4), $A10, Oct!C$4:C$78), SUMIF(_xlfn.ANCHORARRAY(Nov!$B$4), $A10, Nov!C$4:C$78), SUMIF(_xlfn.ANCHORARRAY(Dec!$B$4), $A10, Dec!C$4:C$78))</f>
        <v>0</v>
      </c>
      <c r="C10" s="11">
        <f>SUM(SUMIF(_xlfn.ANCHORARRAY(Oct!$B$4), $A10, Oct!D$4:D$78), SUMIF(_xlfn.ANCHORARRAY(Nov!$B$4), $A10, Nov!D$4:D$78), SUMIF(_xlfn.ANCHORARRAY(Dec!$B$4), $A10, Dec!D$4:D$78))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SUM(SUMIF(_xlfn.ANCHORARRAY(Oct!$B$4), $A10, Oct!G$4:G$78), SUMIF(_xlfn.ANCHORARRAY(Nov!$B$4), $A10, Nov!G$4:G$78), SUMIF(_xlfn.ANCHORARRAY(Dec!$B$4), $A10, Dec!G$4:G$78))</f>
        <v>0</v>
      </c>
      <c r="G10" s="13">
        <f t="shared" si="2"/>
        <v>0</v>
      </c>
      <c r="H10" s="14" t="str">
        <f t="shared" si="3"/>
        <v/>
      </c>
    </row>
    <row r="11" spans="1:8" ht="15">
      <c r="A11" s="9" t="str">
        <v>TX</v>
      </c>
      <c r="B11" s="10">
        <f>SUM(SUMIF(_xlfn.ANCHORARRAY(Oct!$B$4), $A11, Oct!C$4:C$78), SUMIF(_xlfn.ANCHORARRAY(Nov!$B$4), $A11, Nov!C$4:C$78), SUMIF(_xlfn.ANCHORARRAY(Dec!$B$4), $A11, Dec!C$4:C$78))</f>
        <v>0</v>
      </c>
      <c r="C11" s="16">
        <f>SUM(SUMIF(_xlfn.ANCHORARRAY(Oct!$B$4), $A11, Oct!D$4:D$78), SUMIF(_xlfn.ANCHORARRAY(Nov!$B$4), $A11, Nov!D$4:D$78), SUMIF(_xlfn.ANCHORARRAY(Dec!$B$4), $A11, Dec!D$4:D$78))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SUM(SUMIF(_xlfn.ANCHORARRAY(Oct!$B$4), $A11, Oct!G$4:G$78), SUMIF(_xlfn.ANCHORARRAY(Nov!$B$4), $A11, Nov!G$4:G$78), SUMIF(_xlfn.ANCHORARRAY(Dec!$B$4), $A11, Dec!G$4:G$78))</f>
        <v>0</v>
      </c>
      <c r="G11" s="16">
        <f t="shared" si="2"/>
        <v>0</v>
      </c>
      <c r="H11" s="17" t="str">
        <f t="shared" si="3"/>
        <v/>
      </c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20"/>
      <c r="F23" s="19"/>
      <c r="G23" s="19"/>
      <c r="H23" s="20"/>
    </row>
    <row r="24" spans="1:8">
      <c r="A24" s="19"/>
      <c r="B24" s="19"/>
      <c r="C24" s="19"/>
      <c r="D24" s="19"/>
      <c r="E24" s="20"/>
      <c r="F24" s="19"/>
      <c r="G24" s="19"/>
      <c r="H24" s="20"/>
    </row>
    <row r="25" spans="1:8">
      <c r="A25" s="19"/>
      <c r="B25" s="19"/>
      <c r="C25" s="19"/>
      <c r="D25" s="19"/>
      <c r="E25" s="20"/>
      <c r="F25" s="19"/>
      <c r="G25" s="19"/>
      <c r="H25" s="20"/>
    </row>
    <row r="26" spans="1:8">
      <c r="A26" s="19"/>
      <c r="B26" s="19"/>
      <c r="C26" s="19"/>
      <c r="D26" s="19"/>
      <c r="E26" s="20"/>
      <c r="F26" s="19"/>
      <c r="G26" s="19"/>
      <c r="H26" s="20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6" priority="1" stopIfTrue="1" operator="lessThanOrEqual">
      <formula>-0.1</formula>
    </cfRule>
    <cfRule type="expression" dxfId="45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C19" activePane="bottomRight" state="frozen"/>
      <selection pane="bottomRight" activeCell="J19" sqref="J19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Wells Fargo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3"/>
      <c r="K1" s="3"/>
    </row>
    <row r="2" spans="1:11" ht="19.5" customHeight="1">
      <c r="A2" s="68" t="s">
        <v>2</v>
      </c>
      <c r="B2" s="68"/>
      <c r="C2" s="4">
        <f>SUM(C4:C65)</f>
        <v>434853.63533934351</v>
      </c>
      <c r="D2" s="4">
        <f>SUM(D4:D65)</f>
        <v>405850.92660000001</v>
      </c>
      <c r="E2" s="4">
        <f>C2-D2</f>
        <v>29002.708739343507</v>
      </c>
      <c r="F2" s="5">
        <f>IFERROR(E2/D2, 0)</f>
        <v>7.1461482131659884E-2</v>
      </c>
      <c r="G2" s="4">
        <f>SUM(G4:G65)</f>
        <v>698800.05</v>
      </c>
      <c r="H2" s="6">
        <f>C2-G2</f>
        <v>-263946.41466065653</v>
      </c>
      <c r="I2" s="5">
        <f>IFERROR(H2/G2, 0)</f>
        <v>-0.37771378903114922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25" t="s">
        <v>3</v>
      </c>
      <c r="B3" s="7" t="s">
        <v>11</v>
      </c>
      <c r="C3" s="11" t="s">
        <v>4</v>
      </c>
      <c r="D3" s="33" t="s">
        <v>5</v>
      </c>
      <c r="E3" s="33" t="s">
        <v>6</v>
      </c>
      <c r="F3" s="34" t="s">
        <v>7</v>
      </c>
      <c r="G3" s="38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668.5</v>
      </c>
      <c r="D4" s="11">
        <v>0</v>
      </c>
      <c r="E4" s="11">
        <f>IF(AND(ISNUMBER(C4),ISNUMBER(D4)), C4-D4, "")</f>
        <v>668.5</v>
      </c>
      <c r="F4" s="12" t="str">
        <f>IFERROR(E4/D4, "")</f>
        <v/>
      </c>
      <c r="G4" s="13">
        <v>660.25800000000004</v>
      </c>
      <c r="H4" s="13">
        <f>IF(AND(ISNUMBER(C4),ISNUMBER(G4)), C4-G4, "")</f>
        <v>8.2419999999999618</v>
      </c>
      <c r="I4" s="14">
        <f>IFERROR(H4/G4, "")</f>
        <v>1.2482999070060433E-2</v>
      </c>
      <c r="J4" s="39"/>
      <c r="K4" s="39"/>
    </row>
    <row r="5" spans="1:11" ht="15.75">
      <c r="A5" s="28" t="str">
        <v>Otay Mesa</v>
      </c>
      <c r="B5" s="29" t="str">
        <v>CA</v>
      </c>
      <c r="C5" s="10">
        <v>37.789000000000001</v>
      </c>
      <c r="D5" s="16">
        <v>0</v>
      </c>
      <c r="E5" s="16">
        <f t="shared" ref="E5:E31" si="0">IF(AND(ISNUMBER(C5),ISNUMBER(D5)), C5-D5, "")</f>
        <v>37.789000000000001</v>
      </c>
      <c r="F5" s="17" t="str">
        <f>IFERROR(E5/D5, "")</f>
        <v/>
      </c>
      <c r="G5" s="18">
        <v>0</v>
      </c>
      <c r="H5" s="18">
        <f t="shared" ref="H5:H6" si="1">IF(AND(ISNUMBER(C5),ISNUMBER(G5)), C5-G5, "")</f>
        <v>37.789000000000001</v>
      </c>
      <c r="I5" s="17" t="str">
        <f t="shared" ref="I5:I6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>
        <v>18587.375</v>
      </c>
      <c r="D6" s="11">
        <v>25565.67</v>
      </c>
      <c r="E6" s="11">
        <f t="shared" si="0"/>
        <v>-6978.2949999999983</v>
      </c>
      <c r="F6" s="12">
        <f t="shared" ref="F6:F31" si="3">IFERROR(E6/D6, "")</f>
        <v>-0.27295568627773098</v>
      </c>
      <c r="G6" s="13">
        <v>22910.168000000001</v>
      </c>
      <c r="H6" s="13">
        <f t="shared" si="1"/>
        <v>-4322.7930000000015</v>
      </c>
      <c r="I6" s="14">
        <f t="shared" si="2"/>
        <v>-0.18868447407282221</v>
      </c>
      <c r="J6" s="39" t="s">
        <v>22</v>
      </c>
      <c r="K6" s="39" t="s">
        <v>23</v>
      </c>
    </row>
    <row r="7" spans="1:11" ht="15.75">
      <c r="A7" s="28" t="str">
        <v>Van Nuys</v>
      </c>
      <c r="B7" s="29" t="str">
        <v>CA</v>
      </c>
      <c r="C7" s="10">
        <v>1267.69792819484</v>
      </c>
      <c r="D7" s="16">
        <v>0</v>
      </c>
      <c r="E7" s="16">
        <f t="shared" si="0"/>
        <v>1267.69792819484</v>
      </c>
      <c r="F7" s="17" t="str">
        <f t="shared" si="3"/>
        <v/>
      </c>
      <c r="G7" s="18">
        <v>1339.7470000000001</v>
      </c>
      <c r="H7" s="18">
        <f t="shared" ref="H7:H31" si="4">IF(AND(ISNUMBER(C7),ISNUMBER(G7)), C7-G7, "")</f>
        <v>-72.049071805160111</v>
      </c>
      <c r="I7" s="17">
        <f t="shared" ref="I7:I31" si="5">IFERROR(H7/G7, "")</f>
        <v>-5.377811766337981E-2</v>
      </c>
      <c r="J7" s="40"/>
      <c r="K7" s="40"/>
    </row>
    <row r="8" spans="1:11" ht="15.75">
      <c r="A8" s="26" t="str">
        <v>98th &amp; Grant</v>
      </c>
      <c r="B8" s="27" t="str">
        <v>CO</v>
      </c>
      <c r="C8" s="22">
        <v>724.20000000000402</v>
      </c>
      <c r="D8" s="11">
        <v>0</v>
      </c>
      <c r="E8" s="11">
        <f t="shared" si="0"/>
        <v>724.20000000000402</v>
      </c>
      <c r="F8" s="12" t="str">
        <f t="shared" si="3"/>
        <v/>
      </c>
      <c r="G8" s="13">
        <v>1165.0160000000001</v>
      </c>
      <c r="H8" s="13">
        <f t="shared" si="4"/>
        <v>-440.81599999999605</v>
      </c>
      <c r="I8" s="14">
        <f t="shared" si="5"/>
        <v>-0.37837763601529595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2121.2003780567402</v>
      </c>
      <c r="D9" s="16">
        <v>0</v>
      </c>
      <c r="E9" s="16">
        <f t="shared" si="0"/>
        <v>2121.2003780567402</v>
      </c>
      <c r="F9" s="17" t="str">
        <f t="shared" si="3"/>
        <v/>
      </c>
      <c r="G9" s="18">
        <v>2132.9670000000001</v>
      </c>
      <c r="H9" s="18">
        <f t="shared" si="4"/>
        <v>-11.766621943259906</v>
      </c>
      <c r="I9" s="17">
        <f t="shared" si="5"/>
        <v>-5.5165513312019857E-3</v>
      </c>
      <c r="J9" s="40"/>
      <c r="K9" s="40"/>
    </row>
    <row r="10" spans="1:11" ht="15.75">
      <c r="A10" s="26" t="str">
        <v>Aurora City Center</v>
      </c>
      <c r="B10" s="27" t="str">
        <v>CO</v>
      </c>
      <c r="C10" s="22">
        <v>1077.5</v>
      </c>
      <c r="D10" s="11">
        <v>0</v>
      </c>
      <c r="E10" s="11">
        <f t="shared" si="0"/>
        <v>1077.5</v>
      </c>
      <c r="F10" s="12" t="str">
        <f t="shared" si="3"/>
        <v/>
      </c>
      <c r="G10" s="13">
        <v>1040.5160000000001</v>
      </c>
      <c r="H10" s="13">
        <f t="shared" si="4"/>
        <v>36.983999999999924</v>
      </c>
      <c r="I10" s="14">
        <f t="shared" si="5"/>
        <v>3.5543903217249824E-2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-0.40201211551175198</v>
      </c>
      <c r="D11" s="16">
        <v>0</v>
      </c>
      <c r="E11" s="16">
        <f t="shared" si="0"/>
        <v>-0.40201211551175198</v>
      </c>
      <c r="F11" s="17" t="str">
        <f t="shared" si="3"/>
        <v/>
      </c>
      <c r="G11" s="18">
        <v>1258.0160000000001</v>
      </c>
      <c r="H11" s="18">
        <f t="shared" si="4"/>
        <v>-1258.4180121155118</v>
      </c>
      <c r="I11" s="17">
        <f t="shared" si="5"/>
        <v>-1.0003195604153776</v>
      </c>
      <c r="J11" s="40" t="s">
        <v>24</v>
      </c>
      <c r="K11" s="40" t="s">
        <v>25</v>
      </c>
    </row>
    <row r="12" spans="1:11" ht="15.75">
      <c r="A12" s="26" t="str">
        <v>Highlands Ranch S.</v>
      </c>
      <c r="B12" s="27" t="str">
        <v>CO</v>
      </c>
      <c r="C12" s="22">
        <v>1000.7</v>
      </c>
      <c r="D12" s="11">
        <v>0</v>
      </c>
      <c r="E12" s="11">
        <f t="shared" si="0"/>
        <v>1000.7</v>
      </c>
      <c r="F12" s="12" t="str">
        <f t="shared" si="3"/>
        <v/>
      </c>
      <c r="G12" s="13">
        <v>1110.7739999999999</v>
      </c>
      <c r="H12" s="13">
        <f t="shared" si="4"/>
        <v>-110.07399999999984</v>
      </c>
      <c r="I12" s="14">
        <f t="shared" si="5"/>
        <v>-9.9096665928442559E-2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2395.4000000000101</v>
      </c>
      <c r="D13" s="16">
        <v>0</v>
      </c>
      <c r="E13" s="16">
        <f t="shared" si="0"/>
        <v>2395.4000000000101</v>
      </c>
      <c r="F13" s="17" t="str">
        <f t="shared" si="3"/>
        <v/>
      </c>
      <c r="G13" s="18">
        <v>2590.4189999999999</v>
      </c>
      <c r="H13" s="18">
        <f t="shared" si="4"/>
        <v>-195.01899999998977</v>
      </c>
      <c r="I13" s="17">
        <f t="shared" si="5"/>
        <v>-7.5284731929463833E-2</v>
      </c>
      <c r="J13" s="40"/>
      <c r="K13" s="40"/>
    </row>
    <row r="14" spans="1:11" ht="15.75">
      <c r="A14" s="26" t="str">
        <v>Meridian</v>
      </c>
      <c r="B14" s="27" t="str">
        <v>CO</v>
      </c>
      <c r="C14" s="22">
        <v>1646.0999999999799</v>
      </c>
      <c r="D14" s="11">
        <v>0</v>
      </c>
      <c r="E14" s="11">
        <f t="shared" si="0"/>
        <v>1646.0999999999799</v>
      </c>
      <c r="F14" s="12" t="str">
        <f t="shared" si="3"/>
        <v/>
      </c>
      <c r="G14" s="13">
        <v>1355.097</v>
      </c>
      <c r="H14" s="13">
        <f t="shared" si="4"/>
        <v>291.00299999997992</v>
      </c>
      <c r="I14" s="14">
        <f t="shared" si="5"/>
        <v>0.21474698859194577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1513</v>
      </c>
      <c r="D15" s="16">
        <v>0</v>
      </c>
      <c r="E15" s="16">
        <f t="shared" si="0"/>
        <v>1513</v>
      </c>
      <c r="F15" s="17" t="str">
        <f t="shared" si="3"/>
        <v/>
      </c>
      <c r="G15" s="18">
        <v>1611.403</v>
      </c>
      <c r="H15" s="18">
        <f t="shared" si="4"/>
        <v>-98.40300000000002</v>
      </c>
      <c r="I15" s="17">
        <f t="shared" si="5"/>
        <v>-6.1066660543638074E-2</v>
      </c>
      <c r="J15" s="40"/>
      <c r="K15" s="40"/>
    </row>
    <row r="16" spans="1:11" ht="15.75">
      <c r="A16" s="26" t="str">
        <v>Standley Lake</v>
      </c>
      <c r="B16" s="27" t="str">
        <v>CO</v>
      </c>
      <c r="C16" s="22">
        <v>2051.1000000000099</v>
      </c>
      <c r="D16" s="11">
        <v>0</v>
      </c>
      <c r="E16" s="11">
        <f t="shared" si="0"/>
        <v>2051.1000000000099</v>
      </c>
      <c r="F16" s="12" t="str">
        <f t="shared" si="3"/>
        <v/>
      </c>
      <c r="G16" s="13">
        <v>2170.4029999999998</v>
      </c>
      <c r="H16" s="13">
        <f t="shared" si="4"/>
        <v>-119.30299999998988</v>
      </c>
      <c r="I16" s="14">
        <f t="shared" si="5"/>
        <v>-5.4968132646328764E-2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1739.79999999999</v>
      </c>
      <c r="D17" s="16">
        <v>0</v>
      </c>
      <c r="E17" s="16">
        <f t="shared" si="0"/>
        <v>1739.79999999999</v>
      </c>
      <c r="F17" s="17" t="str">
        <f t="shared" si="3"/>
        <v/>
      </c>
      <c r="G17" s="18">
        <v>846.25800000000004</v>
      </c>
      <c r="H17" s="18">
        <f t="shared" si="4"/>
        <v>893.54199999998991</v>
      </c>
      <c r="I17" s="17">
        <f t="shared" si="5"/>
        <v>1.055874213301369</v>
      </c>
      <c r="J17" s="40" t="s">
        <v>26</v>
      </c>
      <c r="K17" s="40"/>
    </row>
    <row r="18" spans="1:11" ht="15.75">
      <c r="A18" s="26" t="str">
        <v>East Hartford</v>
      </c>
      <c r="B18" s="27" t="str">
        <v>CT</v>
      </c>
      <c r="C18" s="22">
        <v>119.7</v>
      </c>
      <c r="D18" s="11">
        <v>246.8964</v>
      </c>
      <c r="E18" s="11">
        <f t="shared" si="0"/>
        <v>-127.1964</v>
      </c>
      <c r="F18" s="12">
        <f t="shared" si="3"/>
        <v>-0.51518126631251004</v>
      </c>
      <c r="G18" s="13">
        <v>273.27499999999998</v>
      </c>
      <c r="H18" s="13">
        <f t="shared" si="4"/>
        <v>-153.57499999999999</v>
      </c>
      <c r="I18" s="14">
        <f t="shared" si="5"/>
        <v>-0.56197969078766807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117.74057825254</v>
      </c>
      <c r="D19" s="16">
        <v>417.31670000000003</v>
      </c>
      <c r="E19" s="16">
        <f t="shared" si="0"/>
        <v>-299.57612174746004</v>
      </c>
      <c r="F19" s="17">
        <f t="shared" si="3"/>
        <v>-0.71786276884548361</v>
      </c>
      <c r="G19" s="18">
        <v>376.75700000000001</v>
      </c>
      <c r="H19" s="18">
        <f t="shared" si="4"/>
        <v>-259.01642174746002</v>
      </c>
      <c r="I19" s="17">
        <f t="shared" si="5"/>
        <v>-0.68748934126628047</v>
      </c>
      <c r="J19" s="40"/>
      <c r="K19" s="40"/>
    </row>
    <row r="20" spans="1:11" ht="15.75">
      <c r="A20" s="26" t="str">
        <v>Hialeah Gardens</v>
      </c>
      <c r="B20" s="27" t="str">
        <v>FL</v>
      </c>
      <c r="C20" s="22">
        <v>1428.4985294549399</v>
      </c>
      <c r="D20" s="11">
        <v>2582.0729999999999</v>
      </c>
      <c r="E20" s="11">
        <f t="shared" si="0"/>
        <v>-1153.57447054506</v>
      </c>
      <c r="F20" s="12">
        <f t="shared" si="3"/>
        <v>-0.44676291899766585</v>
      </c>
      <c r="G20" s="13">
        <v>3451.6610000000001</v>
      </c>
      <c r="H20" s="13">
        <f t="shared" si="4"/>
        <v>-2023.1624705450602</v>
      </c>
      <c r="I20" s="14">
        <f t="shared" si="5"/>
        <v>-0.58614170700571699</v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>
        <v>12390.9375</v>
      </c>
      <c r="D21" s="16">
        <v>16455.02</v>
      </c>
      <c r="E21" s="16">
        <f t="shared" si="0"/>
        <v>-4064.0825000000004</v>
      </c>
      <c r="F21" s="17">
        <f t="shared" si="3"/>
        <v>-0.24698131633993761</v>
      </c>
      <c r="G21" s="18">
        <v>23956.603999999999</v>
      </c>
      <c r="H21" s="18">
        <f t="shared" si="4"/>
        <v>-11565.666499999999</v>
      </c>
      <c r="I21" s="17">
        <f t="shared" si="5"/>
        <v>-0.48277570977923245</v>
      </c>
      <c r="J21" s="40"/>
      <c r="K21" s="40"/>
    </row>
    <row r="22" spans="1:11" ht="15.75">
      <c r="A22" s="26" t="str">
        <v>W. Des Moines Campus EAST</v>
      </c>
      <c r="B22" s="27" t="str">
        <v>IA</v>
      </c>
      <c r="C22" s="22">
        <v>62192.5</v>
      </c>
      <c r="D22" s="11">
        <v>8477.2479999999996</v>
      </c>
      <c r="E22" s="11">
        <f t="shared" si="0"/>
        <v>53715.252</v>
      </c>
      <c r="F22" s="12">
        <f t="shared" si="3"/>
        <v>6.3364020965294401</v>
      </c>
      <c r="G22" s="13">
        <v>105997.32</v>
      </c>
      <c r="H22" s="13">
        <f t="shared" si="4"/>
        <v>-43804.820000000007</v>
      </c>
      <c r="I22" s="14">
        <f t="shared" si="5"/>
        <v>-0.41326346741596864</v>
      </c>
      <c r="J22" s="39" t="s">
        <v>27</v>
      </c>
      <c r="K22" s="39" t="s">
        <v>28</v>
      </c>
    </row>
    <row r="23" spans="1:11" ht="30.75">
      <c r="A23" s="28" t="str">
        <v>W. Des Moines Campus SW</v>
      </c>
      <c r="B23" s="29" t="str">
        <v>IA</v>
      </c>
      <c r="C23" s="10">
        <v>25312.5</v>
      </c>
      <c r="D23" s="16">
        <v>4681.4859999999999</v>
      </c>
      <c r="E23" s="16">
        <f t="shared" si="0"/>
        <v>20631.013999999999</v>
      </c>
      <c r="F23" s="17">
        <f t="shared" si="3"/>
        <v>4.4069370281145774</v>
      </c>
      <c r="G23" s="18">
        <v>55952.783000000003</v>
      </c>
      <c r="H23" s="18">
        <f t="shared" si="4"/>
        <v>-30640.283000000003</v>
      </c>
      <c r="I23" s="17">
        <f t="shared" si="5"/>
        <v>-0.54760963364413884</v>
      </c>
      <c r="J23" s="40" t="s">
        <v>29</v>
      </c>
      <c r="K23" s="40" t="s">
        <v>30</v>
      </c>
    </row>
    <row r="24" spans="1:11" ht="15.75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0"/>
        <v>0</v>
      </c>
      <c r="F24" s="12" t="str">
        <f t="shared" si="3"/>
        <v/>
      </c>
      <c r="G24" s="13">
        <v>0</v>
      </c>
      <c r="H24" s="13">
        <f t="shared" si="4"/>
        <v>0</v>
      </c>
      <c r="I24" s="14" t="str">
        <f t="shared" si="5"/>
        <v/>
      </c>
      <c r="J24" s="39" t="s">
        <v>31</v>
      </c>
      <c r="K24" s="39" t="s">
        <v>32</v>
      </c>
    </row>
    <row r="25" spans="1:11" ht="15.75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0"/>
        <v>0</v>
      </c>
      <c r="F25" s="17" t="str">
        <f t="shared" si="3"/>
        <v/>
      </c>
      <c r="G25" s="18">
        <v>0</v>
      </c>
      <c r="H25" s="18">
        <f t="shared" si="4"/>
        <v>0</v>
      </c>
      <c r="I25" s="17" t="str">
        <f t="shared" si="5"/>
        <v/>
      </c>
      <c r="J25" s="40" t="s">
        <v>31</v>
      </c>
      <c r="K25" s="40" t="s">
        <v>33</v>
      </c>
    </row>
    <row r="26" spans="1:11" ht="15.75">
      <c r="A26" s="26" t="str">
        <v>East Windsor</v>
      </c>
      <c r="B26" s="27" t="str">
        <v>NJ</v>
      </c>
      <c r="C26" s="22">
        <v>234.39999999999799</v>
      </c>
      <c r="D26" s="11">
        <v>395.19540000000001</v>
      </c>
      <c r="E26" s="11">
        <f t="shared" si="0"/>
        <v>-160.79540000000202</v>
      </c>
      <c r="F26" s="12">
        <f t="shared" si="3"/>
        <v>-0.40687568731822793</v>
      </c>
      <c r="G26" s="13">
        <v>408.178</v>
      </c>
      <c r="H26" s="13">
        <f t="shared" si="4"/>
        <v>-173.77800000000201</v>
      </c>
      <c r="I26" s="14">
        <f t="shared" si="5"/>
        <v>-0.42574073075962449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720</v>
      </c>
      <c r="D27" s="16">
        <v>848.94200000000001</v>
      </c>
      <c r="E27" s="16">
        <f t="shared" si="0"/>
        <v>-128.94200000000001</v>
      </c>
      <c r="F27" s="17">
        <f t="shared" si="3"/>
        <v>-0.15188552339264638</v>
      </c>
      <c r="G27" s="18">
        <v>1105.296</v>
      </c>
      <c r="H27" s="18">
        <f t="shared" si="4"/>
        <v>-385.29600000000005</v>
      </c>
      <c r="I27" s="17">
        <f t="shared" si="5"/>
        <v>-0.34859078473096805</v>
      </c>
      <c r="J27" s="40"/>
      <c r="K27" s="40"/>
    </row>
    <row r="28" spans="1:11" ht="15.75">
      <c r="A28" s="26" t="str">
        <v>Bayonne</v>
      </c>
      <c r="B28" s="27" t="str">
        <v>NJ</v>
      </c>
      <c r="C28" s="22">
        <v>792.69999999999698</v>
      </c>
      <c r="D28" s="11">
        <v>1075.8119999999999</v>
      </c>
      <c r="E28" s="11">
        <f t="shared" si="0"/>
        <v>-283.11200000000292</v>
      </c>
      <c r="F28" s="12">
        <f t="shared" si="3"/>
        <v>-0.26316122147736126</v>
      </c>
      <c r="G28" s="13">
        <v>2010.779</v>
      </c>
      <c r="H28" s="13">
        <f t="shared" si="4"/>
        <v>-1218.0790000000029</v>
      </c>
      <c r="I28" s="14">
        <f t="shared" si="5"/>
        <v>-0.60577467737628199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824.296875</v>
      </c>
      <c r="D29" s="16">
        <v>1479.194</v>
      </c>
      <c r="E29" s="16">
        <f t="shared" si="0"/>
        <v>-654.89712499999996</v>
      </c>
      <c r="F29" s="17">
        <f t="shared" si="3"/>
        <v>-0.44273917079166086</v>
      </c>
      <c r="G29" s="18">
        <v>2566.1019999999999</v>
      </c>
      <c r="H29" s="18">
        <f t="shared" si="4"/>
        <v>-1741.8051249999999</v>
      </c>
      <c r="I29" s="17">
        <f t="shared" si="5"/>
        <v>-0.67877470381146188</v>
      </c>
      <c r="J29" s="40"/>
      <c r="K29" s="40"/>
    </row>
    <row r="30" spans="1:11" ht="15.75">
      <c r="A30" s="26" t="str">
        <v>North Elizabeth</v>
      </c>
      <c r="B30" s="27" t="str">
        <v>NJ</v>
      </c>
      <c r="C30" s="22">
        <v>784.099999999999</v>
      </c>
      <c r="D30" s="11">
        <v>751.98900000000003</v>
      </c>
      <c r="E30" s="11">
        <f t="shared" si="0"/>
        <v>32.110999999998967</v>
      </c>
      <c r="F30" s="12">
        <f t="shared" si="3"/>
        <v>4.270142249421064E-2</v>
      </c>
      <c r="G30" s="13">
        <v>1413.1279999999999</v>
      </c>
      <c r="H30" s="13">
        <f t="shared" si="4"/>
        <v>-629.02800000000093</v>
      </c>
      <c r="I30" s="14">
        <f t="shared" si="5"/>
        <v>-0.44513165120215648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494.19999999999698</v>
      </c>
      <c r="D31" s="16">
        <v>789.42079999999999</v>
      </c>
      <c r="E31" s="16">
        <f t="shared" si="0"/>
        <v>-295.22080000000301</v>
      </c>
      <c r="F31" s="17">
        <f t="shared" si="3"/>
        <v>-0.37397139776403537</v>
      </c>
      <c r="G31" s="18">
        <v>999.19299999999998</v>
      </c>
      <c r="H31" s="18">
        <f t="shared" si="4"/>
        <v>-504.99300000000301</v>
      </c>
      <c r="I31" s="17">
        <f t="shared" si="5"/>
        <v>-0.50540085849280669</v>
      </c>
      <c r="J31" s="40"/>
      <c r="K31" s="40"/>
    </row>
    <row r="32" spans="1:11" ht="15.75">
      <c r="A32" s="26" t="str">
        <v>Parsippany</v>
      </c>
      <c r="B32" s="27" t="str">
        <v>NJ</v>
      </c>
      <c r="C32" s="22">
        <v>583.80000000000302</v>
      </c>
      <c r="D32" s="11">
        <v>1291.575</v>
      </c>
      <c r="E32" s="11">
        <f t="shared" ref="E32:E44" si="6">IF(AND(ISNUMBER(C32),ISNUMBER(D32)), C32-D32, "")</f>
        <v>-707.77499999999702</v>
      </c>
      <c r="F32" s="12">
        <f t="shared" ref="F32:F44" si="7">IFERROR(E32/D32, "")</f>
        <v>-0.54799372858718776</v>
      </c>
      <c r="G32" s="13">
        <v>1156.298</v>
      </c>
      <c r="H32" s="13">
        <f t="shared" ref="H32:H44" si="8">IF(AND(ISNUMBER(C32),ISNUMBER(G32)), C32-G32, "")</f>
        <v>-572.49799999999698</v>
      </c>
      <c r="I32" s="14">
        <f t="shared" ref="I32:I44" si="9">IFERROR(H32/G32, "")</f>
        <v>-0.49511285153135004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559.79999999999598</v>
      </c>
      <c r="D33" s="16">
        <v>806.62959999999998</v>
      </c>
      <c r="E33" s="16">
        <f t="shared" si="6"/>
        <v>-246.82960000000401</v>
      </c>
      <c r="F33" s="17">
        <f t="shared" si="7"/>
        <v>-0.30600116831815249</v>
      </c>
      <c r="G33" s="18">
        <v>953.54600000000005</v>
      </c>
      <c r="H33" s="18">
        <f t="shared" si="8"/>
        <v>-393.74600000000407</v>
      </c>
      <c r="I33" s="17">
        <f t="shared" si="9"/>
        <v>-0.41292816497578938</v>
      </c>
      <c r="J33" s="40"/>
      <c r="K33" s="40"/>
    </row>
    <row r="34" spans="1:11" ht="15.75">
      <c r="A34" s="26" t="str">
        <v>Closter</v>
      </c>
      <c r="B34" s="27" t="str">
        <v>NJ</v>
      </c>
      <c r="C34" s="22">
        <v>144.199999999997</v>
      </c>
      <c r="D34" s="11">
        <v>202.64850000000001</v>
      </c>
      <c r="E34" s="11">
        <f t="shared" si="6"/>
        <v>-58.448500000003008</v>
      </c>
      <c r="F34" s="12">
        <f t="shared" si="7"/>
        <v>-0.28842305765896614</v>
      </c>
      <c r="G34" s="13">
        <v>494.76900000000001</v>
      </c>
      <c r="H34" s="13">
        <f t="shared" si="8"/>
        <v>-350.56900000000303</v>
      </c>
      <c r="I34" s="14">
        <f t="shared" si="9"/>
        <v>-0.70855085908778248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450.30000000000302</v>
      </c>
      <c r="D35" s="16">
        <v>643.08439999999996</v>
      </c>
      <c r="E35" s="16">
        <f t="shared" si="6"/>
        <v>-192.78439999999694</v>
      </c>
      <c r="F35" s="17">
        <f t="shared" si="7"/>
        <v>-0.29978086857649938</v>
      </c>
      <c r="G35" s="18">
        <v>809.70399999999995</v>
      </c>
      <c r="H35" s="18">
        <f t="shared" si="8"/>
        <v>-359.40399999999693</v>
      </c>
      <c r="I35" s="17">
        <f t="shared" si="9"/>
        <v>-0.4438708466303698</v>
      </c>
      <c r="J35" s="40"/>
      <c r="K35" s="40"/>
    </row>
    <row r="36" spans="1:11" ht="15.75">
      <c r="A36" s="26" t="str">
        <v>Ellisburg Circle Center</v>
      </c>
      <c r="B36" s="27" t="str">
        <v>NJ</v>
      </c>
      <c r="C36" s="22">
        <v>241</v>
      </c>
      <c r="D36" s="11">
        <v>385.1902</v>
      </c>
      <c r="E36" s="11">
        <f t="shared" si="6"/>
        <v>-144.1902</v>
      </c>
      <c r="F36" s="12">
        <f t="shared" si="7"/>
        <v>-0.37433506875304723</v>
      </c>
      <c r="G36" s="13">
        <v>451.60599999999999</v>
      </c>
      <c r="H36" s="13">
        <f t="shared" si="8"/>
        <v>-210.60599999999999</v>
      </c>
      <c r="I36" s="14">
        <f t="shared" si="9"/>
        <v>-0.46634898562020877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770.89999999999395</v>
      </c>
      <c r="D37" s="16">
        <v>1199.326</v>
      </c>
      <c r="E37" s="16">
        <f t="shared" si="6"/>
        <v>-428.42600000000607</v>
      </c>
      <c r="F37" s="17">
        <f t="shared" si="7"/>
        <v>-0.35722230652883874</v>
      </c>
      <c r="G37" s="18">
        <v>1734.511</v>
      </c>
      <c r="H37" s="18">
        <f t="shared" si="8"/>
        <v>-963.61100000000602</v>
      </c>
      <c r="I37" s="17">
        <f t="shared" si="9"/>
        <v>-0.555551968249268</v>
      </c>
      <c r="J37" s="40"/>
      <c r="K37" s="40"/>
    </row>
    <row r="38" spans="1:11" ht="15.75">
      <c r="A38" s="26" t="str">
        <v>Marlton</v>
      </c>
      <c r="B38" s="27" t="str">
        <v>NJ</v>
      </c>
      <c r="C38" s="22">
        <v>1016.59999999999</v>
      </c>
      <c r="D38" s="11">
        <v>1055.635</v>
      </c>
      <c r="E38" s="11">
        <f t="shared" si="6"/>
        <v>-39.035000000009973</v>
      </c>
      <c r="F38" s="12">
        <f t="shared" si="7"/>
        <v>-3.69777432540698E-2</v>
      </c>
      <c r="G38" s="13">
        <v>1680.2619999999999</v>
      </c>
      <c r="H38" s="13">
        <f t="shared" si="8"/>
        <v>-663.66200000000993</v>
      </c>
      <c r="I38" s="14">
        <f t="shared" si="9"/>
        <v>-0.3949753074223008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994.099999999999</v>
      </c>
      <c r="D39" s="16">
        <v>964.94500000000005</v>
      </c>
      <c r="E39" s="16">
        <f t="shared" si="6"/>
        <v>29.15499999999895</v>
      </c>
      <c r="F39" s="17">
        <f t="shared" si="7"/>
        <v>3.0214157283574659E-2</v>
      </c>
      <c r="G39" s="18">
        <v>1643.9359999999999</v>
      </c>
      <c r="H39" s="18">
        <f t="shared" si="8"/>
        <v>-649.83600000000092</v>
      </c>
      <c r="I39" s="17">
        <f t="shared" si="9"/>
        <v>-0.39529276078874176</v>
      </c>
      <c r="J39" s="40"/>
      <c r="K39" s="40"/>
    </row>
    <row r="40" spans="1:11" ht="15.75">
      <c r="A40" s="26" t="str">
        <v>Whiting Crestwood</v>
      </c>
      <c r="B40" s="27" t="str">
        <v>NJ</v>
      </c>
      <c r="C40" s="22">
        <v>1524.8999999999901</v>
      </c>
      <c r="D40" s="11">
        <v>1991.1859999999999</v>
      </c>
      <c r="E40" s="11">
        <f t="shared" si="6"/>
        <v>-466.28600000000984</v>
      </c>
      <c r="F40" s="12">
        <f t="shared" si="7"/>
        <v>-0.23417500926583948</v>
      </c>
      <c r="G40" s="13">
        <v>2510.9960000000001</v>
      </c>
      <c r="H40" s="13">
        <f t="shared" si="8"/>
        <v>-986.09600000001001</v>
      </c>
      <c r="I40" s="14">
        <f t="shared" si="9"/>
        <v>-0.39271109949996336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1678.6484375</v>
      </c>
      <c r="D41" s="16">
        <v>1609.7439999999999</v>
      </c>
      <c r="E41" s="16">
        <f t="shared" si="6"/>
        <v>68.904437500000085</v>
      </c>
      <c r="F41" s="17">
        <f t="shared" si="7"/>
        <v>4.2804593463308505E-2</v>
      </c>
      <c r="G41" s="18">
        <v>2100.114</v>
      </c>
      <c r="H41" s="18">
        <f t="shared" si="8"/>
        <v>-421.46556250000003</v>
      </c>
      <c r="I41" s="17">
        <f t="shared" si="9"/>
        <v>-0.20068699246802793</v>
      </c>
      <c r="J41" s="40"/>
      <c r="K41" s="40"/>
    </row>
    <row r="42" spans="1:11" ht="15.75">
      <c r="A42" s="26" t="str">
        <v>Manchester</v>
      </c>
      <c r="B42" s="27" t="str">
        <v>NJ</v>
      </c>
      <c r="C42" s="22">
        <v>1243.7</v>
      </c>
      <c r="D42" s="11">
        <v>1242.431</v>
      </c>
      <c r="E42" s="11">
        <f t="shared" si="6"/>
        <v>1.2690000000000055</v>
      </c>
      <c r="F42" s="12">
        <f t="shared" si="7"/>
        <v>1.0213846885662105E-3</v>
      </c>
      <c r="G42" s="13">
        <v>2172.9290000000001</v>
      </c>
      <c r="H42" s="13">
        <f t="shared" si="8"/>
        <v>-929.22900000000004</v>
      </c>
      <c r="I42" s="14">
        <f t="shared" si="9"/>
        <v>-0.42763891503127804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1385.8999999999901</v>
      </c>
      <c r="D43" s="16">
        <v>1614.307</v>
      </c>
      <c r="E43" s="16">
        <f t="shared" si="6"/>
        <v>-228.40700000000993</v>
      </c>
      <c r="F43" s="17">
        <f t="shared" si="7"/>
        <v>-0.1414891962929046</v>
      </c>
      <c r="G43" s="18">
        <v>1978.3620000000001</v>
      </c>
      <c r="H43" s="18">
        <f t="shared" si="8"/>
        <v>-592.46200000000999</v>
      </c>
      <c r="I43" s="17">
        <f t="shared" si="9"/>
        <v>-0.29947097649470117</v>
      </c>
      <c r="J43" s="40"/>
      <c r="K43" s="40"/>
    </row>
    <row r="44" spans="1:11" ht="15.75">
      <c r="A44" s="26" t="str">
        <v>Edison</v>
      </c>
      <c r="B44" s="27" t="str">
        <v>NJ</v>
      </c>
      <c r="C44" s="22">
        <v>923</v>
      </c>
      <c r="D44" s="11">
        <v>960.84810000000004</v>
      </c>
      <c r="E44" s="11">
        <f t="shared" si="6"/>
        <v>-37.848100000000045</v>
      </c>
      <c r="F44" s="12">
        <f t="shared" si="7"/>
        <v>-3.9390305293833687E-2</v>
      </c>
      <c r="G44" s="13">
        <v>1532.135</v>
      </c>
      <c r="H44" s="13">
        <f t="shared" si="8"/>
        <v>-609.13499999999999</v>
      </c>
      <c r="I44" s="14">
        <f t="shared" si="9"/>
        <v>-0.39757266820482529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745.80000000000996</v>
      </c>
      <c r="D45" s="16">
        <v>1052.367</v>
      </c>
      <c r="E45" s="16">
        <f t="shared" ref="E45:E65" si="10">IF(AND(ISNUMBER(C45),ISNUMBER(D45)), C45-D45, "")</f>
        <v>-306.56699999999</v>
      </c>
      <c r="F45" s="17">
        <f t="shared" ref="F45:F65" si="11">IFERROR(E45/D45, "")</f>
        <v>-0.2913118712388264</v>
      </c>
      <c r="G45" s="18">
        <v>1315.7850000000001</v>
      </c>
      <c r="H45" s="18">
        <f t="shared" ref="H45:H65" si="12">IF(AND(ISNUMBER(C45),ISNUMBER(G45)), C45-G45, "")</f>
        <v>-569.98499999999012</v>
      </c>
      <c r="I45" s="17">
        <f t="shared" ref="I45:I65" si="13">IFERROR(H45/G45, "")</f>
        <v>-0.43319007284624017</v>
      </c>
      <c r="J45" s="40"/>
      <c r="K45" s="40"/>
    </row>
    <row r="46" spans="1:11" ht="15.75">
      <c r="A46" s="26" t="str">
        <v>Route 22</v>
      </c>
      <c r="B46" s="27" t="str">
        <v>NJ</v>
      </c>
      <c r="C46" s="22">
        <v>933.70000000000402</v>
      </c>
      <c r="D46" s="11">
        <v>1153.6600000000001</v>
      </c>
      <c r="E46" s="11">
        <f t="shared" si="10"/>
        <v>-219.95999999999606</v>
      </c>
      <c r="F46" s="12">
        <f t="shared" si="11"/>
        <v>-0.19066276025865164</v>
      </c>
      <c r="G46" s="13">
        <v>1296.3989999999999</v>
      </c>
      <c r="H46" s="13">
        <f t="shared" si="12"/>
        <v>-362.69899999999586</v>
      </c>
      <c r="I46" s="14">
        <f t="shared" si="13"/>
        <v>-0.27977420531795838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799.400000000001</v>
      </c>
      <c r="D47" s="16">
        <v>861.14009999999996</v>
      </c>
      <c r="E47" s="16">
        <f t="shared" si="10"/>
        <v>-61.740099999998961</v>
      </c>
      <c r="F47" s="17">
        <f t="shared" si="11"/>
        <v>-7.1695767041854125E-2</v>
      </c>
      <c r="G47" s="18">
        <v>1207.299</v>
      </c>
      <c r="H47" s="18">
        <f t="shared" si="12"/>
        <v>-407.89899999999898</v>
      </c>
      <c r="I47" s="17">
        <f t="shared" si="13"/>
        <v>-0.33786079504745631</v>
      </c>
      <c r="J47" s="40"/>
      <c r="K47" s="40"/>
    </row>
    <row r="48" spans="1:11" ht="15.75">
      <c r="A48" s="26" t="str">
        <v>Mahwah</v>
      </c>
      <c r="B48" s="27" t="str">
        <v>NJ</v>
      </c>
      <c r="C48" s="22">
        <v>530.099999999999</v>
      </c>
      <c r="D48" s="11">
        <v>950.65279999999996</v>
      </c>
      <c r="E48" s="11">
        <f t="shared" si="10"/>
        <v>-420.55280000000096</v>
      </c>
      <c r="F48" s="12">
        <f t="shared" si="11"/>
        <v>-0.44238317080641953</v>
      </c>
      <c r="G48" s="13">
        <v>1061.701</v>
      </c>
      <c r="H48" s="13">
        <f t="shared" si="12"/>
        <v>-531.60100000000102</v>
      </c>
      <c r="I48" s="14">
        <f t="shared" si="13"/>
        <v>-0.50070688451833523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643.099999999999</v>
      </c>
      <c r="D49" s="16">
        <v>924.32209999999998</v>
      </c>
      <c r="E49" s="16">
        <f t="shared" si="10"/>
        <v>-281.22210000000098</v>
      </c>
      <c r="F49" s="17">
        <f t="shared" si="11"/>
        <v>-0.30424686372856496</v>
      </c>
      <c r="G49" s="18">
        <v>1767.34</v>
      </c>
      <c r="H49" s="18">
        <f t="shared" si="12"/>
        <v>-1124.2400000000009</v>
      </c>
      <c r="I49" s="17">
        <f t="shared" si="13"/>
        <v>-0.63611981848427634</v>
      </c>
      <c r="J49" s="40"/>
      <c r="K49" s="40"/>
    </row>
    <row r="50" spans="1:11" ht="15.75">
      <c r="A50" s="26" t="str">
        <v>Bordentown</v>
      </c>
      <c r="B50" s="27" t="str">
        <v>NJ</v>
      </c>
      <c r="C50" s="22">
        <v>705.70000000001198</v>
      </c>
      <c r="D50" s="11">
        <v>734.38490000000002</v>
      </c>
      <c r="E50" s="11">
        <f t="shared" si="10"/>
        <v>-28.684899999988033</v>
      </c>
      <c r="F50" s="12">
        <f t="shared" si="11"/>
        <v>-3.9059762802840896E-2</v>
      </c>
      <c r="G50" s="13">
        <v>1121.3510000000001</v>
      </c>
      <c r="H50" s="13">
        <f t="shared" si="12"/>
        <v>-415.65099999998813</v>
      </c>
      <c r="I50" s="14">
        <f t="shared" si="13"/>
        <v>-0.37066984378663603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440.79999999999899</v>
      </c>
      <c r="D51" s="16">
        <v>493.0951</v>
      </c>
      <c r="E51" s="16">
        <f t="shared" si="10"/>
        <v>-52.295100000001014</v>
      </c>
      <c r="F51" s="17">
        <f t="shared" si="11"/>
        <v>-0.10605479551510655</v>
      </c>
      <c r="G51" s="18">
        <v>750.99599999999998</v>
      </c>
      <c r="H51" s="18">
        <f t="shared" si="12"/>
        <v>-310.19600000000099</v>
      </c>
      <c r="I51" s="17">
        <f t="shared" si="13"/>
        <v>-0.4130461413909009</v>
      </c>
      <c r="J51" s="40"/>
      <c r="K51" s="40"/>
    </row>
    <row r="52" spans="1:11" ht="15.75">
      <c r="A52" s="26" t="str">
        <v>Somerset</v>
      </c>
      <c r="B52" s="27" t="str">
        <v>NJ</v>
      </c>
      <c r="C52" s="22">
        <v>0</v>
      </c>
      <c r="D52" s="11">
        <v>0</v>
      </c>
      <c r="E52" s="11">
        <f t="shared" si="10"/>
        <v>0</v>
      </c>
      <c r="F52" s="12" t="str">
        <f t="shared" si="11"/>
        <v/>
      </c>
      <c r="G52" s="13">
        <v>0</v>
      </c>
      <c r="H52" s="13">
        <f t="shared" si="12"/>
        <v>0</v>
      </c>
      <c r="I52" s="14" t="str">
        <f t="shared" si="13"/>
        <v/>
      </c>
      <c r="J52" s="39" t="s">
        <v>34</v>
      </c>
      <c r="K52" s="39"/>
    </row>
    <row r="53" spans="1:11" ht="15.75">
      <c r="A53" s="28" t="str">
        <v>Clinton Main Relo</v>
      </c>
      <c r="B53" s="29" t="str">
        <v>NJ</v>
      </c>
      <c r="C53" s="10">
        <v>611.73828125</v>
      </c>
      <c r="D53" s="16">
        <v>1001.651</v>
      </c>
      <c r="E53" s="16">
        <f t="shared" si="10"/>
        <v>-389.91271874999995</v>
      </c>
      <c r="F53" s="17">
        <f t="shared" si="11"/>
        <v>-0.38927003392399145</v>
      </c>
      <c r="G53" s="18">
        <v>1153.7650000000001</v>
      </c>
      <c r="H53" s="18">
        <f t="shared" si="12"/>
        <v>-542.0267187500001</v>
      </c>
      <c r="I53" s="17">
        <f t="shared" si="13"/>
        <v>-0.46978953144704516</v>
      </c>
      <c r="J53" s="40"/>
      <c r="K53" s="40"/>
    </row>
    <row r="54" spans="1:11" ht="15.75">
      <c r="A54" s="26" t="str">
        <v>North Brunswick</v>
      </c>
      <c r="B54" s="27" t="str">
        <v>NJ</v>
      </c>
      <c r="C54" s="22">
        <v>740.09999999999104</v>
      </c>
      <c r="D54" s="11">
        <v>851.9058</v>
      </c>
      <c r="E54" s="11">
        <f t="shared" si="10"/>
        <v>-111.80580000000896</v>
      </c>
      <c r="F54" s="12">
        <f t="shared" si="11"/>
        <v>-0.13124197534517193</v>
      </c>
      <c r="G54" s="13">
        <v>1435.0250000000001</v>
      </c>
      <c r="H54" s="13">
        <f t="shared" si="12"/>
        <v>-694.92500000000905</v>
      </c>
      <c r="I54" s="14">
        <f t="shared" si="13"/>
        <v>-0.48425985610007422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566.71484375</v>
      </c>
      <c r="D55" s="16">
        <v>844.154</v>
      </c>
      <c r="E55" s="16">
        <f t="shared" si="10"/>
        <v>-277.43915625</v>
      </c>
      <c r="F55" s="17">
        <f t="shared" si="11"/>
        <v>-0.32865941078286665</v>
      </c>
      <c r="G55" s="18">
        <v>928.45899999999995</v>
      </c>
      <c r="H55" s="18">
        <f t="shared" si="12"/>
        <v>-361.74415624999995</v>
      </c>
      <c r="I55" s="17">
        <f t="shared" si="13"/>
        <v>-0.38961780353251996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701.099999999999</v>
      </c>
      <c r="D56" s="11">
        <v>866.38070000000005</v>
      </c>
      <c r="E56" s="11">
        <f t="shared" si="10"/>
        <v>-165.28070000000105</v>
      </c>
      <c r="F56" s="12">
        <f t="shared" si="11"/>
        <v>-0.19077144724022713</v>
      </c>
      <c r="G56" s="13">
        <v>998.58500000000004</v>
      </c>
      <c r="H56" s="13">
        <f t="shared" si="12"/>
        <v>-297.48500000000104</v>
      </c>
      <c r="I56" s="14">
        <f t="shared" si="13"/>
        <v>-0.29790653775091858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0</v>
      </c>
      <c r="D57" s="16">
        <v>0</v>
      </c>
      <c r="E57" s="16">
        <f t="shared" si="10"/>
        <v>0</v>
      </c>
      <c r="F57" s="17" t="str">
        <f t="shared" si="11"/>
        <v/>
      </c>
      <c r="G57" s="18">
        <v>0</v>
      </c>
      <c r="H57" s="18">
        <f t="shared" si="12"/>
        <v>0</v>
      </c>
      <c r="I57" s="17" t="str">
        <f t="shared" si="13"/>
        <v/>
      </c>
      <c r="J57" s="40" t="s">
        <v>35</v>
      </c>
      <c r="K57" s="40"/>
    </row>
    <row r="58" spans="1:11" ht="15.75">
      <c r="A58" s="26" t="str">
        <v>San Antonio - Ops Ctr GM</v>
      </c>
      <c r="B58" s="27" t="str">
        <v>TX</v>
      </c>
      <c r="C58" s="22">
        <v>275677</v>
      </c>
      <c r="D58" s="11">
        <v>318383.40000000002</v>
      </c>
      <c r="E58" s="11">
        <f t="shared" si="10"/>
        <v>-42706.400000000023</v>
      </c>
      <c r="F58" s="12">
        <f t="shared" si="11"/>
        <v>-0.13413513392972126</v>
      </c>
      <c r="G58" s="13">
        <v>289610.83399999997</v>
      </c>
      <c r="H58" s="13">
        <f t="shared" si="12"/>
        <v>-13933.833999999973</v>
      </c>
      <c r="I58" s="14">
        <f t="shared" si="13"/>
        <v>-4.811226778898739E-2</v>
      </c>
      <c r="J58" s="39" t="s">
        <v>36</v>
      </c>
      <c r="K58" s="39" t="s">
        <v>37</v>
      </c>
    </row>
    <row r="59" spans="1:11" ht="15.75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0"/>
        <v>0</v>
      </c>
      <c r="F59" s="17" t="str">
        <f t="shared" si="11"/>
        <v/>
      </c>
      <c r="G59" s="18">
        <v>35803.379999999997</v>
      </c>
      <c r="H59" s="18">
        <f t="shared" si="12"/>
        <v>-35803.379999999997</v>
      </c>
      <c r="I59" s="17">
        <f t="shared" si="13"/>
        <v>-1</v>
      </c>
      <c r="J59" s="40" t="s">
        <v>35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0"/>
        <v>0</v>
      </c>
      <c r="F60" s="12" t="str">
        <f t="shared" si="11"/>
        <v/>
      </c>
      <c r="G60" s="13"/>
      <c r="H60" s="13" t="str">
        <f t="shared" si="12"/>
        <v/>
      </c>
      <c r="I60" s="14" t="str">
        <f t="shared" si="13"/>
        <v/>
      </c>
      <c r="J60" s="39" t="s">
        <v>35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0"/>
        <v>0</v>
      </c>
      <c r="F61" s="17" t="str">
        <f t="shared" si="11"/>
        <v/>
      </c>
      <c r="G61" s="18">
        <v>33517.699000000001</v>
      </c>
      <c r="H61" s="18">
        <f t="shared" si="12"/>
        <v>-33517.699000000001</v>
      </c>
      <c r="I61" s="17">
        <f t="shared" si="13"/>
        <v>-1</v>
      </c>
      <c r="J61" s="40" t="s">
        <v>35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0"/>
        <v>0</v>
      </c>
      <c r="F62" s="12" t="str">
        <f t="shared" si="11"/>
        <v/>
      </c>
      <c r="G62" s="13">
        <v>34698.845000000001</v>
      </c>
      <c r="H62" s="13">
        <f t="shared" si="12"/>
        <v>-34698.845000000001</v>
      </c>
      <c r="I62" s="14">
        <f t="shared" si="13"/>
        <v>-1</v>
      </c>
      <c r="J62" s="39" t="s">
        <v>35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0"/>
        <v>0</v>
      </c>
      <c r="F63" s="17" t="str">
        <f t="shared" si="11"/>
        <v/>
      </c>
      <c r="G63" s="18">
        <v>34211.300999999999</v>
      </c>
      <c r="H63" s="18">
        <f t="shared" si="12"/>
        <v>-34211.300999999999</v>
      </c>
      <c r="I63" s="17">
        <f t="shared" si="13"/>
        <v>-1</v>
      </c>
      <c r="J63" s="40" t="s">
        <v>35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0</v>
      </c>
      <c r="D64" s="11">
        <v>0</v>
      </c>
      <c r="E64" s="11">
        <f t="shared" si="10"/>
        <v>0</v>
      </c>
      <c r="F64" s="12" t="str">
        <f t="shared" si="11"/>
        <v/>
      </c>
      <c r="G64" s="13">
        <v>0</v>
      </c>
      <c r="H64" s="13">
        <f t="shared" si="12"/>
        <v>0</v>
      </c>
      <c r="I64" s="14" t="str">
        <f t="shared" si="13"/>
        <v/>
      </c>
      <c r="J64" s="39" t="s">
        <v>35</v>
      </c>
      <c r="K64" s="39" t="s">
        <v>43</v>
      </c>
    </row>
    <row r="65" spans="1:11" ht="15.75">
      <c r="A65" s="28" t="str">
        <v>San Antonio - Ops Ctr (Bldg 102)</v>
      </c>
      <c r="B65" s="29" t="str">
        <v>TX</v>
      </c>
      <c r="C65" s="10">
        <v>0</v>
      </c>
      <c r="D65" s="16">
        <v>0</v>
      </c>
      <c r="E65" s="16">
        <f t="shared" si="10"/>
        <v>0</v>
      </c>
      <c r="F65" s="17" t="str">
        <f t="shared" si="11"/>
        <v/>
      </c>
      <c r="G65" s="18">
        <v>0</v>
      </c>
      <c r="H65" s="18">
        <f t="shared" si="12"/>
        <v>0</v>
      </c>
      <c r="I65" s="17" t="str">
        <f t="shared" si="13"/>
        <v/>
      </c>
      <c r="J65" s="40" t="s">
        <v>35</v>
      </c>
      <c r="K65" s="40" t="s">
        <v>44</v>
      </c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</sheetData>
  <mergeCells count="4">
    <mergeCell ref="D1:F1"/>
    <mergeCell ref="A1:C1"/>
    <mergeCell ref="G1:I1"/>
    <mergeCell ref="A2:B2"/>
  </mergeCells>
  <conditionalFormatting sqref="F2 I2 F4:F65 I4:I65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workbookViewId="0">
      <pane xSplit="2" ySplit="3" topLeftCell="C4" activePane="bottomRight" state="frozen"/>
      <selection pane="bottomRight" activeCell="J52" sqref="J52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>
      <c r="A1" s="58" t="str" cm="1">
        <f t="array" ref="A1">portfolio</f>
        <v>Wells Fargo</v>
      </c>
      <c r="B1" s="58"/>
      <c r="C1" s="58"/>
      <c r="D1" s="59" t="s">
        <v>45</v>
      </c>
      <c r="E1" s="59"/>
      <c r="F1" s="59"/>
      <c r="G1" s="57" t="s">
        <v>46</v>
      </c>
      <c r="H1" s="57"/>
      <c r="I1" s="57"/>
      <c r="J1" s="3"/>
      <c r="K1" s="3"/>
    </row>
    <row r="2" spans="1:12" ht="19.5" customHeight="1">
      <c r="A2" s="68" t="s">
        <v>2</v>
      </c>
      <c r="B2" s="68"/>
      <c r="C2" s="4">
        <f>SUM(C4:C100)</f>
        <v>650956.60945189407</v>
      </c>
      <c r="D2" s="4">
        <f>SUM(D4:D100)</f>
        <v>702151.33169999998</v>
      </c>
      <c r="E2" s="4">
        <f>C2-D2</f>
        <v>-51194.722248105914</v>
      </c>
      <c r="F2" s="5">
        <f>IFERROR(E2/D2, 0)</f>
        <v>-7.2911237131968135E-2</v>
      </c>
      <c r="G2" s="4">
        <f>SUM(G4:G100)</f>
        <v>903765.68880000024</v>
      </c>
      <c r="H2" s="6">
        <f>C2-G2</f>
        <v>-252809.07934810617</v>
      </c>
      <c r="I2" s="5">
        <f>IFERROR(H2/G2, 0)</f>
        <v>-0.27972856513703281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3"/>
    </row>
    <row r="3" spans="1:12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2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11">
        <v>675.2</v>
      </c>
      <c r="D4" s="11">
        <v>0</v>
      </c>
      <c r="E4" s="11">
        <f>IF(AND(ISNUMBER(C4),ISNUMBER(D4)), C4-D4, "")</f>
        <v>675.2</v>
      </c>
      <c r="F4" s="12" t="str">
        <f>IFERROR(E4/D4, "")</f>
        <v/>
      </c>
      <c r="G4" s="13">
        <v>746.37</v>
      </c>
      <c r="H4" s="13">
        <f>IF(AND(ISNUMBER(C4),ISNUMBER(G4)), C4-G4, "")</f>
        <v>-71.169999999999959</v>
      </c>
      <c r="I4" s="14">
        <f>IFERROR(H4/G4, "")</f>
        <v>-9.5354850811259773E-2</v>
      </c>
      <c r="J4" s="39"/>
      <c r="K4" s="39"/>
    </row>
    <row r="5" spans="1:12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>IF(AND(ISNUMBER(C5),ISNUMBER(D5)), C5-D5, "")</f>
        <v>0</v>
      </c>
      <c r="F5" s="17" t="str">
        <f>IFERROR(E5/D5, "")</f>
        <v/>
      </c>
      <c r="G5" s="18">
        <v>0</v>
      </c>
      <c r="H5" s="18">
        <f>IF(AND(ISNUMBER(C5),ISNUMBER(G5)), C5-G5, "")</f>
        <v>0</v>
      </c>
      <c r="I5" s="17" t="str">
        <f t="shared" ref="I5:I68" si="0">IFERROR(H5/G5, "")</f>
        <v/>
      </c>
      <c r="J5" s="40"/>
      <c r="K5" s="40"/>
    </row>
    <row r="6" spans="1:12" ht="15.75">
      <c r="A6" s="26" t="str">
        <v>San Leandro</v>
      </c>
      <c r="B6" s="27" t="str">
        <v>CA</v>
      </c>
      <c r="C6" s="22">
        <v>27875.8125</v>
      </c>
      <c r="D6" s="11">
        <v>31129.31</v>
      </c>
      <c r="E6" s="11">
        <f t="shared" ref="E6:E68" si="1">IF(AND(ISNUMBER(C6),ISNUMBER(D6)), C6-D6, "")</f>
        <v>-3253.4975000000013</v>
      </c>
      <c r="F6" s="12">
        <f t="shared" ref="F6:F69" si="2">IFERROR(E6/D6, "")</f>
        <v>-0.10451556748286425</v>
      </c>
      <c r="G6" s="13">
        <v>25298.6</v>
      </c>
      <c r="H6" s="13">
        <f t="shared" ref="H6:H68" si="3">IF(AND(ISNUMBER(C6),ISNUMBER(G6)), C6-G6, "")</f>
        <v>2577.2125000000015</v>
      </c>
      <c r="I6" s="14">
        <f t="shared" si="0"/>
        <v>0.10187174389096636</v>
      </c>
      <c r="J6" s="39" t="s">
        <v>47</v>
      </c>
      <c r="K6" s="39" t="s">
        <v>48</v>
      </c>
    </row>
    <row r="7" spans="1:12" ht="15.75">
      <c r="A7" s="28" t="str">
        <v>Van Nuys</v>
      </c>
      <c r="B7" s="29" t="str">
        <v>CA</v>
      </c>
      <c r="C7" s="10">
        <v>1221.4997410000001</v>
      </c>
      <c r="D7" s="16">
        <v>0</v>
      </c>
      <c r="E7" s="16">
        <f t="shared" si="1"/>
        <v>1221.4997410000001</v>
      </c>
      <c r="F7" s="17" t="str">
        <f t="shared" si="2"/>
        <v/>
      </c>
      <c r="G7" s="18">
        <v>1486.6469999999999</v>
      </c>
      <c r="H7" s="18">
        <f t="shared" si="3"/>
        <v>-265.14725899999985</v>
      </c>
      <c r="I7" s="17">
        <f t="shared" si="0"/>
        <v>-0.17835253358732764</v>
      </c>
      <c r="J7" s="40"/>
      <c r="K7" s="41"/>
    </row>
    <row r="8" spans="1:12" ht="15.75">
      <c r="A8" s="26" t="str">
        <v>98th &amp; Grant</v>
      </c>
      <c r="B8" s="27" t="str">
        <v>CO</v>
      </c>
      <c r="C8" s="22">
        <v>884</v>
      </c>
      <c r="D8" s="11">
        <v>0</v>
      </c>
      <c r="E8" s="11">
        <f t="shared" si="1"/>
        <v>884</v>
      </c>
      <c r="F8" s="12" t="str">
        <f t="shared" si="2"/>
        <v/>
      </c>
      <c r="G8" s="13">
        <v>1280</v>
      </c>
      <c r="H8" s="13">
        <f t="shared" si="3"/>
        <v>-396</v>
      </c>
      <c r="I8" s="14">
        <f t="shared" si="0"/>
        <v>-0.30937500000000001</v>
      </c>
      <c r="J8" s="39"/>
      <c r="K8" s="39"/>
    </row>
    <row r="9" spans="1:12" ht="15.75">
      <c r="A9" s="28" t="str">
        <v>Arapahoe Crossings</v>
      </c>
      <c r="B9" s="29" t="str">
        <v>CO</v>
      </c>
      <c r="C9" s="10">
        <v>2267.1002079999998</v>
      </c>
      <c r="D9" s="16">
        <v>0</v>
      </c>
      <c r="E9" s="16">
        <f t="shared" si="1"/>
        <v>2267.1002079999998</v>
      </c>
      <c r="F9" s="17" t="str">
        <f t="shared" si="2"/>
        <v/>
      </c>
      <c r="G9" s="18">
        <v>2339.4580000000001</v>
      </c>
      <c r="H9" s="18">
        <f t="shared" si="3"/>
        <v>-72.357792000000245</v>
      </c>
      <c r="I9" s="17">
        <f t="shared" si="0"/>
        <v>-3.0929297298776144E-2</v>
      </c>
      <c r="J9" s="40"/>
      <c r="K9" s="41"/>
    </row>
    <row r="10" spans="1:12" ht="15.75">
      <c r="A10" s="26" t="str">
        <v>Aurora City Center</v>
      </c>
      <c r="B10" s="27" t="str">
        <v>CO</v>
      </c>
      <c r="C10" s="22">
        <v>1176.7</v>
      </c>
      <c r="D10" s="11">
        <v>0</v>
      </c>
      <c r="E10" s="11">
        <f t="shared" si="1"/>
        <v>1176.7</v>
      </c>
      <c r="F10" s="12" t="str">
        <f t="shared" si="2"/>
        <v/>
      </c>
      <c r="G10" s="13">
        <v>1140</v>
      </c>
      <c r="H10" s="13">
        <f t="shared" si="3"/>
        <v>36.700000000000045</v>
      </c>
      <c r="I10" s="14">
        <f t="shared" si="0"/>
        <v>3.2192982456140391E-2</v>
      </c>
      <c r="J10" s="39"/>
      <c r="K10" s="39"/>
    </row>
    <row r="11" spans="1:12" ht="15.75">
      <c r="A11" s="28" t="str">
        <v>Dry Creek</v>
      </c>
      <c r="B11" s="29" t="str">
        <v>CO</v>
      </c>
      <c r="C11" s="10">
        <v>-3.9020056059999999</v>
      </c>
      <c r="D11" s="16">
        <v>0</v>
      </c>
      <c r="E11" s="16">
        <f t="shared" si="1"/>
        <v>-3.9020056059999999</v>
      </c>
      <c r="F11" s="17" t="str">
        <f t="shared" si="2"/>
        <v/>
      </c>
      <c r="G11" s="18">
        <v>1386</v>
      </c>
      <c r="H11" s="18">
        <f t="shared" si="3"/>
        <v>-1389.9020056060001</v>
      </c>
      <c r="I11" s="17">
        <f t="shared" si="0"/>
        <v>-1.002815299860029</v>
      </c>
      <c r="J11" s="40" t="s">
        <v>49</v>
      </c>
      <c r="K11" s="40" t="s">
        <v>25</v>
      </c>
    </row>
    <row r="12" spans="1:12" ht="15.75">
      <c r="A12" s="26" t="str">
        <v>Highlands Ranch S.</v>
      </c>
      <c r="B12" s="27" t="str">
        <v>CO</v>
      </c>
      <c r="C12" s="22">
        <v>1075.3</v>
      </c>
      <c r="D12" s="11">
        <v>0</v>
      </c>
      <c r="E12" s="11">
        <f t="shared" si="1"/>
        <v>1075.3</v>
      </c>
      <c r="F12" s="12" t="str">
        <f t="shared" si="2"/>
        <v/>
      </c>
      <c r="G12" s="13">
        <v>1265</v>
      </c>
      <c r="H12" s="13">
        <f t="shared" si="3"/>
        <v>-189.70000000000005</v>
      </c>
      <c r="I12" s="14">
        <f t="shared" si="0"/>
        <v>-0.14996047430830042</v>
      </c>
      <c r="J12" s="39"/>
      <c r="K12" s="39"/>
    </row>
    <row r="13" spans="1:12" ht="15.75">
      <c r="A13" s="28" t="str">
        <v>Lone Tree</v>
      </c>
      <c r="B13" s="29" t="str">
        <v>CO</v>
      </c>
      <c r="C13" s="10">
        <v>1922.5</v>
      </c>
      <c r="D13" s="16">
        <v>0</v>
      </c>
      <c r="E13" s="16">
        <f t="shared" si="1"/>
        <v>1922.5</v>
      </c>
      <c r="F13" s="17" t="str">
        <f t="shared" si="2"/>
        <v/>
      </c>
      <c r="G13" s="18">
        <v>2891</v>
      </c>
      <c r="H13" s="18">
        <f t="shared" si="3"/>
        <v>-968.5</v>
      </c>
      <c r="I13" s="17">
        <f t="shared" si="0"/>
        <v>-0.33500518851608441</v>
      </c>
      <c r="J13" s="40"/>
      <c r="K13" s="40"/>
    </row>
    <row r="14" spans="1:12" ht="15.75">
      <c r="A14" s="26" t="str">
        <v>Meridian</v>
      </c>
      <c r="B14" s="27" t="str">
        <v>CO</v>
      </c>
      <c r="C14" s="22">
        <v>1964.8</v>
      </c>
      <c r="D14" s="11">
        <v>0</v>
      </c>
      <c r="E14" s="11">
        <f t="shared" si="1"/>
        <v>1964.8</v>
      </c>
      <c r="F14" s="12" t="str">
        <f t="shared" si="2"/>
        <v/>
      </c>
      <c r="G14" s="13">
        <v>1699</v>
      </c>
      <c r="H14" s="13">
        <f t="shared" si="3"/>
        <v>265.79999999999995</v>
      </c>
      <c r="I14" s="14">
        <f t="shared" si="0"/>
        <v>0.15644496762801646</v>
      </c>
      <c r="J14" s="39"/>
      <c r="K14" s="39"/>
      <c r="L14" s="52"/>
    </row>
    <row r="15" spans="1:12" ht="15.75">
      <c r="A15" s="28" t="str">
        <v>Southglenn</v>
      </c>
      <c r="B15" s="29" t="str">
        <v>CO</v>
      </c>
      <c r="C15" s="10">
        <v>1800.9</v>
      </c>
      <c r="D15" s="16">
        <v>0</v>
      </c>
      <c r="E15" s="16">
        <f t="shared" si="1"/>
        <v>1800.9</v>
      </c>
      <c r="F15" s="17" t="str">
        <f t="shared" si="2"/>
        <v/>
      </c>
      <c r="G15" s="18">
        <v>1778</v>
      </c>
      <c r="H15" s="18">
        <f t="shared" si="3"/>
        <v>22.900000000000091</v>
      </c>
      <c r="I15" s="17">
        <f t="shared" si="0"/>
        <v>1.2879640044994426E-2</v>
      </c>
      <c r="J15" s="40"/>
      <c r="K15" s="41"/>
    </row>
    <row r="16" spans="1:12" ht="15.75">
      <c r="A16" s="26" t="str">
        <v>Standley Lake</v>
      </c>
      <c r="B16" s="27" t="str">
        <v>CO</v>
      </c>
      <c r="C16" s="22">
        <v>2393.1</v>
      </c>
      <c r="D16" s="11">
        <v>0</v>
      </c>
      <c r="E16" s="11">
        <f t="shared" si="1"/>
        <v>2393.1</v>
      </c>
      <c r="F16" s="12" t="str">
        <f t="shared" si="2"/>
        <v/>
      </c>
      <c r="G16" s="13">
        <v>2371</v>
      </c>
      <c r="H16" s="13">
        <f t="shared" si="3"/>
        <v>22.099999999999909</v>
      </c>
      <c r="I16" s="14">
        <f t="shared" si="0"/>
        <v>9.3209616195697627E-3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2062.1</v>
      </c>
      <c r="D17" s="16">
        <v>0</v>
      </c>
      <c r="E17" s="16">
        <f t="shared" si="1"/>
        <v>2062.1</v>
      </c>
      <c r="F17" s="17" t="str">
        <f t="shared" si="2"/>
        <v/>
      </c>
      <c r="G17" s="18">
        <v>926</v>
      </c>
      <c r="H17" s="18">
        <f t="shared" si="3"/>
        <v>1136.0999999999999</v>
      </c>
      <c r="I17" s="17">
        <f t="shared" si="0"/>
        <v>1.226889848812095</v>
      </c>
      <c r="J17" s="40" t="s">
        <v>26</v>
      </c>
      <c r="K17" s="41"/>
    </row>
    <row r="18" spans="1:11" ht="12.75" customHeight="1">
      <c r="A18" s="26" t="str">
        <v>East Hartford</v>
      </c>
      <c r="B18" s="27" t="str">
        <v>CT</v>
      </c>
      <c r="C18" s="22">
        <v>277.7</v>
      </c>
      <c r="D18" s="11">
        <v>420.28399999999999</v>
      </c>
      <c r="E18" s="11">
        <f>IF(AND(ISNUMBER(C18),ISNUMBER(D18)), C18-D18, "")</f>
        <v>-142.584</v>
      </c>
      <c r="F18" s="12">
        <f t="shared" si="2"/>
        <v>-0.33925631239828308</v>
      </c>
      <c r="G18" s="13">
        <v>431.18579999999997</v>
      </c>
      <c r="H18" s="13">
        <v>-153</v>
      </c>
      <c r="I18" s="14">
        <f t="shared" si="0"/>
        <v>-0.3548354328922706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212.0096935</v>
      </c>
      <c r="D19" s="16">
        <v>641.90620000000001</v>
      </c>
      <c r="E19" s="16">
        <f t="shared" si="1"/>
        <v>-429.89650649999999</v>
      </c>
      <c r="F19" s="17">
        <f t="shared" si="2"/>
        <v>-0.66971857648360456</v>
      </c>
      <c r="G19" s="18">
        <v>490.38749999999999</v>
      </c>
      <c r="H19" s="18">
        <v>-278</v>
      </c>
      <c r="I19" s="17">
        <f t="shared" si="0"/>
        <v>-0.5668986260865132</v>
      </c>
      <c r="J19" s="40"/>
      <c r="K19" s="41"/>
    </row>
    <row r="20" spans="1:11" ht="15.75">
      <c r="A20" s="26" t="str">
        <v>Hialeah Gardens</v>
      </c>
      <c r="B20" s="27" t="str">
        <v>FL</v>
      </c>
      <c r="C20" s="22">
        <v>1245.3049309999999</v>
      </c>
      <c r="D20" s="11">
        <v>3165.837</v>
      </c>
      <c r="E20" s="11">
        <f t="shared" si="1"/>
        <v>-1920.5320690000001</v>
      </c>
      <c r="F20" s="12">
        <f t="shared" si="2"/>
        <v>-0.60664275166409387</v>
      </c>
      <c r="G20" s="13">
        <v>3739</v>
      </c>
      <c r="H20" s="13">
        <f t="shared" si="3"/>
        <v>-2493.6950690000003</v>
      </c>
      <c r="I20" s="14">
        <f t="shared" si="0"/>
        <v>-0.66694171409467784</v>
      </c>
      <c r="J20" s="39" t="s">
        <v>50</v>
      </c>
      <c r="K20" s="39" t="s">
        <v>51</v>
      </c>
    </row>
    <row r="21" spans="1:11" ht="15.75">
      <c r="A21" s="28" t="str">
        <v>West Des Moines - HMHQ</v>
      </c>
      <c r="B21" s="29" t="str">
        <v>IA</v>
      </c>
      <c r="C21" s="10">
        <v>33641.5</v>
      </c>
      <c r="D21" s="16">
        <v>34557.14</v>
      </c>
      <c r="E21" s="16">
        <f t="shared" si="1"/>
        <v>-915.63999999999942</v>
      </c>
      <c r="F21" s="17">
        <f t="shared" si="2"/>
        <v>-2.649640566320012E-2</v>
      </c>
      <c r="G21" s="18">
        <v>29114.09</v>
      </c>
      <c r="H21" s="18">
        <f t="shared" si="3"/>
        <v>4527.41</v>
      </c>
      <c r="I21" s="17">
        <f t="shared" si="0"/>
        <v>0.15550580492125976</v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154786</v>
      </c>
      <c r="D22" s="11">
        <v>162400.1</v>
      </c>
      <c r="E22" s="11">
        <f t="shared" si="1"/>
        <v>-7614.1000000000058</v>
      </c>
      <c r="F22" s="12">
        <f t="shared" si="2"/>
        <v>-4.6884823346783684E-2</v>
      </c>
      <c r="G22" s="13">
        <v>124800</v>
      </c>
      <c r="H22" s="13">
        <f t="shared" si="3"/>
        <v>29986</v>
      </c>
      <c r="I22" s="14">
        <f t="shared" si="0"/>
        <v>0.24027243589743591</v>
      </c>
      <c r="J22" s="39"/>
      <c r="K22" s="39"/>
    </row>
    <row r="23" spans="1:11" ht="30">
      <c r="A23" s="28" t="str">
        <v>W. Des Moines Campus SW</v>
      </c>
      <c r="B23" s="29" t="str">
        <v>IA</v>
      </c>
      <c r="C23" s="10">
        <v>63016.5</v>
      </c>
      <c r="D23" s="16">
        <v>89106.8</v>
      </c>
      <c r="E23" s="16">
        <f t="shared" si="1"/>
        <v>-26090.300000000003</v>
      </c>
      <c r="F23" s="17">
        <f t="shared" si="2"/>
        <v>-0.29279808050564043</v>
      </c>
      <c r="G23" s="18">
        <v>63174.59</v>
      </c>
      <c r="H23" s="18">
        <f t="shared" si="3"/>
        <v>-158.08999999999651</v>
      </c>
      <c r="I23" s="17">
        <f t="shared" si="0"/>
        <v>-2.5024301701047293E-3</v>
      </c>
      <c r="J23" s="51" t="s">
        <v>52</v>
      </c>
      <c r="K23" s="51" t="s">
        <v>53</v>
      </c>
    </row>
    <row r="24" spans="1:11" ht="15.75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1"/>
        <v>0</v>
      </c>
      <c r="F24" s="12" t="str">
        <f t="shared" si="2"/>
        <v/>
      </c>
      <c r="G24" s="13">
        <v>0</v>
      </c>
      <c r="H24" s="13">
        <f t="shared" si="3"/>
        <v>0</v>
      </c>
      <c r="I24" s="14" t="str">
        <f t="shared" si="0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1"/>
        <v>0</v>
      </c>
      <c r="F25" s="17" t="str">
        <f t="shared" si="2"/>
        <v/>
      </c>
      <c r="G25" s="18">
        <v>0</v>
      </c>
      <c r="H25" s="18">
        <f t="shared" si="3"/>
        <v>0</v>
      </c>
      <c r="I25" s="17" t="str">
        <f t="shared" si="0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>
        <v>616.9</v>
      </c>
      <c r="D26" s="11">
        <v>728.96259999999995</v>
      </c>
      <c r="E26" s="11">
        <f t="shared" si="1"/>
        <v>-112.06259999999997</v>
      </c>
      <c r="F26" s="12">
        <f t="shared" si="2"/>
        <v>-0.15372887443059491</v>
      </c>
      <c r="G26" s="13">
        <v>481.67079999999999</v>
      </c>
      <c r="H26" s="13">
        <f t="shared" si="3"/>
        <v>135.22919999999999</v>
      </c>
      <c r="I26" s="14">
        <f t="shared" si="0"/>
        <v>0.28075025515351976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1843.1</v>
      </c>
      <c r="D27" s="16">
        <v>1626.606</v>
      </c>
      <c r="E27" s="16">
        <f t="shared" si="1"/>
        <v>216.49399999999991</v>
      </c>
      <c r="F27" s="17">
        <f t="shared" si="2"/>
        <v>0.13309553757947526</v>
      </c>
      <c r="G27" s="18">
        <v>1364.992</v>
      </c>
      <c r="H27" s="18">
        <f t="shared" si="3"/>
        <v>478.10799999999995</v>
      </c>
      <c r="I27" s="17">
        <f t="shared" si="0"/>
        <v>0.35026432389347334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1770</v>
      </c>
      <c r="D28" s="11">
        <v>2142.0250000000001</v>
      </c>
      <c r="E28" s="11">
        <f t="shared" si="1"/>
        <v>-372.02500000000009</v>
      </c>
      <c r="F28" s="12">
        <f t="shared" si="2"/>
        <v>-0.17367911205518147</v>
      </c>
      <c r="G28" s="13">
        <v>2322.5810000000001</v>
      </c>
      <c r="H28" s="13">
        <f>IF(AND(ISNUMBER(C28),ISNUMBER(G28)), C28-G28, "")</f>
        <v>-552.58100000000013</v>
      </c>
      <c r="I28" s="14">
        <f t="shared" si="0"/>
        <v>-0.23791678309604708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2043.28125</v>
      </c>
      <c r="D29" s="16">
        <v>2654.5340000000001</v>
      </c>
      <c r="E29" s="16">
        <f t="shared" si="1"/>
        <v>-611.25275000000011</v>
      </c>
      <c r="F29" s="17">
        <f t="shared" si="2"/>
        <v>-0.23026744053758591</v>
      </c>
      <c r="G29" s="18">
        <v>3038.3029999999999</v>
      </c>
      <c r="H29" s="18">
        <f t="shared" si="3"/>
        <v>-995.02174999999988</v>
      </c>
      <c r="I29" s="17">
        <f t="shared" si="0"/>
        <v>-0.3274926003101073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1566.5</v>
      </c>
      <c r="D30" s="11">
        <v>1603.5609999999999</v>
      </c>
      <c r="E30" s="11">
        <f t="shared" si="1"/>
        <v>-37.060999999999922</v>
      </c>
      <c r="F30" s="12">
        <f t="shared" si="2"/>
        <v>-2.3111687051505944E-2</v>
      </c>
      <c r="G30" s="13">
        <v>1917.395</v>
      </c>
      <c r="H30" s="13">
        <f t="shared" si="3"/>
        <v>-350.89499999999998</v>
      </c>
      <c r="I30" s="14">
        <f t="shared" si="0"/>
        <v>-0.18300610985216922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1473.6</v>
      </c>
      <c r="D31" s="16">
        <v>1550.355</v>
      </c>
      <c r="E31" s="16">
        <f t="shared" si="1"/>
        <v>-76.755000000000109</v>
      </c>
      <c r="F31" s="17">
        <f t="shared" si="2"/>
        <v>-4.9508015906034493E-2</v>
      </c>
      <c r="G31" s="18">
        <v>1328.6790000000001</v>
      </c>
      <c r="H31" s="18">
        <f t="shared" si="3"/>
        <v>144.92099999999982</v>
      </c>
      <c r="I31" s="17">
        <f t="shared" si="0"/>
        <v>0.10907149130828425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1595.4</v>
      </c>
      <c r="D32" s="11">
        <v>2384.3180000000002</v>
      </c>
      <c r="E32" s="11">
        <f t="shared" si="1"/>
        <v>-788.91800000000012</v>
      </c>
      <c r="F32" s="12">
        <f t="shared" si="2"/>
        <v>-0.33087784431439099</v>
      </c>
      <c r="G32" s="13">
        <v>1729.4559999999999</v>
      </c>
      <c r="H32" s="13">
        <f t="shared" si="3"/>
        <v>-134.05599999999981</v>
      </c>
      <c r="I32" s="14">
        <f t="shared" si="0"/>
        <v>-7.7513391494203859E-2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1274.5</v>
      </c>
      <c r="D33" s="16">
        <v>1502.578</v>
      </c>
      <c r="E33" s="16">
        <f t="shared" si="1"/>
        <v>-228.07799999999997</v>
      </c>
      <c r="F33" s="17">
        <f t="shared" si="2"/>
        <v>-0.15179112165890887</v>
      </c>
      <c r="G33" s="18">
        <v>1380.123</v>
      </c>
      <c r="H33" s="18">
        <f t="shared" si="3"/>
        <v>-105.62300000000005</v>
      </c>
      <c r="I33" s="17">
        <f t="shared" si="0"/>
        <v>-7.6531584503700067E-2</v>
      </c>
      <c r="J33" s="40"/>
      <c r="K33" s="41"/>
    </row>
    <row r="34" spans="1:11" ht="15.75">
      <c r="A34" s="26" t="str">
        <v>Closter</v>
      </c>
      <c r="B34" s="27" t="str">
        <v>NJ</v>
      </c>
      <c r="C34" s="22">
        <v>304.89999999999998</v>
      </c>
      <c r="D34" s="11">
        <v>446.60890000000001</v>
      </c>
      <c r="E34" s="11">
        <f t="shared" si="1"/>
        <v>-141.70890000000003</v>
      </c>
      <c r="F34" s="12">
        <f t="shared" si="2"/>
        <v>-0.31729976720123587</v>
      </c>
      <c r="G34" s="13">
        <v>770.42439999999999</v>
      </c>
      <c r="H34" s="13">
        <f t="shared" si="3"/>
        <v>-465.52440000000001</v>
      </c>
      <c r="I34" s="14">
        <f t="shared" si="0"/>
        <v>-0.6042441023415146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1149.5</v>
      </c>
      <c r="D35" s="16">
        <v>1236.095</v>
      </c>
      <c r="E35" s="16">
        <f t="shared" si="1"/>
        <v>-86.595000000000027</v>
      </c>
      <c r="F35" s="17">
        <f t="shared" si="2"/>
        <v>-7.0055295102722709E-2</v>
      </c>
      <c r="G35" s="18">
        <v>1001</v>
      </c>
      <c r="H35" s="18">
        <f t="shared" si="3"/>
        <v>148.5</v>
      </c>
      <c r="I35" s="17">
        <f t="shared" si="0"/>
        <v>0.14835164835164835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662.6</v>
      </c>
      <c r="D36" s="11">
        <v>734.09749999999997</v>
      </c>
      <c r="E36" s="11">
        <f t="shared" si="1"/>
        <v>-71.497499999999945</v>
      </c>
      <c r="F36" s="12">
        <f t="shared" si="2"/>
        <v>-9.7395100787020725E-2</v>
      </c>
      <c r="G36" s="13">
        <v>615</v>
      </c>
      <c r="H36" s="13">
        <f t="shared" si="3"/>
        <v>47.600000000000023</v>
      </c>
      <c r="I36" s="14">
        <f t="shared" si="0"/>
        <v>7.7398373983739874E-2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1637.7</v>
      </c>
      <c r="D37" s="16">
        <v>2148.2539999999999</v>
      </c>
      <c r="E37" s="16">
        <f t="shared" si="1"/>
        <v>-510.55399999999986</v>
      </c>
      <c r="F37" s="17">
        <f t="shared" si="2"/>
        <v>-0.23765997875483993</v>
      </c>
      <c r="G37" s="18">
        <v>2500.1089999999999</v>
      </c>
      <c r="H37" s="18">
        <f t="shared" si="3"/>
        <v>-862.40899999999988</v>
      </c>
      <c r="I37" s="17">
        <f t="shared" si="0"/>
        <v>-0.34494856024277337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2616.5</v>
      </c>
      <c r="D38" s="11">
        <v>1996.4369999999999</v>
      </c>
      <c r="E38" s="11">
        <f t="shared" si="1"/>
        <v>620.0630000000001</v>
      </c>
      <c r="F38" s="12">
        <f t="shared" si="2"/>
        <v>0.31058480683337369</v>
      </c>
      <c r="G38" s="13">
        <v>2216.3470000000002</v>
      </c>
      <c r="H38" s="13">
        <f t="shared" si="3"/>
        <v>400.15299999999979</v>
      </c>
      <c r="I38" s="14">
        <f t="shared" si="0"/>
        <v>0.18054618703659658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2120.4</v>
      </c>
      <c r="D39" s="16">
        <v>1811.7570000000001</v>
      </c>
      <c r="E39" s="16">
        <f t="shared" si="1"/>
        <v>308.64300000000003</v>
      </c>
      <c r="F39" s="17">
        <f t="shared" si="2"/>
        <v>0.17035562716192074</v>
      </c>
      <c r="G39" s="18">
        <v>1910.473</v>
      </c>
      <c r="H39" s="18">
        <f t="shared" si="3"/>
        <v>209.92700000000013</v>
      </c>
      <c r="I39" s="17">
        <f t="shared" si="0"/>
        <v>0.10988221241545949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3314.8</v>
      </c>
      <c r="D40" s="11">
        <v>3360.4720000000002</v>
      </c>
      <c r="E40" s="11">
        <f t="shared" si="1"/>
        <v>-45.672000000000025</v>
      </c>
      <c r="F40" s="12">
        <f t="shared" si="2"/>
        <v>-1.3590947938265822E-2</v>
      </c>
      <c r="G40" s="13">
        <v>2967.6689999999999</v>
      </c>
      <c r="H40" s="13">
        <f t="shared" si="3"/>
        <v>347.13100000000031</v>
      </c>
      <c r="I40" s="14">
        <f t="shared" si="0"/>
        <v>0.11697092903554956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3450.6484380000002</v>
      </c>
      <c r="D41" s="16">
        <v>2871.1619999999998</v>
      </c>
      <c r="E41" s="16">
        <f t="shared" si="1"/>
        <v>579.48643800000036</v>
      </c>
      <c r="F41" s="17">
        <f t="shared" si="2"/>
        <v>0.20182993436107066</v>
      </c>
      <c r="G41" s="18">
        <v>2744.4810000000002</v>
      </c>
      <c r="H41" s="18">
        <f t="shared" si="3"/>
        <v>706.16743799999995</v>
      </c>
      <c r="I41" s="17">
        <f t="shared" si="0"/>
        <v>0.25730454610543846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2231.9</v>
      </c>
      <c r="D42" s="11">
        <v>2113.0419999999999</v>
      </c>
      <c r="E42" s="11">
        <f t="shared" si="1"/>
        <v>118.85800000000017</v>
      </c>
      <c r="F42" s="12">
        <f t="shared" si="2"/>
        <v>5.6249710133542151E-2</v>
      </c>
      <c r="G42" s="13">
        <v>2378.8609999999999</v>
      </c>
      <c r="H42" s="13">
        <f t="shared" si="3"/>
        <v>-146.96099999999979</v>
      </c>
      <c r="I42" s="14">
        <f t="shared" si="0"/>
        <v>-6.1777884458150266E-2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3009.1</v>
      </c>
      <c r="D43" s="16">
        <v>2738.82</v>
      </c>
      <c r="E43" s="16">
        <f t="shared" si="1"/>
        <v>270.27999999999975</v>
      </c>
      <c r="F43" s="17">
        <f t="shared" si="2"/>
        <v>9.868483507495919E-2</v>
      </c>
      <c r="G43" s="18">
        <v>2354.1869999999999</v>
      </c>
      <c r="H43" s="18">
        <f t="shared" si="3"/>
        <v>654.91300000000001</v>
      </c>
      <c r="I43" s="17">
        <f t="shared" si="0"/>
        <v>0.27819072996325273</v>
      </c>
      <c r="J43" s="40"/>
      <c r="K43" s="41"/>
    </row>
    <row r="44" spans="1:11" ht="15.75">
      <c r="A44" s="26" t="str">
        <v>Edison</v>
      </c>
      <c r="B44" s="27" t="str">
        <v>NJ</v>
      </c>
      <c r="C44" s="22">
        <v>2238.1</v>
      </c>
      <c r="D44" s="11">
        <v>1936.8489999999999</v>
      </c>
      <c r="E44" s="11">
        <f t="shared" si="1"/>
        <v>301.25099999999998</v>
      </c>
      <c r="F44" s="12">
        <f t="shared" si="2"/>
        <v>0.15553664741030404</v>
      </c>
      <c r="G44" s="13">
        <v>2090.0410000000002</v>
      </c>
      <c r="H44" s="13">
        <f t="shared" si="3"/>
        <v>148.05899999999974</v>
      </c>
      <c r="I44" s="14">
        <f t="shared" si="0"/>
        <v>7.0840237105396373E-2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1635.7</v>
      </c>
      <c r="D45" s="16">
        <v>1878.6089999999999</v>
      </c>
      <c r="E45" s="16">
        <f t="shared" si="1"/>
        <v>-242.90899999999988</v>
      </c>
      <c r="F45" s="17">
        <f t="shared" si="2"/>
        <v>-0.12930258505096051</v>
      </c>
      <c r="G45" s="18">
        <v>1856.0840000000001</v>
      </c>
      <c r="H45" s="18">
        <f t="shared" si="3"/>
        <v>-220.38400000000001</v>
      </c>
      <c r="I45" s="17">
        <f t="shared" si="0"/>
        <v>-0.1187360054825105</v>
      </c>
      <c r="J45" s="40"/>
      <c r="K45" s="41"/>
    </row>
    <row r="46" spans="1:11" ht="15.75">
      <c r="A46" s="26" t="str">
        <v>Route 22</v>
      </c>
      <c r="B46" s="27" t="str">
        <v>NJ</v>
      </c>
      <c r="C46" s="22">
        <v>1838.9</v>
      </c>
      <c r="D46" s="11">
        <v>2501.375</v>
      </c>
      <c r="E46" s="11">
        <f t="shared" si="1"/>
        <v>-662.47499999999991</v>
      </c>
      <c r="F46" s="12">
        <f t="shared" si="2"/>
        <v>-0.26484433561541149</v>
      </c>
      <c r="G46" s="13">
        <v>1744.93</v>
      </c>
      <c r="H46" s="13">
        <f t="shared" si="3"/>
        <v>93.970000000000027</v>
      </c>
      <c r="I46" s="14">
        <f t="shared" si="0"/>
        <v>5.38531631641384E-2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1846.9</v>
      </c>
      <c r="D47" s="16">
        <v>1545.61</v>
      </c>
      <c r="E47" s="16">
        <f t="shared" si="1"/>
        <v>301.29000000000019</v>
      </c>
      <c r="F47" s="17">
        <f t="shared" si="2"/>
        <v>0.19493274500035598</v>
      </c>
      <c r="G47" s="18">
        <v>1514.1289999999999</v>
      </c>
      <c r="H47" s="18">
        <f t="shared" si="3"/>
        <v>332.77100000000019</v>
      </c>
      <c r="I47" s="17">
        <f t="shared" si="0"/>
        <v>0.21977717882690326</v>
      </c>
      <c r="J47" s="40"/>
      <c r="K47" s="41"/>
    </row>
    <row r="48" spans="1:11" ht="15.75">
      <c r="A48" s="26" t="str">
        <v>Mahwah</v>
      </c>
      <c r="B48" s="27" t="str">
        <v>NJ</v>
      </c>
      <c r="C48" s="22">
        <v>1409</v>
      </c>
      <c r="D48" s="11">
        <v>1801.931</v>
      </c>
      <c r="E48" s="11">
        <f t="shared" si="1"/>
        <v>-392.93100000000004</v>
      </c>
      <c r="F48" s="12">
        <f t="shared" si="2"/>
        <v>-0.21806106893105232</v>
      </c>
      <c r="G48" s="13">
        <v>1471.5309999999999</v>
      </c>
      <c r="H48" s="13">
        <f t="shared" si="3"/>
        <v>-62.530999999999949</v>
      </c>
      <c r="I48" s="14">
        <f t="shared" si="0"/>
        <v>-4.2493838050302678E-2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1710.6</v>
      </c>
      <c r="D49" s="16">
        <v>1659.973</v>
      </c>
      <c r="E49" s="16">
        <f t="shared" si="1"/>
        <v>50.626999999999953</v>
      </c>
      <c r="F49" s="17">
        <f t="shared" si="2"/>
        <v>3.0498688834095466E-2</v>
      </c>
      <c r="G49" s="18">
        <v>2156.48</v>
      </c>
      <c r="H49" s="18">
        <f t="shared" si="3"/>
        <v>-445.88000000000011</v>
      </c>
      <c r="I49" s="17">
        <f t="shared" si="0"/>
        <v>-0.20676287282979675</v>
      </c>
      <c r="J49" s="40"/>
      <c r="K49" s="41"/>
    </row>
    <row r="50" spans="1:11" ht="15.75">
      <c r="A50" s="26" t="str">
        <v>Bordentown</v>
      </c>
      <c r="B50" s="27" t="str">
        <v>NJ</v>
      </c>
      <c r="C50" s="22">
        <v>1752.8</v>
      </c>
      <c r="D50" s="11">
        <v>1349.7190000000001</v>
      </c>
      <c r="E50" s="11">
        <f t="shared" si="1"/>
        <v>403.0809999999999</v>
      </c>
      <c r="F50" s="12">
        <f t="shared" si="2"/>
        <v>0.29864068002302691</v>
      </c>
      <c r="G50" s="13">
        <v>1259.502</v>
      </c>
      <c r="H50" s="13">
        <f t="shared" si="3"/>
        <v>493.298</v>
      </c>
      <c r="I50" s="14">
        <f t="shared" si="0"/>
        <v>0.39166114861270568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1060</v>
      </c>
      <c r="D51" s="16">
        <v>954.56050000000005</v>
      </c>
      <c r="E51" s="16">
        <f t="shared" si="1"/>
        <v>105.43949999999995</v>
      </c>
      <c r="F51" s="17">
        <f t="shared" si="2"/>
        <v>0.1104586875321155</v>
      </c>
      <c r="G51" s="18">
        <v>943.88130000000001</v>
      </c>
      <c r="H51" s="18">
        <f t="shared" si="3"/>
        <v>116.11869999999999</v>
      </c>
      <c r="I51" s="17">
        <f t="shared" si="0"/>
        <v>0.12302256650280072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1459</v>
      </c>
      <c r="D52" s="11">
        <v>2436.7570000000001</v>
      </c>
      <c r="E52" s="11">
        <f t="shared" si="1"/>
        <v>-977.75700000000006</v>
      </c>
      <c r="F52" s="12">
        <f t="shared" si="2"/>
        <v>-0.40125338718633002</v>
      </c>
      <c r="G52" s="13">
        <v>1447.482</v>
      </c>
      <c r="H52" s="13">
        <f t="shared" si="3"/>
        <v>11.518000000000029</v>
      </c>
      <c r="I52" s="14">
        <f t="shared" si="0"/>
        <v>7.9572664806885542E-3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1706.6640629999999</v>
      </c>
      <c r="D53" s="16">
        <v>1993.0519999999999</v>
      </c>
      <c r="E53" s="16">
        <f t="shared" si="1"/>
        <v>-286.38793699999997</v>
      </c>
      <c r="F53" s="17">
        <f t="shared" si="2"/>
        <v>-0.14369315853274273</v>
      </c>
      <c r="G53" s="18">
        <v>1675.4079999999999</v>
      </c>
      <c r="H53" s="18">
        <f t="shared" si="3"/>
        <v>31.25606300000004</v>
      </c>
      <c r="I53" s="17">
        <f t="shared" si="0"/>
        <v>1.8655791902629115E-2</v>
      </c>
      <c r="J53" s="40"/>
      <c r="K53" s="41"/>
    </row>
    <row r="54" spans="1:11" ht="15.75">
      <c r="A54" s="26" t="str">
        <v>North Brunswick</v>
      </c>
      <c r="B54" s="27" t="str">
        <v>NJ</v>
      </c>
      <c r="C54" s="22">
        <v>1841.8</v>
      </c>
      <c r="D54" s="11">
        <v>1726.46</v>
      </c>
      <c r="E54" s="11">
        <f t="shared" si="1"/>
        <v>115.33999999999992</v>
      </c>
      <c r="F54" s="12">
        <f t="shared" si="2"/>
        <v>6.6807224030675433E-2</v>
      </c>
      <c r="G54" s="13">
        <v>1852.114</v>
      </c>
      <c r="H54" s="13">
        <f t="shared" si="3"/>
        <v>-10.314000000000078</v>
      </c>
      <c r="I54" s="14">
        <f t="shared" si="0"/>
        <v>-5.5687716846803586E-3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1352.2106329999999</v>
      </c>
      <c r="D55" s="16">
        <v>1529.7660000000001</v>
      </c>
      <c r="E55" s="16">
        <f t="shared" si="1"/>
        <v>-177.55536700000016</v>
      </c>
      <c r="F55" s="17">
        <f t="shared" si="2"/>
        <v>-0.1160670109023211</v>
      </c>
      <c r="G55" s="18">
        <v>1197.873</v>
      </c>
      <c r="H55" s="18">
        <f t="shared" si="3"/>
        <v>154.33763299999987</v>
      </c>
      <c r="I55" s="17">
        <f t="shared" si="0"/>
        <v>0.12884306850559271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1647.1</v>
      </c>
      <c r="D56" s="11">
        <v>1596.808</v>
      </c>
      <c r="E56" s="11">
        <f t="shared" si="1"/>
        <v>50.291999999999916</v>
      </c>
      <c r="F56" s="12">
        <f t="shared" si="2"/>
        <v>3.1495333189713426E-2</v>
      </c>
      <c r="G56" s="13">
        <v>1161.867</v>
      </c>
      <c r="H56" s="13">
        <f t="shared" si="3"/>
        <v>485.23299999999995</v>
      </c>
      <c r="I56" s="14">
        <f t="shared" si="0"/>
        <v>0.41763213861827553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53">
        <v>2887</v>
      </c>
      <c r="D57" s="16">
        <v>0</v>
      </c>
      <c r="E57" s="16">
        <f t="shared" si="1"/>
        <v>2887</v>
      </c>
      <c r="F57" s="17" t="str">
        <f t="shared" si="2"/>
        <v/>
      </c>
      <c r="G57" s="18">
        <v>38409</v>
      </c>
      <c r="H57" s="18">
        <f t="shared" si="3"/>
        <v>-35522</v>
      </c>
      <c r="I57" s="17">
        <f t="shared" si="0"/>
        <v>-0.92483532505402377</v>
      </c>
      <c r="J57" s="40" t="s">
        <v>54</v>
      </c>
      <c r="K57" s="40" t="s">
        <v>55</v>
      </c>
    </row>
    <row r="58" spans="1:11" ht="15.75">
      <c r="A58" s="26" t="str">
        <v>San Antonio - Ops Ctr GM</v>
      </c>
      <c r="B58" s="27" t="str">
        <v>TX</v>
      </c>
      <c r="C58" s="54">
        <v>285995.75</v>
      </c>
      <c r="D58" s="11">
        <v>324168.8</v>
      </c>
      <c r="E58" s="11">
        <f t="shared" si="1"/>
        <v>-38173.049999999988</v>
      </c>
      <c r="F58" s="12">
        <f t="shared" si="2"/>
        <v>-0.11775670576563811</v>
      </c>
      <c r="G58" s="13">
        <v>305642</v>
      </c>
      <c r="H58" s="13">
        <f t="shared" si="3"/>
        <v>-19646.25</v>
      </c>
      <c r="I58" s="14">
        <f t="shared" si="0"/>
        <v>-6.4278633172142566E-2</v>
      </c>
      <c r="J58" s="39"/>
      <c r="K58" s="39"/>
    </row>
    <row r="59" spans="1:11" ht="30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"/>
        <v>0</v>
      </c>
      <c r="F59" s="17" t="str">
        <f t="shared" si="2"/>
        <v/>
      </c>
      <c r="G59" s="18">
        <v>38321</v>
      </c>
      <c r="H59" s="18">
        <f t="shared" si="3"/>
        <v>-38321</v>
      </c>
      <c r="I59" s="17">
        <f t="shared" si="0"/>
        <v>-1</v>
      </c>
      <c r="J59" s="40" t="s">
        <v>56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"/>
        <v>0</v>
      </c>
      <c r="F60" s="12" t="str">
        <f t="shared" si="2"/>
        <v/>
      </c>
      <c r="G60" s="13">
        <v>39375.26</v>
      </c>
      <c r="H60" s="13">
        <f t="shared" si="3"/>
        <v>-39375.26</v>
      </c>
      <c r="I60" s="14">
        <f t="shared" si="0"/>
        <v>-1</v>
      </c>
      <c r="J60" s="39" t="s">
        <v>35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"/>
        <v>0</v>
      </c>
      <c r="F61" s="17" t="str">
        <f t="shared" si="2"/>
        <v/>
      </c>
      <c r="G61" s="18">
        <v>36456.78</v>
      </c>
      <c r="H61" s="18">
        <f t="shared" si="3"/>
        <v>-36456.78</v>
      </c>
      <c r="I61" s="17">
        <f t="shared" si="0"/>
        <v>-1</v>
      </c>
      <c r="J61" s="40" t="s">
        <v>35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"/>
        <v>0</v>
      </c>
      <c r="F62" s="12" t="str">
        <f t="shared" si="2"/>
        <v/>
      </c>
      <c r="G62" s="13">
        <v>37489.762999999999</v>
      </c>
      <c r="H62" s="13">
        <f t="shared" si="3"/>
        <v>-37489.762999999999</v>
      </c>
      <c r="I62" s="14">
        <f t="shared" si="0"/>
        <v>-1</v>
      </c>
      <c r="J62" s="39" t="s">
        <v>35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"/>
        <v>0</v>
      </c>
      <c r="F63" s="17" t="str">
        <f t="shared" si="2"/>
        <v/>
      </c>
      <c r="G63" s="18">
        <v>36430.224000000002</v>
      </c>
      <c r="H63" s="18">
        <f t="shared" si="3"/>
        <v>-36430.224000000002</v>
      </c>
      <c r="I63" s="17">
        <f t="shared" si="0"/>
        <v>-1</v>
      </c>
      <c r="J63" s="40" t="s">
        <v>35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3498.63</v>
      </c>
      <c r="D64" s="11">
        <v>0</v>
      </c>
      <c r="E64" s="11">
        <f t="shared" si="1"/>
        <v>3498.63</v>
      </c>
      <c r="F64" s="12" t="str">
        <f t="shared" si="2"/>
        <v/>
      </c>
      <c r="G64" s="13">
        <v>11154.26</v>
      </c>
      <c r="H64" s="13">
        <f t="shared" si="3"/>
        <v>-7655.63</v>
      </c>
      <c r="I64" s="14">
        <f t="shared" si="0"/>
        <v>-0.68634136195498396</v>
      </c>
      <c r="J64" s="39" t="s">
        <v>57</v>
      </c>
      <c r="K64" s="39" t="s">
        <v>43</v>
      </c>
    </row>
    <row r="65" spans="1:11" ht="15.75">
      <c r="A65" s="28" t="str">
        <v>San Antonio - Ops Ctr (Bldg 102)</v>
      </c>
      <c r="B65" s="29" t="str">
        <v>TX</v>
      </c>
      <c r="C65" s="10">
        <v>5901</v>
      </c>
      <c r="D65" s="16">
        <v>0</v>
      </c>
      <c r="E65" s="16">
        <f t="shared" si="1"/>
        <v>5901</v>
      </c>
      <c r="F65" s="17" t="str">
        <f t="shared" si="2"/>
        <v/>
      </c>
      <c r="G65" s="18">
        <v>40738</v>
      </c>
      <c r="H65" s="18">
        <f t="shared" si="3"/>
        <v>-34837</v>
      </c>
      <c r="I65" s="17">
        <f t="shared" si="0"/>
        <v>-0.85514752810643624</v>
      </c>
      <c r="J65" s="40" t="s">
        <v>58</v>
      </c>
      <c r="K65" s="40" t="s">
        <v>44</v>
      </c>
    </row>
    <row r="66" spans="1:11" ht="12.75">
      <c r="B66"/>
      <c r="F66"/>
      <c r="I66"/>
    </row>
    <row r="67" spans="1:11" ht="12.75">
      <c r="B67"/>
      <c r="F67"/>
      <c r="I67"/>
    </row>
    <row r="68" spans="1:11" ht="12.75">
      <c r="B68"/>
      <c r="F68"/>
      <c r="I68"/>
    </row>
    <row r="69" spans="1:11" ht="12.75">
      <c r="B69"/>
      <c r="F69"/>
      <c r="I69"/>
    </row>
    <row r="70" spans="1:11" ht="12.75">
      <c r="B70"/>
      <c r="F70"/>
      <c r="I70"/>
    </row>
    <row r="71" spans="1:11" ht="12.75">
      <c r="B71"/>
      <c r="F71"/>
      <c r="I71"/>
    </row>
    <row r="72" spans="1:11" ht="12.75">
      <c r="B72"/>
      <c r="F72"/>
      <c r="I72"/>
    </row>
    <row r="73" spans="1:11" ht="12.75">
      <c r="B73"/>
      <c r="F73"/>
      <c r="I73"/>
    </row>
    <row r="74" spans="1:11" ht="12.75">
      <c r="B74"/>
      <c r="F74"/>
      <c r="I74"/>
    </row>
    <row r="75" spans="1:11" ht="12.75">
      <c r="B75"/>
      <c r="F75"/>
      <c r="I75"/>
    </row>
    <row r="76" spans="1:11" ht="12.75">
      <c r="B76"/>
      <c r="F76"/>
      <c r="I76"/>
    </row>
    <row r="77" spans="1:11" ht="12.75">
      <c r="B77"/>
      <c r="F77"/>
      <c r="I77"/>
    </row>
    <row r="78" spans="1:11" ht="12.75">
      <c r="B78"/>
      <c r="F78"/>
      <c r="I78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42" priority="7" stopIfTrue="1" operator="lessThanOrEqual">
      <formula>-0.1</formula>
    </cfRule>
    <cfRule type="expression" dxfId="41" priority="8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tabSelected="1" workbookViewId="0">
      <pane xSplit="2" ySplit="3" topLeftCell="I52" activePane="bottomRight" state="frozen"/>
      <selection pane="bottomRight" activeCell="J22" sqref="J22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Wells Fargo</v>
      </c>
      <c r="B1" s="58"/>
      <c r="C1" s="58"/>
      <c r="D1" s="59" t="s">
        <v>59</v>
      </c>
      <c r="E1" s="59"/>
      <c r="F1" s="59"/>
      <c r="G1" s="57" t="s">
        <v>60</v>
      </c>
      <c r="H1" s="57"/>
      <c r="I1" s="57"/>
      <c r="J1" s="3"/>
      <c r="K1" s="3"/>
    </row>
    <row r="2" spans="1:11" ht="19.5" customHeight="1">
      <c r="A2" s="68" t="s">
        <v>2</v>
      </c>
      <c r="B2" s="68"/>
      <c r="C2" s="4">
        <f>SUM(C4:C87)</f>
        <v>936474.40379372099</v>
      </c>
      <c r="D2" s="4">
        <f>SUM(D4:D87)</f>
        <v>1151423</v>
      </c>
      <c r="E2" s="4">
        <f>C2-D2</f>
        <v>-214948.59620627901</v>
      </c>
      <c r="F2" s="5">
        <f>IFERROR(E2/D2, 0)</f>
        <v>-0.18668082555783497</v>
      </c>
      <c r="G2" s="4">
        <f>SUM(G4:G87)</f>
        <v>1453708.808</v>
      </c>
      <c r="H2" s="6">
        <f>C2-G2</f>
        <v>-517234.40420627897</v>
      </c>
      <c r="I2" s="5">
        <f>IFERROR(H2/G2, 0)</f>
        <v>-0.35580330899823437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1138</v>
      </c>
      <c r="D4" s="11">
        <v>0</v>
      </c>
      <c r="E4" s="11">
        <f>IF(AND(ISNUMBER(C4),ISNUMBER(D4)), C4-D4, "")</f>
        <v>1138</v>
      </c>
      <c r="F4" s="12" t="str">
        <f>IFERROR(E4/D4, "")</f>
        <v/>
      </c>
      <c r="G4" s="13">
        <v>1060</v>
      </c>
      <c r="H4" s="13">
        <f>IF(AND(ISNUMBER(C4),ISNUMBER(G4)), C4-G4, "")</f>
        <v>78</v>
      </c>
      <c r="I4" s="14">
        <f>IFERROR(H4/G4, "")</f>
        <v>7.3584905660377356E-2</v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>
        <v>0</v>
      </c>
      <c r="E5" s="16" t="str">
        <f t="shared" ref="E5:E65" si="0">IF(AND(ISNUMBER(C5),ISNUMBER(D5)), C5-D5, "")</f>
        <v/>
      </c>
      <c r="F5" s="17" t="str">
        <f>IFERROR(E5/D5, "")</f>
        <v/>
      </c>
      <c r="G5" s="18"/>
      <c r="H5" s="18" t="str">
        <f t="shared" ref="H5:H65" si="1">IF(AND(ISNUMBER(C5),ISNUMBER(G5)), C5-G5, "")</f>
        <v/>
      </c>
      <c r="I5" s="17" t="str">
        <f t="shared" ref="I5:I65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>
        <v>43042</v>
      </c>
      <c r="D6" s="11">
        <v>41936</v>
      </c>
      <c r="E6" s="11">
        <f t="shared" si="0"/>
        <v>1106</v>
      </c>
      <c r="F6" s="12">
        <f t="shared" ref="F6:F65" si="3">IFERROR(E6/D6, "")</f>
        <v>2.6373521556657765E-2</v>
      </c>
      <c r="G6" s="13">
        <v>37309</v>
      </c>
      <c r="H6" s="13">
        <f t="shared" si="1"/>
        <v>5733</v>
      </c>
      <c r="I6" s="14">
        <f t="shared" si="2"/>
        <v>0.15366265512342867</v>
      </c>
      <c r="J6" s="39" t="s">
        <v>61</v>
      </c>
      <c r="K6" s="39" t="s">
        <v>62</v>
      </c>
    </row>
    <row r="7" spans="1:11" ht="15.75">
      <c r="A7" s="28" t="str">
        <v>Van Nuys</v>
      </c>
      <c r="B7" s="29" t="str">
        <v>CA</v>
      </c>
      <c r="C7" s="10">
        <v>1947</v>
      </c>
      <c r="D7" s="16">
        <v>0</v>
      </c>
      <c r="E7" s="16">
        <f t="shared" si="0"/>
        <v>1947</v>
      </c>
      <c r="F7" s="17" t="str">
        <f t="shared" si="3"/>
        <v/>
      </c>
      <c r="G7" s="18">
        <v>2127</v>
      </c>
      <c r="H7" s="18">
        <f t="shared" si="1"/>
        <v>-180</v>
      </c>
      <c r="I7" s="17">
        <f t="shared" si="2"/>
        <v>-8.4626234132581094E-2</v>
      </c>
      <c r="J7" s="40"/>
      <c r="K7" s="40"/>
    </row>
    <row r="8" spans="1:11" ht="15.75">
      <c r="A8" s="26" t="str">
        <v>98th &amp; Grant</v>
      </c>
      <c r="B8" s="27" t="str">
        <v>CO</v>
      </c>
      <c r="C8" s="22">
        <v>1216</v>
      </c>
      <c r="D8" s="11">
        <v>0</v>
      </c>
      <c r="E8" s="11">
        <f t="shared" si="0"/>
        <v>1216</v>
      </c>
      <c r="F8" s="12" t="str">
        <f t="shared" si="3"/>
        <v/>
      </c>
      <c r="G8" s="13">
        <v>1984</v>
      </c>
      <c r="H8" s="13">
        <f t="shared" si="1"/>
        <v>-768</v>
      </c>
      <c r="I8" s="14">
        <f t="shared" si="2"/>
        <v>-0.38709677419354838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3183.3997760000002</v>
      </c>
      <c r="D9" s="16">
        <v>0</v>
      </c>
      <c r="E9" s="16">
        <f t="shared" si="0"/>
        <v>3183.3997760000002</v>
      </c>
      <c r="F9" s="17" t="str">
        <f t="shared" si="3"/>
        <v/>
      </c>
      <c r="G9" s="18">
        <v>3628.808</v>
      </c>
      <c r="H9" s="18">
        <f t="shared" si="1"/>
        <v>-445.40822399999979</v>
      </c>
      <c r="I9" s="17">
        <f t="shared" si="2"/>
        <v>-0.12274229554167644</v>
      </c>
      <c r="J9" s="40"/>
      <c r="K9" s="40"/>
    </row>
    <row r="10" spans="1:11" ht="15.75">
      <c r="A10" s="26" t="str">
        <v>Aurora City Center</v>
      </c>
      <c r="B10" s="27" t="str">
        <v>CO</v>
      </c>
      <c r="C10" s="22">
        <v>1628</v>
      </c>
      <c r="D10" s="11">
        <v>0</v>
      </c>
      <c r="E10" s="11">
        <f t="shared" si="0"/>
        <v>1628</v>
      </c>
      <c r="F10" s="12" t="str">
        <f t="shared" si="3"/>
        <v/>
      </c>
      <c r="G10" s="13">
        <v>1727</v>
      </c>
      <c r="H10" s="13">
        <f t="shared" si="1"/>
        <v>-99</v>
      </c>
      <c r="I10" s="14">
        <f t="shared" si="2"/>
        <v>-5.7324840764331211E-2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-2.9959822790000001</v>
      </c>
      <c r="D11" s="16">
        <v>0</v>
      </c>
      <c r="E11" s="16">
        <f t="shared" si="0"/>
        <v>-2.9959822790000001</v>
      </c>
      <c r="F11" s="17" t="str">
        <f t="shared" si="3"/>
        <v/>
      </c>
      <c r="G11" s="18">
        <v>2153</v>
      </c>
      <c r="H11" s="18">
        <f t="shared" si="1"/>
        <v>-2155.9959822790001</v>
      </c>
      <c r="I11" s="17">
        <f t="shared" si="2"/>
        <v>-1.0013915384482119</v>
      </c>
      <c r="J11" s="40" t="s">
        <v>63</v>
      </c>
      <c r="K11" s="40" t="s">
        <v>25</v>
      </c>
    </row>
    <row r="12" spans="1:11" ht="15.75">
      <c r="A12" s="26" t="str">
        <v>Highlands Ranch S.</v>
      </c>
      <c r="B12" s="27" t="str">
        <v>CO</v>
      </c>
      <c r="C12" s="22">
        <v>1464</v>
      </c>
      <c r="D12" s="11">
        <v>0</v>
      </c>
      <c r="E12" s="11">
        <f t="shared" si="0"/>
        <v>1464</v>
      </c>
      <c r="F12" s="12" t="str">
        <f t="shared" si="3"/>
        <v/>
      </c>
      <c r="G12" s="13">
        <v>2006</v>
      </c>
      <c r="H12" s="13">
        <f t="shared" si="1"/>
        <v>-542</v>
      </c>
      <c r="I12" s="14">
        <f t="shared" si="2"/>
        <v>-0.27018943170488535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2352</v>
      </c>
      <c r="D13" s="16">
        <v>0</v>
      </c>
      <c r="E13" s="16">
        <f t="shared" si="0"/>
        <v>2352</v>
      </c>
      <c r="F13" s="17" t="str">
        <f t="shared" si="3"/>
        <v/>
      </c>
      <c r="G13" s="18">
        <v>4580</v>
      </c>
      <c r="H13" s="18">
        <f t="shared" si="1"/>
        <v>-2228</v>
      </c>
      <c r="I13" s="17">
        <f t="shared" si="2"/>
        <v>-0.48646288209606986</v>
      </c>
      <c r="J13" s="40"/>
      <c r="K13" s="40"/>
    </row>
    <row r="14" spans="1:11" ht="15.75">
      <c r="A14" s="26" t="str">
        <v>Meridian</v>
      </c>
      <c r="B14" s="27" t="str">
        <v>CO</v>
      </c>
      <c r="C14" s="22">
        <v>2687</v>
      </c>
      <c r="D14" s="11">
        <v>0</v>
      </c>
      <c r="E14" s="11">
        <f t="shared" si="0"/>
        <v>2687</v>
      </c>
      <c r="F14" s="12" t="str">
        <f t="shared" si="3"/>
        <v/>
      </c>
      <c r="G14" s="13">
        <v>2667</v>
      </c>
      <c r="H14" s="13">
        <f t="shared" si="1"/>
        <v>20</v>
      </c>
      <c r="I14" s="14">
        <f t="shared" si="2"/>
        <v>7.4990626171728535E-3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2486</v>
      </c>
      <c r="D15" s="16">
        <v>0</v>
      </c>
      <c r="E15" s="16">
        <f t="shared" si="0"/>
        <v>2486</v>
      </c>
      <c r="F15" s="17" t="str">
        <f t="shared" si="3"/>
        <v/>
      </c>
      <c r="G15" s="18">
        <v>2762</v>
      </c>
      <c r="H15" s="18">
        <f t="shared" si="1"/>
        <v>-276</v>
      </c>
      <c r="I15" s="17">
        <f t="shared" si="2"/>
        <v>-9.9927588703837805E-2</v>
      </c>
      <c r="J15" s="40"/>
      <c r="K15" s="40"/>
    </row>
    <row r="16" spans="1:11" ht="15.75">
      <c r="A16" s="26" t="str">
        <v>Standley Lake</v>
      </c>
      <c r="B16" s="27" t="str">
        <v>CO</v>
      </c>
      <c r="C16" s="22">
        <v>1464</v>
      </c>
      <c r="D16" s="11">
        <v>0</v>
      </c>
      <c r="E16" s="11">
        <f t="shared" si="0"/>
        <v>1464</v>
      </c>
      <c r="F16" s="12" t="str">
        <f t="shared" si="3"/>
        <v/>
      </c>
      <c r="G16" s="13">
        <v>3683</v>
      </c>
      <c r="H16" s="13">
        <f t="shared" si="1"/>
        <v>-2219</v>
      </c>
      <c r="I16" s="14">
        <f t="shared" si="2"/>
        <v>-0.60249796361661689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2966</v>
      </c>
      <c r="D17" s="16">
        <v>0</v>
      </c>
      <c r="E17" s="16">
        <f t="shared" si="0"/>
        <v>2966</v>
      </c>
      <c r="F17" s="17" t="str">
        <f t="shared" si="3"/>
        <v/>
      </c>
      <c r="G17" s="18">
        <v>1436</v>
      </c>
      <c r="H17" s="18">
        <f t="shared" si="1"/>
        <v>1530</v>
      </c>
      <c r="I17" s="17">
        <f t="shared" si="2"/>
        <v>1.0654596100278551</v>
      </c>
      <c r="J17" s="40"/>
      <c r="K17" s="55"/>
    </row>
    <row r="18" spans="1:11" ht="12.75" customHeight="1">
      <c r="A18" s="26" t="str">
        <v>East Hartford</v>
      </c>
      <c r="B18" s="27" t="str">
        <v>CT</v>
      </c>
      <c r="C18" s="22"/>
      <c r="D18" s="11">
        <v>609</v>
      </c>
      <c r="E18" s="11" t="str">
        <f t="shared" si="0"/>
        <v/>
      </c>
      <c r="F18" s="12" t="str">
        <f t="shared" si="3"/>
        <v/>
      </c>
      <c r="G18" s="13">
        <v>599</v>
      </c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710</v>
      </c>
      <c r="D19" s="16">
        <v>863</v>
      </c>
      <c r="E19" s="16">
        <f t="shared" si="0"/>
        <v>-153</v>
      </c>
      <c r="F19" s="17">
        <f t="shared" si="3"/>
        <v>-0.17728852838933951</v>
      </c>
      <c r="G19" s="18">
        <v>734</v>
      </c>
      <c r="H19" s="18">
        <f t="shared" si="1"/>
        <v>-24</v>
      </c>
      <c r="I19" s="17">
        <f t="shared" si="2"/>
        <v>-3.2697547683923703E-2</v>
      </c>
      <c r="J19" s="40"/>
      <c r="K19" s="40"/>
    </row>
    <row r="20" spans="1:11" ht="15.75">
      <c r="A20" s="26" t="str">
        <v>Hialeah Gardens</v>
      </c>
      <c r="B20" s="27" t="str">
        <v>FL</v>
      </c>
      <c r="C20" s="22">
        <v>754</v>
      </c>
      <c r="D20" s="11">
        <v>3725</v>
      </c>
      <c r="E20" s="11">
        <f t="shared" si="0"/>
        <v>-2971</v>
      </c>
      <c r="F20" s="12">
        <f t="shared" si="3"/>
        <v>-0.79758389261744966</v>
      </c>
      <c r="G20" s="13">
        <v>5039</v>
      </c>
      <c r="H20" s="13">
        <f t="shared" si="1"/>
        <v>-4285</v>
      </c>
      <c r="I20" s="14">
        <f t="shared" si="2"/>
        <v>-0.85036713633657468</v>
      </c>
      <c r="J20" s="39" t="s">
        <v>64</v>
      </c>
      <c r="K20" s="39" t="s">
        <v>51</v>
      </c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40"/>
      <c r="K21" s="40"/>
    </row>
    <row r="22" spans="1:11" ht="15.75">
      <c r="A22" s="26" t="str">
        <v>W. Des Moines Campus EAST</v>
      </c>
      <c r="B22" s="27" t="str">
        <v>IA</v>
      </c>
      <c r="C22" s="22">
        <v>168562</v>
      </c>
      <c r="D22" s="11">
        <v>169387</v>
      </c>
      <c r="E22" s="11">
        <f t="shared" si="0"/>
        <v>-825</v>
      </c>
      <c r="F22" s="12">
        <f t="shared" si="3"/>
        <v>-4.8705036395945379E-3</v>
      </c>
      <c r="G22" s="13">
        <v>159000</v>
      </c>
      <c r="H22" s="13">
        <f t="shared" si="1"/>
        <v>9562</v>
      </c>
      <c r="I22" s="14">
        <f t="shared" si="2"/>
        <v>6.0138364779874214E-2</v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>
        <v>80355</v>
      </c>
      <c r="D23" s="16">
        <v>88290</v>
      </c>
      <c r="E23" s="16">
        <f t="shared" si="0"/>
        <v>-7935</v>
      </c>
      <c r="F23" s="17">
        <f t="shared" si="3"/>
        <v>-8.9874277947672443E-2</v>
      </c>
      <c r="G23" s="18">
        <v>79031</v>
      </c>
      <c r="H23" s="18">
        <f t="shared" si="1"/>
        <v>1324</v>
      </c>
      <c r="I23" s="17">
        <f t="shared" si="2"/>
        <v>1.675291974035505E-2</v>
      </c>
      <c r="J23" s="40"/>
      <c r="K23" s="40"/>
    </row>
    <row r="24" spans="1:11" ht="45.75">
      <c r="A24" s="26" t="str">
        <v>WF - CIC</v>
      </c>
      <c r="B24" s="27" t="str">
        <v>NC</v>
      </c>
      <c r="C24" s="22">
        <v>101088</v>
      </c>
      <c r="D24" s="11">
        <v>111466</v>
      </c>
      <c r="E24" s="11">
        <f t="shared" si="0"/>
        <v>-10378</v>
      </c>
      <c r="F24" s="12">
        <f t="shared" si="3"/>
        <v>-9.3104623831482242E-2</v>
      </c>
      <c r="G24" s="13">
        <v>171329</v>
      </c>
      <c r="H24" s="13">
        <f t="shared" si="1"/>
        <v>-70241</v>
      </c>
      <c r="I24" s="14">
        <f t="shared" si="2"/>
        <v>-0.40997729514559705</v>
      </c>
      <c r="J24" s="39" t="s">
        <v>65</v>
      </c>
      <c r="K24" s="39" t="s">
        <v>32</v>
      </c>
    </row>
    <row r="25" spans="1:11" ht="30.75">
      <c r="A25" s="28" t="str">
        <v>Charlotte - Wells Fargo - DUC</v>
      </c>
      <c r="B25" s="29" t="str">
        <v>NC</v>
      </c>
      <c r="C25" s="10">
        <v>1019</v>
      </c>
      <c r="D25" s="16">
        <v>155244</v>
      </c>
      <c r="E25" s="16">
        <f t="shared" si="0"/>
        <v>-154225</v>
      </c>
      <c r="F25" s="17">
        <f t="shared" si="3"/>
        <v>-0.99343613923887553</v>
      </c>
      <c r="G25" s="18">
        <v>165416</v>
      </c>
      <c r="H25" s="18">
        <f t="shared" si="1"/>
        <v>-164397</v>
      </c>
      <c r="I25" s="17">
        <f t="shared" si="2"/>
        <v>-0.99383977366155629</v>
      </c>
      <c r="J25" s="40" t="s">
        <v>66</v>
      </c>
      <c r="K25" s="56" t="s">
        <v>33</v>
      </c>
    </row>
    <row r="26" spans="1:11" ht="15.75">
      <c r="A26" s="26" t="str">
        <v>East Windsor</v>
      </c>
      <c r="B26" s="27" t="str">
        <v>NJ</v>
      </c>
      <c r="C26" s="22">
        <v>868</v>
      </c>
      <c r="D26" s="11">
        <v>899</v>
      </c>
      <c r="E26" s="11">
        <f t="shared" si="0"/>
        <v>-31</v>
      </c>
      <c r="F26" s="12">
        <f t="shared" si="3"/>
        <v>-3.4482758620689655E-2</v>
      </c>
      <c r="G26" s="13">
        <v>758</v>
      </c>
      <c r="H26" s="13">
        <f t="shared" si="1"/>
        <v>110</v>
      </c>
      <c r="I26" s="14">
        <f t="shared" si="2"/>
        <v>0.14511873350923482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2271</v>
      </c>
      <c r="D27" s="16">
        <v>2117</v>
      </c>
      <c r="E27" s="16">
        <f t="shared" si="0"/>
        <v>154</v>
      </c>
      <c r="F27" s="17">
        <f t="shared" si="3"/>
        <v>7.2744449692961732E-2</v>
      </c>
      <c r="G27" s="18">
        <v>1975</v>
      </c>
      <c r="H27" s="18">
        <f t="shared" si="1"/>
        <v>296</v>
      </c>
      <c r="I27" s="17">
        <f t="shared" si="2"/>
        <v>0.14987341772151899</v>
      </c>
      <c r="J27" s="40"/>
      <c r="K27" s="40"/>
    </row>
    <row r="28" spans="1:11" ht="15.75">
      <c r="A28" s="26" t="str">
        <v>Bayonne</v>
      </c>
      <c r="B28" s="27" t="str">
        <v>NJ</v>
      </c>
      <c r="C28" s="22">
        <v>2808</v>
      </c>
      <c r="D28" s="11">
        <v>2774</v>
      </c>
      <c r="E28" s="11">
        <f t="shared" si="0"/>
        <v>34</v>
      </c>
      <c r="F28" s="12">
        <f t="shared" si="3"/>
        <v>1.2256669069935111E-2</v>
      </c>
      <c r="G28" s="13">
        <v>3084</v>
      </c>
      <c r="H28" s="13">
        <f t="shared" si="1"/>
        <v>-276</v>
      </c>
      <c r="I28" s="14">
        <f t="shared" si="2"/>
        <v>-8.9494163424124515E-2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3452</v>
      </c>
      <c r="D29" s="16">
        <v>3504</v>
      </c>
      <c r="E29" s="16">
        <f t="shared" si="0"/>
        <v>-52</v>
      </c>
      <c r="F29" s="17">
        <f t="shared" si="3"/>
        <v>-1.4840182648401826E-2</v>
      </c>
      <c r="G29" s="18">
        <v>3881</v>
      </c>
      <c r="H29" s="18">
        <f t="shared" si="1"/>
        <v>-429</v>
      </c>
      <c r="I29" s="17">
        <f t="shared" si="2"/>
        <v>-0.11053852099974233</v>
      </c>
      <c r="J29" s="40"/>
      <c r="K29" s="40"/>
    </row>
    <row r="30" spans="1:11" ht="15.75">
      <c r="A30" s="26" t="str">
        <v>North Elizabeth</v>
      </c>
      <c r="B30" s="27" t="str">
        <v>NJ</v>
      </c>
      <c r="C30" s="22">
        <v>2955</v>
      </c>
      <c r="D30" s="11">
        <v>2135</v>
      </c>
      <c r="E30" s="11">
        <f t="shared" si="0"/>
        <v>820</v>
      </c>
      <c r="F30" s="12">
        <f t="shared" si="3"/>
        <v>0.38407494145199061</v>
      </c>
      <c r="G30" s="13">
        <v>2680</v>
      </c>
      <c r="H30" s="13">
        <f t="shared" si="1"/>
        <v>275</v>
      </c>
      <c r="I30" s="14">
        <f t="shared" si="2"/>
        <v>0.10261194029850747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2120</v>
      </c>
      <c r="D31" s="16">
        <v>2028</v>
      </c>
      <c r="E31" s="16">
        <f t="shared" si="0"/>
        <v>92</v>
      </c>
      <c r="F31" s="17">
        <f t="shared" si="3"/>
        <v>4.5364891518737675E-2</v>
      </c>
      <c r="G31" s="18">
        <v>1901</v>
      </c>
      <c r="H31" s="18">
        <f t="shared" si="1"/>
        <v>219</v>
      </c>
      <c r="I31" s="17">
        <f t="shared" si="2"/>
        <v>0.11520252498684903</v>
      </c>
      <c r="J31" s="40"/>
      <c r="K31" s="40"/>
    </row>
    <row r="32" spans="1:11" ht="15.75">
      <c r="A32" s="26" t="str">
        <v>Parsippany</v>
      </c>
      <c r="B32" s="27" t="str">
        <v>NJ</v>
      </c>
      <c r="C32" s="22">
        <v>2545</v>
      </c>
      <c r="D32" s="11">
        <v>2776</v>
      </c>
      <c r="E32" s="11">
        <f t="shared" si="0"/>
        <v>-231</v>
      </c>
      <c r="F32" s="12">
        <f t="shared" si="3"/>
        <v>-8.3213256484149858E-2</v>
      </c>
      <c r="G32" s="13">
        <v>2545</v>
      </c>
      <c r="H32" s="13">
        <f t="shared" si="1"/>
        <v>0</v>
      </c>
      <c r="I32" s="14">
        <f t="shared" si="2"/>
        <v>0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2177</v>
      </c>
      <c r="D33" s="16">
        <v>1988</v>
      </c>
      <c r="E33" s="16">
        <f t="shared" si="0"/>
        <v>189</v>
      </c>
      <c r="F33" s="17">
        <f t="shared" si="3"/>
        <v>9.5070422535211266E-2</v>
      </c>
      <c r="G33" s="18">
        <v>1843</v>
      </c>
      <c r="H33" s="18">
        <f t="shared" si="1"/>
        <v>334</v>
      </c>
      <c r="I33" s="17">
        <f t="shared" si="2"/>
        <v>0.18122626153011395</v>
      </c>
      <c r="J33" s="40"/>
      <c r="K33" s="40"/>
    </row>
    <row r="34" spans="1:11" ht="15.75">
      <c r="A34" s="26" t="str">
        <v>Closter</v>
      </c>
      <c r="B34" s="27" t="str">
        <v>NJ</v>
      </c>
      <c r="C34" s="22">
        <v>817</v>
      </c>
      <c r="D34" s="11">
        <v>763</v>
      </c>
      <c r="E34" s="11">
        <f t="shared" si="0"/>
        <v>54</v>
      </c>
      <c r="F34" s="12">
        <f t="shared" si="3"/>
        <v>7.0773263433813891E-2</v>
      </c>
      <c r="G34" s="13">
        <v>1041</v>
      </c>
      <c r="H34" s="13">
        <f t="shared" si="1"/>
        <v>-224</v>
      </c>
      <c r="I34" s="14">
        <f t="shared" si="2"/>
        <v>-0.21517771373679154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1858</v>
      </c>
      <c r="D35" s="16">
        <v>1620</v>
      </c>
      <c r="E35" s="16">
        <f t="shared" si="0"/>
        <v>238</v>
      </c>
      <c r="F35" s="17">
        <f t="shared" si="3"/>
        <v>0.14691358024691359</v>
      </c>
      <c r="G35" s="18">
        <v>1596</v>
      </c>
      <c r="H35" s="18">
        <f t="shared" si="1"/>
        <v>262</v>
      </c>
      <c r="I35" s="17">
        <f t="shared" si="2"/>
        <v>0.16416040100250626</v>
      </c>
      <c r="J35" s="40"/>
      <c r="K35" s="40"/>
    </row>
    <row r="36" spans="1:11" ht="15.75">
      <c r="A36" s="26" t="str">
        <v>Ellisburg Circle Center</v>
      </c>
      <c r="B36" s="27" t="str">
        <v>NJ</v>
      </c>
      <c r="C36" s="22">
        <v>940</v>
      </c>
      <c r="D36" s="11">
        <v>929</v>
      </c>
      <c r="E36" s="11">
        <f t="shared" si="0"/>
        <v>11</v>
      </c>
      <c r="F36" s="12">
        <f t="shared" si="3"/>
        <v>1.1840688912809472E-2</v>
      </c>
      <c r="G36" s="13">
        <v>874</v>
      </c>
      <c r="H36" s="13">
        <f t="shared" si="1"/>
        <v>66</v>
      </c>
      <c r="I36" s="14">
        <f t="shared" si="2"/>
        <v>7.5514874141876437E-2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2974</v>
      </c>
      <c r="D37" s="16">
        <v>2777</v>
      </c>
      <c r="E37" s="16">
        <f t="shared" si="0"/>
        <v>197</v>
      </c>
      <c r="F37" s="17">
        <f t="shared" si="3"/>
        <v>7.0939863161685268E-2</v>
      </c>
      <c r="G37" s="18">
        <v>3135</v>
      </c>
      <c r="H37" s="18">
        <f t="shared" si="1"/>
        <v>-161</v>
      </c>
      <c r="I37" s="17">
        <f t="shared" si="2"/>
        <v>-5.1355661881977668E-2</v>
      </c>
      <c r="J37" s="40"/>
      <c r="K37" s="40"/>
    </row>
    <row r="38" spans="1:11" ht="15.75">
      <c r="A38" s="26" t="str">
        <v>Marlton</v>
      </c>
      <c r="B38" s="27" t="str">
        <v>NJ</v>
      </c>
      <c r="C38" s="22">
        <v>3496</v>
      </c>
      <c r="D38" s="11">
        <v>2962</v>
      </c>
      <c r="E38" s="11">
        <f t="shared" si="0"/>
        <v>534</v>
      </c>
      <c r="F38" s="12">
        <f t="shared" si="3"/>
        <v>0.18028359216745443</v>
      </c>
      <c r="G38" s="13">
        <v>3142</v>
      </c>
      <c r="H38" s="13">
        <f t="shared" si="1"/>
        <v>354</v>
      </c>
      <c r="I38" s="14">
        <f t="shared" si="2"/>
        <v>0.11266709102482496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2867</v>
      </c>
      <c r="D39" s="16">
        <v>2409</v>
      </c>
      <c r="E39" s="16">
        <f t="shared" si="0"/>
        <v>458</v>
      </c>
      <c r="F39" s="17">
        <f t="shared" si="3"/>
        <v>0.19012038190120381</v>
      </c>
      <c r="G39" s="18">
        <v>2632</v>
      </c>
      <c r="H39" s="18">
        <f t="shared" si="1"/>
        <v>235</v>
      </c>
      <c r="I39" s="17">
        <f t="shared" si="2"/>
        <v>8.9285714285714288E-2</v>
      </c>
      <c r="J39" s="40"/>
      <c r="K39" s="40"/>
    </row>
    <row r="40" spans="1:11" ht="15.75">
      <c r="A40" s="26" t="str">
        <v>Whiting Crestwood</v>
      </c>
      <c r="B40" s="27" t="str">
        <v>NJ</v>
      </c>
      <c r="C40" s="22">
        <v>3856</v>
      </c>
      <c r="D40" s="11">
        <v>3757</v>
      </c>
      <c r="E40" s="11">
        <f t="shared" si="0"/>
        <v>99</v>
      </c>
      <c r="F40" s="12">
        <f t="shared" si="3"/>
        <v>2.6350811817939846E-2</v>
      </c>
      <c r="G40" s="13">
        <v>3766</v>
      </c>
      <c r="H40" s="13">
        <f t="shared" si="1"/>
        <v>90</v>
      </c>
      <c r="I40" s="14">
        <f t="shared" si="2"/>
        <v>2.3898035050451408E-2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4807</v>
      </c>
      <c r="D41" s="16">
        <v>4116</v>
      </c>
      <c r="E41" s="16">
        <f t="shared" si="0"/>
        <v>691</v>
      </c>
      <c r="F41" s="17">
        <f t="shared" si="3"/>
        <v>0.16788143828960156</v>
      </c>
      <c r="G41" s="18">
        <v>4404</v>
      </c>
      <c r="H41" s="18">
        <f t="shared" si="1"/>
        <v>403</v>
      </c>
      <c r="I41" s="17">
        <f t="shared" si="2"/>
        <v>9.1507720254314265E-2</v>
      </c>
      <c r="J41" s="40"/>
      <c r="K41" s="40"/>
    </row>
    <row r="42" spans="1:11" ht="15.75">
      <c r="A42" s="26" t="str">
        <v>Manchester</v>
      </c>
      <c r="B42" s="27" t="str">
        <v>NJ</v>
      </c>
      <c r="C42" s="22">
        <v>2722</v>
      </c>
      <c r="D42" s="11">
        <v>2531</v>
      </c>
      <c r="E42" s="11">
        <f t="shared" si="0"/>
        <v>191</v>
      </c>
      <c r="F42" s="12">
        <f t="shared" si="3"/>
        <v>7.5464243382062424E-2</v>
      </c>
      <c r="G42" s="13">
        <v>3173</v>
      </c>
      <c r="H42" s="13">
        <f t="shared" si="1"/>
        <v>-451</v>
      </c>
      <c r="I42" s="14">
        <f t="shared" si="2"/>
        <v>-0.14213677907343208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3319</v>
      </c>
      <c r="D43" s="16">
        <v>3314</v>
      </c>
      <c r="E43" s="16">
        <f t="shared" si="0"/>
        <v>5</v>
      </c>
      <c r="F43" s="17">
        <f t="shared" si="3"/>
        <v>1.5087507543753772E-3</v>
      </c>
      <c r="G43" s="18">
        <v>2972</v>
      </c>
      <c r="H43" s="18">
        <f t="shared" si="1"/>
        <v>347</v>
      </c>
      <c r="I43" s="17">
        <f t="shared" si="2"/>
        <v>0.1167563930013459</v>
      </c>
      <c r="J43" s="40"/>
      <c r="K43" s="40"/>
    </row>
    <row r="44" spans="1:11" ht="15.75">
      <c r="A44" s="26" t="str">
        <v>Edison</v>
      </c>
      <c r="B44" s="27" t="str">
        <v>NJ</v>
      </c>
      <c r="C44" s="22">
        <v>2928</v>
      </c>
      <c r="D44" s="11">
        <v>2567</v>
      </c>
      <c r="E44" s="11">
        <f t="shared" si="0"/>
        <v>361</v>
      </c>
      <c r="F44" s="12">
        <f t="shared" si="3"/>
        <v>0.14063108687183482</v>
      </c>
      <c r="G44" s="13">
        <v>2499</v>
      </c>
      <c r="H44" s="13">
        <f t="shared" si="1"/>
        <v>429</v>
      </c>
      <c r="I44" s="14">
        <f t="shared" si="2"/>
        <v>0.17166866746698681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2630</v>
      </c>
      <c r="D45" s="16">
        <v>2285</v>
      </c>
      <c r="E45" s="16">
        <f t="shared" si="0"/>
        <v>345</v>
      </c>
      <c r="F45" s="17">
        <f t="shared" si="3"/>
        <v>0.15098468271334792</v>
      </c>
      <c r="G45" s="18">
        <v>2337</v>
      </c>
      <c r="H45" s="18">
        <f t="shared" si="1"/>
        <v>293</v>
      </c>
      <c r="I45" s="17">
        <f t="shared" si="2"/>
        <v>0.12537441163885324</v>
      </c>
      <c r="J45" s="40"/>
      <c r="K45" s="40"/>
    </row>
    <row r="46" spans="1:11" ht="15.75">
      <c r="A46" s="26" t="str">
        <v>Route 22</v>
      </c>
      <c r="B46" s="27" t="str">
        <v>NJ</v>
      </c>
      <c r="C46" s="22">
        <v>2658</v>
      </c>
      <c r="D46" s="11">
        <v>2719</v>
      </c>
      <c r="E46" s="11">
        <f t="shared" si="0"/>
        <v>-61</v>
      </c>
      <c r="F46" s="12">
        <f t="shared" si="3"/>
        <v>-2.2434718646561234E-2</v>
      </c>
      <c r="G46" s="13">
        <v>2240</v>
      </c>
      <c r="H46" s="13">
        <f t="shared" si="1"/>
        <v>418</v>
      </c>
      <c r="I46" s="14">
        <f t="shared" si="2"/>
        <v>0.18660714285714286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2040</v>
      </c>
      <c r="D47" s="16">
        <v>2082</v>
      </c>
      <c r="E47" s="16">
        <f t="shared" si="0"/>
        <v>-42</v>
      </c>
      <c r="F47" s="17">
        <f t="shared" si="3"/>
        <v>-2.0172910662824207E-2</v>
      </c>
      <c r="G47" s="18">
        <v>2166</v>
      </c>
      <c r="H47" s="18">
        <f t="shared" si="1"/>
        <v>-126</v>
      </c>
      <c r="I47" s="17">
        <f t="shared" si="2"/>
        <v>-5.817174515235457E-2</v>
      </c>
      <c r="J47" s="40"/>
      <c r="K47" s="40"/>
    </row>
    <row r="48" spans="1:11" ht="15.75">
      <c r="A48" s="26" t="str">
        <v>Mahwah</v>
      </c>
      <c r="B48" s="27" t="str">
        <v>NJ</v>
      </c>
      <c r="C48" s="22">
        <v>2064</v>
      </c>
      <c r="D48" s="11">
        <v>2044</v>
      </c>
      <c r="E48" s="11">
        <f t="shared" si="0"/>
        <v>20</v>
      </c>
      <c r="F48" s="12">
        <f t="shared" si="3"/>
        <v>9.7847358121330719E-3</v>
      </c>
      <c r="G48" s="13">
        <v>1905</v>
      </c>
      <c r="H48" s="13">
        <f t="shared" si="1"/>
        <v>159</v>
      </c>
      <c r="I48" s="14">
        <f t="shared" si="2"/>
        <v>8.3464566929133857E-2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2433</v>
      </c>
      <c r="D49" s="16">
        <v>2215</v>
      </c>
      <c r="E49" s="16">
        <f t="shared" si="0"/>
        <v>218</v>
      </c>
      <c r="F49" s="17">
        <f t="shared" si="3"/>
        <v>9.8419864559819409E-2</v>
      </c>
      <c r="G49" s="18">
        <v>2742</v>
      </c>
      <c r="H49" s="18">
        <f t="shared" si="1"/>
        <v>-309</v>
      </c>
      <c r="I49" s="17">
        <f t="shared" si="2"/>
        <v>-0.11269146608315099</v>
      </c>
      <c r="J49" s="40"/>
      <c r="K49" s="40"/>
    </row>
    <row r="50" spans="1:11" ht="15.75">
      <c r="A50" s="26" t="str">
        <v>Bordentown</v>
      </c>
      <c r="B50" s="27" t="str">
        <v>NJ</v>
      </c>
      <c r="C50" s="22">
        <v>1983</v>
      </c>
      <c r="D50" s="11">
        <v>1664</v>
      </c>
      <c r="E50" s="11">
        <f t="shared" si="0"/>
        <v>319</v>
      </c>
      <c r="F50" s="12">
        <f t="shared" si="3"/>
        <v>0.19170673076923078</v>
      </c>
      <c r="G50" s="13">
        <v>1717</v>
      </c>
      <c r="H50" s="13">
        <f t="shared" si="1"/>
        <v>266</v>
      </c>
      <c r="I50" s="14">
        <f t="shared" si="2"/>
        <v>0.15492137449039023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1416</v>
      </c>
      <c r="D51" s="16">
        <v>1280</v>
      </c>
      <c r="E51" s="16">
        <f t="shared" si="0"/>
        <v>136</v>
      </c>
      <c r="F51" s="17">
        <f t="shared" si="3"/>
        <v>0.10625</v>
      </c>
      <c r="G51" s="18">
        <v>1227</v>
      </c>
      <c r="H51" s="18">
        <f t="shared" si="1"/>
        <v>189</v>
      </c>
      <c r="I51" s="17">
        <f t="shared" si="2"/>
        <v>0.15403422982885084</v>
      </c>
      <c r="J51" s="40"/>
      <c r="K51" s="40"/>
    </row>
    <row r="52" spans="1:11" ht="15.75">
      <c r="A52" s="26" t="str">
        <v>Somerset</v>
      </c>
      <c r="B52" s="27" t="str">
        <v>NJ</v>
      </c>
      <c r="C52" s="22">
        <v>2146</v>
      </c>
      <c r="D52" s="11">
        <v>2895</v>
      </c>
      <c r="E52" s="11">
        <f t="shared" si="0"/>
        <v>-749</v>
      </c>
      <c r="F52" s="12">
        <f t="shared" si="3"/>
        <v>-0.25872193436960278</v>
      </c>
      <c r="G52" s="13">
        <v>1893</v>
      </c>
      <c r="H52" s="13">
        <f t="shared" si="1"/>
        <v>253</v>
      </c>
      <c r="I52" s="14">
        <f t="shared" si="2"/>
        <v>0.13365029054410987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2481</v>
      </c>
      <c r="D53" s="16">
        <v>2488</v>
      </c>
      <c r="E53" s="16">
        <f t="shared" si="0"/>
        <v>-7</v>
      </c>
      <c r="F53" s="17">
        <f t="shared" si="3"/>
        <v>-2.8135048231511255E-3</v>
      </c>
      <c r="G53" s="18">
        <v>2163</v>
      </c>
      <c r="H53" s="18">
        <f t="shared" si="1"/>
        <v>318</v>
      </c>
      <c r="I53" s="17">
        <f t="shared" si="2"/>
        <v>0.14701803051317613</v>
      </c>
      <c r="J53" s="40"/>
      <c r="K53" s="40"/>
    </row>
    <row r="54" spans="1:11" ht="15.75">
      <c r="A54" s="26" t="str">
        <v>North Brunswick</v>
      </c>
      <c r="B54" s="27" t="str">
        <v>NJ</v>
      </c>
      <c r="C54" s="22">
        <v>2516</v>
      </c>
      <c r="D54" s="11">
        <v>2256</v>
      </c>
      <c r="E54" s="11">
        <f t="shared" si="0"/>
        <v>260</v>
      </c>
      <c r="F54" s="12">
        <f t="shared" si="3"/>
        <v>0.11524822695035461</v>
      </c>
      <c r="G54" s="13">
        <v>2428</v>
      </c>
      <c r="H54" s="13">
        <f t="shared" si="1"/>
        <v>88</v>
      </c>
      <c r="I54" s="14">
        <f t="shared" si="2"/>
        <v>3.6243822075782535E-2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1739</v>
      </c>
      <c r="D55" s="16">
        <v>1729</v>
      </c>
      <c r="E55" s="16">
        <f t="shared" si="0"/>
        <v>10</v>
      </c>
      <c r="F55" s="17">
        <f t="shared" si="3"/>
        <v>5.7836899942163098E-3</v>
      </c>
      <c r="G55" s="18">
        <v>1658</v>
      </c>
      <c r="H55" s="18">
        <f t="shared" si="1"/>
        <v>81</v>
      </c>
      <c r="I55" s="17">
        <f t="shared" si="2"/>
        <v>4.8854041013268998E-2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1929</v>
      </c>
      <c r="D56" s="11">
        <v>2006</v>
      </c>
      <c r="E56" s="11">
        <f t="shared" si="0"/>
        <v>-77</v>
      </c>
      <c r="F56" s="12">
        <f t="shared" si="3"/>
        <v>-3.8384845463609173E-2</v>
      </c>
      <c r="G56" s="13">
        <v>1613</v>
      </c>
      <c r="H56" s="13">
        <f t="shared" si="1"/>
        <v>316</v>
      </c>
      <c r="I56" s="14">
        <f t="shared" si="2"/>
        <v>0.1959082455052697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39844</v>
      </c>
      <c r="D57" s="16">
        <v>24128</v>
      </c>
      <c r="E57" s="16">
        <f t="shared" si="0"/>
        <v>15716</v>
      </c>
      <c r="F57" s="17">
        <f t="shared" si="3"/>
        <v>0.65135941644562334</v>
      </c>
      <c r="G57" s="18">
        <v>50913</v>
      </c>
      <c r="H57" s="18">
        <f t="shared" si="1"/>
        <v>-11069</v>
      </c>
      <c r="I57" s="17">
        <f t="shared" si="2"/>
        <v>-0.21741009172509967</v>
      </c>
      <c r="J57" s="40"/>
      <c r="K57" s="40"/>
    </row>
    <row r="58" spans="1:11" ht="15.75">
      <c r="A58" s="26" t="str">
        <v>San Antonio - Ops Ctr GM</v>
      </c>
      <c r="B58" s="27" t="str">
        <v>TX</v>
      </c>
      <c r="C58" s="22">
        <v>298274</v>
      </c>
      <c r="D58" s="11">
        <v>337304</v>
      </c>
      <c r="E58" s="11">
        <f t="shared" si="0"/>
        <v>-39030</v>
      </c>
      <c r="F58" s="12">
        <f t="shared" si="3"/>
        <v>-0.11571164290966013</v>
      </c>
      <c r="G58" s="13">
        <v>366154</v>
      </c>
      <c r="H58" s="13">
        <f t="shared" si="1"/>
        <v>-67880</v>
      </c>
      <c r="I58" s="14">
        <f t="shared" si="2"/>
        <v>-0.18538647672837114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31737</v>
      </c>
      <c r="D59" s="16">
        <v>23935</v>
      </c>
      <c r="E59" s="16">
        <f t="shared" si="0"/>
        <v>7802</v>
      </c>
      <c r="F59" s="17">
        <f t="shared" si="3"/>
        <v>0.32596615834551912</v>
      </c>
      <c r="G59" s="18">
        <v>50950</v>
      </c>
      <c r="H59" s="18">
        <f t="shared" si="1"/>
        <v>-19213</v>
      </c>
      <c r="I59" s="17">
        <f t="shared" si="2"/>
        <v>-0.37709519136408243</v>
      </c>
      <c r="J59" s="40" t="s">
        <v>67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23760</v>
      </c>
      <c r="D60" s="11">
        <v>24509</v>
      </c>
      <c r="E60" s="11">
        <f t="shared" si="0"/>
        <v>-749</v>
      </c>
      <c r="F60" s="12">
        <f t="shared" si="3"/>
        <v>-3.0560202374637888E-2</v>
      </c>
      <c r="G60" s="13">
        <v>51537</v>
      </c>
      <c r="H60" s="13">
        <f t="shared" si="1"/>
        <v>-27777</v>
      </c>
      <c r="I60" s="14">
        <f t="shared" si="2"/>
        <v>-0.53897200069852724</v>
      </c>
      <c r="J60" s="39" t="s">
        <v>68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21809</v>
      </c>
      <c r="E61" s="16">
        <f t="shared" si="0"/>
        <v>-21809</v>
      </c>
      <c r="F61" s="17">
        <f t="shared" si="3"/>
        <v>-1</v>
      </c>
      <c r="G61" s="18">
        <v>48185</v>
      </c>
      <c r="H61" s="18">
        <f t="shared" si="1"/>
        <v>-48185</v>
      </c>
      <c r="I61" s="17">
        <f t="shared" si="2"/>
        <v>-1</v>
      </c>
      <c r="J61" s="40" t="s">
        <v>69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23708</v>
      </c>
      <c r="E62" s="11">
        <f t="shared" si="0"/>
        <v>-23708</v>
      </c>
      <c r="F62" s="12">
        <f t="shared" si="3"/>
        <v>-1</v>
      </c>
      <c r="G62" s="13">
        <v>49346</v>
      </c>
      <c r="H62" s="13">
        <f t="shared" si="1"/>
        <v>-49346</v>
      </c>
      <c r="I62" s="14">
        <f t="shared" si="2"/>
        <v>-1</v>
      </c>
      <c r="J62" s="39" t="s">
        <v>69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23168</v>
      </c>
      <c r="E63" s="16">
        <f t="shared" si="0"/>
        <v>-23168</v>
      </c>
      <c r="F63" s="17">
        <f t="shared" si="3"/>
        <v>-1</v>
      </c>
      <c r="G63" s="18">
        <v>47944</v>
      </c>
      <c r="H63" s="18">
        <f t="shared" si="1"/>
        <v>-47944</v>
      </c>
      <c r="I63" s="17">
        <f t="shared" si="2"/>
        <v>-1</v>
      </c>
      <c r="J63" s="40" t="s">
        <v>69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10721</v>
      </c>
      <c r="D64" s="11">
        <v>7259</v>
      </c>
      <c r="E64" s="11">
        <f t="shared" si="0"/>
        <v>3462</v>
      </c>
      <c r="F64" s="12">
        <f t="shared" si="3"/>
        <v>0.47692519630803143</v>
      </c>
      <c r="G64" s="13">
        <v>14772</v>
      </c>
      <c r="H64" s="13">
        <f t="shared" si="1"/>
        <v>-4051</v>
      </c>
      <c r="I64" s="14">
        <f t="shared" si="2"/>
        <v>-0.27423503926347143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38265</v>
      </c>
      <c r="D65" s="16">
        <v>22454</v>
      </c>
      <c r="E65" s="16">
        <f t="shared" si="0"/>
        <v>15811</v>
      </c>
      <c r="F65" s="17">
        <f t="shared" si="3"/>
        <v>0.7041507081143672</v>
      </c>
      <c r="G65" s="18">
        <v>53647</v>
      </c>
      <c r="H65" s="18">
        <f t="shared" si="1"/>
        <v>-15382</v>
      </c>
      <c r="I65" s="17">
        <f t="shared" si="2"/>
        <v>-0.28672619158573637</v>
      </c>
      <c r="J65" s="40" t="s">
        <v>70</v>
      </c>
      <c r="K65" s="40" t="s">
        <v>44</v>
      </c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 F4:F87 I4:I87">
    <cfRule type="cellIs" dxfId="38" priority="9" stopIfTrue="1" operator="lessThanOrEqual">
      <formula>-0.1</formula>
    </cfRule>
    <cfRule type="expression" dxfId="37" priority="1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I12" sqref="I12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Wells Fargo</v>
      </c>
      <c r="B1" s="58"/>
      <c r="C1" s="58"/>
      <c r="D1" s="59" t="s">
        <v>71</v>
      </c>
      <c r="E1" s="59"/>
      <c r="F1" s="59"/>
      <c r="G1" s="57" t="s">
        <v>72</v>
      </c>
      <c r="H1" s="57"/>
      <c r="I1" s="57"/>
      <c r="J1" s="3"/>
      <c r="K1" s="3"/>
    </row>
    <row r="2" spans="1:11" ht="19.5" customHeight="1">
      <c r="A2" s="68" t="s">
        <v>2</v>
      </c>
      <c r="B2" s="6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36" priority="9" stopIfTrue="1" operator="lessThanOrEqual">
      <formula>-0.1</formula>
    </cfRule>
    <cfRule type="expression" dxfId="35" priority="10">
      <formula>AND(ISNUMBER(F2), F2&gt;=0.1)</formula>
    </cfRule>
  </conditionalFormatting>
  <conditionalFormatting sqref="F4:F100 I4:I100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6" activePane="bottomRight" state="frozen"/>
      <selection pane="bottomRight" activeCell="F47" sqref="F4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Wells Fargo</v>
      </c>
      <c r="B1" s="58"/>
      <c r="C1" s="58"/>
      <c r="D1" s="59" t="s">
        <v>73</v>
      </c>
      <c r="E1" s="59"/>
      <c r="F1" s="59"/>
      <c r="G1" s="57" t="s">
        <v>74</v>
      </c>
      <c r="H1" s="57"/>
      <c r="I1" s="57"/>
      <c r="J1" s="3"/>
      <c r="K1" s="3"/>
    </row>
    <row r="2" spans="1:11" ht="19.5" customHeight="1">
      <c r="A2" s="68" t="s">
        <v>2</v>
      </c>
      <c r="B2" s="6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32" priority="9" stopIfTrue="1" operator="lessThanOrEqual">
      <formula>-0.1</formula>
    </cfRule>
    <cfRule type="expression" dxfId="31" priority="10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E36" sqref="E36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Wells Fargo</v>
      </c>
      <c r="B1" s="58"/>
      <c r="C1" s="58"/>
      <c r="D1" s="59" t="s">
        <v>75</v>
      </c>
      <c r="E1" s="59"/>
      <c r="F1" s="59"/>
      <c r="G1" s="57" t="s">
        <v>76</v>
      </c>
      <c r="H1" s="57"/>
      <c r="I1" s="57"/>
      <c r="J1" s="3"/>
      <c r="K1" s="3"/>
    </row>
    <row r="2" spans="1:11" ht="19.5" customHeight="1">
      <c r="A2" s="68" t="s">
        <v>2</v>
      </c>
      <c r="B2" s="6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8" priority="11" stopIfTrue="1" operator="lessThanOrEqual">
      <formula>-0.1</formula>
    </cfRule>
    <cfRule type="expression" dxfId="27" priority="12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36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Wells Fargo</v>
      </c>
      <c r="B1" s="58"/>
      <c r="C1" s="58"/>
      <c r="D1" s="59" t="s">
        <v>77</v>
      </c>
      <c r="E1" s="59"/>
      <c r="F1" s="59"/>
      <c r="G1" s="57" t="s">
        <v>78</v>
      </c>
      <c r="H1" s="57"/>
      <c r="I1" s="57"/>
      <c r="J1" s="3"/>
      <c r="K1" s="3"/>
    </row>
    <row r="2" spans="1:11" ht="19.5" customHeight="1">
      <c r="A2" s="68" t="s">
        <v>2</v>
      </c>
      <c r="B2" s="6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4" priority="11" stopIfTrue="1" operator="lessThanOrEqual">
      <formula>-0.1</formula>
    </cfRule>
    <cfRule type="expression" dxfId="23" priority="12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17" activePane="bottomRight" state="frozen"/>
      <selection pane="bottomRight" activeCell="G54" sqref="G5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Wells Fargo</v>
      </c>
      <c r="B1" s="58"/>
      <c r="C1" s="58"/>
      <c r="D1" s="59" t="s">
        <v>79</v>
      </c>
      <c r="E1" s="59"/>
      <c r="F1" s="59"/>
      <c r="G1" s="57" t="s">
        <v>80</v>
      </c>
      <c r="H1" s="57"/>
      <c r="I1" s="57"/>
      <c r="J1" s="3"/>
      <c r="K1" s="3"/>
    </row>
    <row r="2" spans="1:11" ht="19.5" customHeight="1">
      <c r="A2" s="68" t="s">
        <v>2</v>
      </c>
      <c r="B2" s="6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Wells Fargo</v>
      </c>
      <c r="B1" s="58"/>
      <c r="C1" s="58"/>
      <c r="D1" s="59" t="s">
        <v>81</v>
      </c>
      <c r="E1" s="59"/>
      <c r="F1" s="59"/>
      <c r="G1" s="57" t="s">
        <v>82</v>
      </c>
      <c r="H1" s="57"/>
      <c r="I1" s="57"/>
      <c r="J1" s="3"/>
      <c r="K1" s="3"/>
    </row>
    <row r="2" spans="1:11" ht="19.5" customHeight="1">
      <c r="A2" s="68" t="s">
        <v>2</v>
      </c>
      <c r="B2" s="6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16" priority="11" stopIfTrue="1" operator="lessThanOrEqual">
      <formula>-0.1</formula>
    </cfRule>
    <cfRule type="expression" dxfId="15" priority="12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Wells Fargo</v>
      </c>
      <c r="B1" s="58"/>
      <c r="C1" s="58"/>
      <c r="D1" s="59" t="s">
        <v>83</v>
      </c>
      <c r="E1" s="59"/>
      <c r="F1" s="59"/>
      <c r="G1" s="57" t="s">
        <v>84</v>
      </c>
      <c r="H1" s="57"/>
      <c r="I1" s="57"/>
      <c r="J1" s="3"/>
      <c r="K1" s="3"/>
    </row>
    <row r="2" spans="1:11" ht="19.5" customHeight="1">
      <c r="A2" s="68" t="s">
        <v>2</v>
      </c>
      <c r="B2" s="6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36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Wells Fargo</v>
      </c>
      <c r="B1" s="58"/>
      <c r="C1" s="58"/>
      <c r="D1" s="59" t="s">
        <v>85</v>
      </c>
      <c r="E1" s="59"/>
      <c r="F1" s="59"/>
      <c r="G1" s="57" t="s">
        <v>86</v>
      </c>
      <c r="H1" s="57"/>
      <c r="I1" s="57"/>
      <c r="J1" s="3"/>
      <c r="K1" s="3"/>
    </row>
    <row r="2" spans="1:11" ht="19.5" customHeight="1">
      <c r="A2" s="68" t="s">
        <v>2</v>
      </c>
      <c r="B2" s="6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G14" sqref="G1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Wells Fargo</v>
      </c>
      <c r="B1" s="58"/>
      <c r="C1" s="58"/>
      <c r="D1" s="59" t="s">
        <v>87</v>
      </c>
      <c r="E1" s="59"/>
      <c r="F1" s="59"/>
      <c r="G1" s="57" t="s">
        <v>88</v>
      </c>
      <c r="H1" s="57"/>
      <c r="I1" s="57"/>
      <c r="J1" s="3"/>
      <c r="K1" s="3"/>
    </row>
    <row r="2" spans="1:11" ht="19.5" customHeight="1">
      <c r="A2" s="68" t="s">
        <v>2</v>
      </c>
      <c r="B2" s="6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conditionalFormatting sqref="F4:F100 I4:I100">
    <cfRule type="cellIs" dxfId="2" priority="1" stopIfTrue="1" operator="lessThanOrEqual">
      <formula>-0.1</formula>
    </cfRule>
    <cfRule type="expression" dxfId="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65"/>
  <sheetViews>
    <sheetView zoomScale="110" zoomScaleNormal="110" workbookViewId="0">
      <pane ySplit="3" topLeftCell="A19" activePane="bottomLeft" state="frozen"/>
      <selection pane="bottomLeft" activeCell="I42" sqref="I4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89</v>
      </c>
      <c r="B1" t="s">
        <v>90</v>
      </c>
    </row>
    <row r="3" spans="1:5">
      <c r="A3" t="s">
        <v>91</v>
      </c>
      <c r="B3" t="s">
        <v>3</v>
      </c>
      <c r="C3" t="s">
        <v>11</v>
      </c>
      <c r="D3" t="s">
        <v>92</v>
      </c>
      <c r="E3" s="2" t="s">
        <v>93</v>
      </c>
    </row>
    <row r="4" spans="1:5">
      <c r="A4" s="45" t="s">
        <v>94</v>
      </c>
      <c r="B4" s="47" t="s">
        <v>95</v>
      </c>
      <c r="C4" s="47" t="s">
        <v>96</v>
      </c>
      <c r="E4" s="43" t="s">
        <v>97</v>
      </c>
    </row>
    <row r="5" spans="1:5">
      <c r="A5" s="46" t="s">
        <v>98</v>
      </c>
      <c r="B5" s="46" t="s">
        <v>99</v>
      </c>
      <c r="C5" s="46" t="s">
        <v>96</v>
      </c>
      <c r="E5" s="43" t="s">
        <v>97</v>
      </c>
    </row>
    <row r="6" spans="1:5">
      <c r="A6" s="47" t="s">
        <v>100</v>
      </c>
      <c r="B6" s="47" t="s">
        <v>101</v>
      </c>
      <c r="C6" s="47" t="s">
        <v>96</v>
      </c>
      <c r="E6" s="43" t="s">
        <v>97</v>
      </c>
    </row>
    <row r="7" spans="1:5" ht="12.75" customHeight="1">
      <c r="A7" s="46" t="s">
        <v>102</v>
      </c>
      <c r="B7" s="46" t="s">
        <v>103</v>
      </c>
      <c r="C7" s="46" t="s">
        <v>96</v>
      </c>
      <c r="E7" s="43" t="s">
        <v>97</v>
      </c>
    </row>
    <row r="8" spans="1:5" ht="12.75" customHeight="1">
      <c r="A8" s="47" t="s">
        <v>104</v>
      </c>
      <c r="B8" s="47" t="s">
        <v>105</v>
      </c>
      <c r="C8" s="47" t="s">
        <v>106</v>
      </c>
      <c r="E8" s="43" t="s">
        <v>97</v>
      </c>
    </row>
    <row r="9" spans="1:5" ht="12.75" customHeight="1">
      <c r="A9" s="46" t="s">
        <v>107</v>
      </c>
      <c r="B9" s="46" t="s">
        <v>108</v>
      </c>
      <c r="C9" s="46" t="s">
        <v>106</v>
      </c>
      <c r="E9" s="43" t="s">
        <v>97</v>
      </c>
    </row>
    <row r="10" spans="1:5" ht="12.75" customHeight="1">
      <c r="A10" s="47" t="s">
        <v>109</v>
      </c>
      <c r="B10" s="47" t="s">
        <v>110</v>
      </c>
      <c r="C10" s="47" t="s">
        <v>106</v>
      </c>
      <c r="E10" s="43" t="s">
        <v>97</v>
      </c>
    </row>
    <row r="11" spans="1:5" ht="12.75" customHeight="1">
      <c r="A11" s="46" t="s">
        <v>111</v>
      </c>
      <c r="B11" s="46" t="s">
        <v>112</v>
      </c>
      <c r="C11" s="46" t="s">
        <v>106</v>
      </c>
      <c r="E11" s="43" t="s">
        <v>97</v>
      </c>
    </row>
    <row r="12" spans="1:5" ht="12.75" customHeight="1">
      <c r="A12" s="47" t="s">
        <v>113</v>
      </c>
      <c r="B12" s="47" t="s">
        <v>114</v>
      </c>
      <c r="C12" s="47" t="s">
        <v>106</v>
      </c>
      <c r="E12" s="43" t="s">
        <v>97</v>
      </c>
    </row>
    <row r="13" spans="1:5" ht="12.75" customHeight="1">
      <c r="A13" s="46" t="s">
        <v>115</v>
      </c>
      <c r="B13" s="46" t="s">
        <v>116</v>
      </c>
      <c r="C13" s="46" t="s">
        <v>106</v>
      </c>
      <c r="E13" s="43" t="s">
        <v>97</v>
      </c>
    </row>
    <row r="14" spans="1:5" ht="12.75" customHeight="1">
      <c r="A14" s="47" t="s">
        <v>117</v>
      </c>
      <c r="B14" s="47" t="s">
        <v>118</v>
      </c>
      <c r="C14" s="47" t="s">
        <v>106</v>
      </c>
      <c r="E14" s="43" t="s">
        <v>97</v>
      </c>
    </row>
    <row r="15" spans="1:5" ht="12.75" customHeight="1">
      <c r="A15" s="46" t="s">
        <v>119</v>
      </c>
      <c r="B15" s="46" t="s">
        <v>120</v>
      </c>
      <c r="C15" s="46" t="s">
        <v>106</v>
      </c>
      <c r="E15" s="43" t="s">
        <v>97</v>
      </c>
    </row>
    <row r="16" spans="1:5" ht="12.75" customHeight="1">
      <c r="A16" s="47" t="s">
        <v>121</v>
      </c>
      <c r="B16" s="47" t="s">
        <v>122</v>
      </c>
      <c r="C16" s="47" t="s">
        <v>106</v>
      </c>
      <c r="E16" s="43" t="s">
        <v>97</v>
      </c>
    </row>
    <row r="17" spans="1:5" ht="12.75" customHeight="1">
      <c r="A17" s="46" t="s">
        <v>123</v>
      </c>
      <c r="B17" s="46" t="s">
        <v>124</v>
      </c>
      <c r="C17" s="46" t="s">
        <v>106</v>
      </c>
      <c r="E17" s="43" t="s">
        <v>97</v>
      </c>
    </row>
    <row r="18" spans="1:5" ht="12.75" customHeight="1">
      <c r="A18" s="47" t="s">
        <v>125</v>
      </c>
      <c r="B18" s="47" t="s">
        <v>126</v>
      </c>
      <c r="C18" s="47" t="s">
        <v>127</v>
      </c>
      <c r="E18" s="43" t="s">
        <v>97</v>
      </c>
    </row>
    <row r="19" spans="1:5" ht="12.75" customHeight="1">
      <c r="A19" s="46" t="s">
        <v>128</v>
      </c>
      <c r="B19" s="46" t="s">
        <v>129</v>
      </c>
      <c r="C19" s="46" t="s">
        <v>127</v>
      </c>
      <c r="E19" s="43" t="s">
        <v>97</v>
      </c>
    </row>
    <row r="20" spans="1:5" ht="12.75" customHeight="1">
      <c r="A20" s="47" t="s">
        <v>130</v>
      </c>
      <c r="B20" s="47" t="s">
        <v>131</v>
      </c>
      <c r="C20" s="47" t="s">
        <v>132</v>
      </c>
      <c r="E20" s="43" t="s">
        <v>97</v>
      </c>
    </row>
    <row r="21" spans="1:5" ht="12.75" customHeight="1">
      <c r="A21" s="46" t="s">
        <v>133</v>
      </c>
      <c r="B21" s="46" t="s">
        <v>134</v>
      </c>
      <c r="C21" s="46" t="s">
        <v>135</v>
      </c>
      <c r="E21" s="43" t="s">
        <v>97</v>
      </c>
    </row>
    <row r="22" spans="1:5" ht="12.75" customHeight="1">
      <c r="A22" s="47" t="s">
        <v>136</v>
      </c>
      <c r="B22" s="47" t="s">
        <v>137</v>
      </c>
      <c r="C22" s="47" t="s">
        <v>135</v>
      </c>
      <c r="E22" s="43" t="s">
        <v>97</v>
      </c>
    </row>
    <row r="23" spans="1:5" ht="12.75" customHeight="1">
      <c r="A23" s="46" t="s">
        <v>138</v>
      </c>
      <c r="B23" s="46" t="s">
        <v>139</v>
      </c>
      <c r="C23" s="46" t="s">
        <v>135</v>
      </c>
      <c r="E23" s="43" t="s">
        <v>97</v>
      </c>
    </row>
    <row r="24" spans="1:5" ht="12.75" customHeight="1">
      <c r="A24" s="49" t="s">
        <v>140</v>
      </c>
      <c r="B24" s="47" t="s">
        <v>141</v>
      </c>
      <c r="C24" s="47" t="s">
        <v>142</v>
      </c>
      <c r="E24" s="43" t="s">
        <v>97</v>
      </c>
    </row>
    <row r="25" spans="1:5" ht="12.75" customHeight="1">
      <c r="A25" s="48" t="s">
        <v>143</v>
      </c>
      <c r="B25" s="46" t="s">
        <v>144</v>
      </c>
      <c r="C25" s="46" t="s">
        <v>142</v>
      </c>
      <c r="E25" s="43" t="s">
        <v>97</v>
      </c>
    </row>
    <row r="26" spans="1:5" ht="12.75" customHeight="1">
      <c r="A26" s="49" t="s">
        <v>145</v>
      </c>
      <c r="B26" s="47" t="s">
        <v>146</v>
      </c>
      <c r="C26" s="47" t="s">
        <v>147</v>
      </c>
      <c r="E26" s="43" t="s">
        <v>97</v>
      </c>
    </row>
    <row r="27" spans="1:5" ht="12.75" customHeight="1">
      <c r="A27" s="48" t="s">
        <v>148</v>
      </c>
      <c r="B27" s="46" t="s">
        <v>149</v>
      </c>
      <c r="C27" s="46" t="s">
        <v>147</v>
      </c>
      <c r="E27" s="43" t="s">
        <v>97</v>
      </c>
    </row>
    <row r="28" spans="1:5" ht="12.75" customHeight="1">
      <c r="A28" s="49" t="s">
        <v>150</v>
      </c>
      <c r="B28" s="47" t="s">
        <v>151</v>
      </c>
      <c r="C28" s="47" t="s">
        <v>147</v>
      </c>
      <c r="E28" s="43" t="s">
        <v>97</v>
      </c>
    </row>
    <row r="29" spans="1:5" ht="12.75" customHeight="1">
      <c r="A29" s="48" t="s">
        <v>152</v>
      </c>
      <c r="B29" s="46" t="s">
        <v>153</v>
      </c>
      <c r="C29" s="46" t="s">
        <v>147</v>
      </c>
      <c r="E29" s="43" t="s">
        <v>97</v>
      </c>
    </row>
    <row r="30" spans="1:5" ht="12.75" customHeight="1">
      <c r="A30" s="49" t="s">
        <v>154</v>
      </c>
      <c r="B30" s="47" t="s">
        <v>155</v>
      </c>
      <c r="C30" s="47" t="s">
        <v>147</v>
      </c>
      <c r="E30" s="43" t="s">
        <v>97</v>
      </c>
    </row>
    <row r="31" spans="1:5" ht="12.75" customHeight="1">
      <c r="A31" s="48" t="s">
        <v>156</v>
      </c>
      <c r="B31" s="46" t="s">
        <v>157</v>
      </c>
      <c r="C31" s="46" t="s">
        <v>147</v>
      </c>
      <c r="E31" s="43" t="s">
        <v>97</v>
      </c>
    </row>
    <row r="32" spans="1:5" ht="12.75" customHeight="1">
      <c r="A32" s="49" t="s">
        <v>158</v>
      </c>
      <c r="B32" s="47" t="s">
        <v>159</v>
      </c>
      <c r="C32" s="47" t="s">
        <v>147</v>
      </c>
      <c r="E32" s="43" t="s">
        <v>97</v>
      </c>
    </row>
    <row r="33" spans="1:5" ht="12.75" customHeight="1">
      <c r="A33" s="48" t="s">
        <v>160</v>
      </c>
      <c r="B33" s="46" t="s">
        <v>161</v>
      </c>
      <c r="C33" s="46" t="s">
        <v>147</v>
      </c>
      <c r="E33" s="43" t="s">
        <v>97</v>
      </c>
    </row>
    <row r="34" spans="1:5" ht="12.75" customHeight="1">
      <c r="A34" s="49" t="s">
        <v>162</v>
      </c>
      <c r="B34" s="47" t="s">
        <v>163</v>
      </c>
      <c r="C34" s="47" t="s">
        <v>147</v>
      </c>
      <c r="E34" s="43" t="s">
        <v>97</v>
      </c>
    </row>
    <row r="35" spans="1:5" ht="12.75" customHeight="1">
      <c r="A35" s="48" t="s">
        <v>164</v>
      </c>
      <c r="B35" s="46" t="s">
        <v>165</v>
      </c>
      <c r="C35" s="46" t="s">
        <v>147</v>
      </c>
      <c r="E35" s="43" t="s">
        <v>97</v>
      </c>
    </row>
    <row r="36" spans="1:5" ht="12.75" customHeight="1">
      <c r="A36" s="49" t="s">
        <v>166</v>
      </c>
      <c r="B36" s="47" t="s">
        <v>167</v>
      </c>
      <c r="C36" s="47" t="s">
        <v>147</v>
      </c>
      <c r="E36" s="43" t="s">
        <v>97</v>
      </c>
    </row>
    <row r="37" spans="1:5" ht="12.75" customHeight="1">
      <c r="A37" s="48" t="s">
        <v>168</v>
      </c>
      <c r="B37" s="46" t="s">
        <v>169</v>
      </c>
      <c r="C37" s="46" t="s">
        <v>147</v>
      </c>
      <c r="E37" s="43" t="s">
        <v>97</v>
      </c>
    </row>
    <row r="38" spans="1:5" ht="12.75" customHeight="1">
      <c r="A38" s="49" t="s">
        <v>170</v>
      </c>
      <c r="B38" s="47" t="s">
        <v>171</v>
      </c>
      <c r="C38" s="47" t="s">
        <v>147</v>
      </c>
      <c r="E38" s="43" t="s">
        <v>97</v>
      </c>
    </row>
    <row r="39" spans="1:5" ht="12.75" customHeight="1">
      <c r="A39" s="50" t="s">
        <v>172</v>
      </c>
      <c r="B39" s="46" t="s">
        <v>173</v>
      </c>
      <c r="C39" s="46" t="s">
        <v>147</v>
      </c>
      <c r="E39" s="43" t="s">
        <v>97</v>
      </c>
    </row>
    <row r="40" spans="1:5" ht="12.75" customHeight="1">
      <c r="A40" s="49" t="s">
        <v>174</v>
      </c>
      <c r="B40" s="47" t="s">
        <v>175</v>
      </c>
      <c r="C40" s="47" t="s">
        <v>147</v>
      </c>
      <c r="E40" s="43" t="s">
        <v>97</v>
      </c>
    </row>
    <row r="41" spans="1:5" ht="12.75" customHeight="1">
      <c r="A41" s="48" t="s">
        <v>176</v>
      </c>
      <c r="B41" s="46" t="s">
        <v>177</v>
      </c>
      <c r="C41" s="46" t="s">
        <v>147</v>
      </c>
      <c r="E41" s="43" t="s">
        <v>97</v>
      </c>
    </row>
    <row r="42" spans="1:5" ht="12.75" customHeight="1">
      <c r="A42" s="49" t="s">
        <v>178</v>
      </c>
      <c r="B42" s="47" t="s">
        <v>179</v>
      </c>
      <c r="C42" s="47" t="s">
        <v>147</v>
      </c>
      <c r="E42" s="43" t="s">
        <v>97</v>
      </c>
    </row>
    <row r="43" spans="1:5" ht="12.75" customHeight="1">
      <c r="A43" s="48" t="s">
        <v>180</v>
      </c>
      <c r="B43" s="46" t="s">
        <v>181</v>
      </c>
      <c r="C43" s="46" t="s">
        <v>147</v>
      </c>
      <c r="E43" s="43" t="s">
        <v>97</v>
      </c>
    </row>
    <row r="44" spans="1:5" ht="12.75" customHeight="1">
      <c r="A44" s="49" t="s">
        <v>182</v>
      </c>
      <c r="B44" s="47" t="s">
        <v>183</v>
      </c>
      <c r="C44" s="47" t="s">
        <v>147</v>
      </c>
      <c r="E44" s="43" t="s">
        <v>97</v>
      </c>
    </row>
    <row r="45" spans="1:5" ht="12.75" customHeight="1">
      <c r="A45" s="48" t="s">
        <v>184</v>
      </c>
      <c r="B45" s="46" t="s">
        <v>185</v>
      </c>
      <c r="C45" s="46" t="s">
        <v>147</v>
      </c>
      <c r="E45" s="43" t="s">
        <v>97</v>
      </c>
    </row>
    <row r="46" spans="1:5" ht="12.75" customHeight="1">
      <c r="A46" s="49" t="s">
        <v>186</v>
      </c>
      <c r="B46" s="47" t="s">
        <v>187</v>
      </c>
      <c r="C46" s="47" t="s">
        <v>147</v>
      </c>
      <c r="E46" s="43" t="s">
        <v>97</v>
      </c>
    </row>
    <row r="47" spans="1:5" ht="12.75" customHeight="1">
      <c r="A47" s="46" t="s">
        <v>188</v>
      </c>
      <c r="B47" s="46" t="s">
        <v>189</v>
      </c>
      <c r="C47" s="46" t="s">
        <v>147</v>
      </c>
      <c r="E47" s="43" t="s">
        <v>97</v>
      </c>
    </row>
    <row r="48" spans="1:5" ht="12.75" customHeight="1">
      <c r="A48" s="49" t="s">
        <v>190</v>
      </c>
      <c r="B48" s="47" t="s">
        <v>191</v>
      </c>
      <c r="C48" s="47" t="s">
        <v>147</v>
      </c>
      <c r="E48" s="43" t="s">
        <v>97</v>
      </c>
    </row>
    <row r="49" spans="1:5" ht="12.75" customHeight="1">
      <c r="A49" s="48" t="s">
        <v>192</v>
      </c>
      <c r="B49" s="46" t="s">
        <v>193</v>
      </c>
      <c r="C49" s="46" t="s">
        <v>147</v>
      </c>
      <c r="E49" s="43" t="s">
        <v>97</v>
      </c>
    </row>
    <row r="50" spans="1:5" ht="12.75" customHeight="1">
      <c r="A50" s="49" t="s">
        <v>194</v>
      </c>
      <c r="B50" s="47" t="s">
        <v>195</v>
      </c>
      <c r="C50" s="47" t="s">
        <v>147</v>
      </c>
      <c r="E50" s="43" t="s">
        <v>97</v>
      </c>
    </row>
    <row r="51" spans="1:5" ht="12.75" customHeight="1">
      <c r="A51" s="48" t="s">
        <v>196</v>
      </c>
      <c r="B51" s="46" t="s">
        <v>197</v>
      </c>
      <c r="C51" s="46" t="s">
        <v>147</v>
      </c>
      <c r="E51" s="43" t="s">
        <v>97</v>
      </c>
    </row>
    <row r="52" spans="1:5" ht="12.75" customHeight="1">
      <c r="A52" s="49" t="s">
        <v>198</v>
      </c>
      <c r="B52" s="47" t="s">
        <v>199</v>
      </c>
      <c r="C52" s="47" t="s">
        <v>147</v>
      </c>
      <c r="E52" s="43" t="s">
        <v>97</v>
      </c>
    </row>
    <row r="53" spans="1:5" ht="12.75" customHeight="1">
      <c r="A53" s="48" t="s">
        <v>200</v>
      </c>
      <c r="B53" s="46" t="s">
        <v>201</v>
      </c>
      <c r="C53" s="46" t="s">
        <v>147</v>
      </c>
      <c r="E53" s="43" t="s">
        <v>97</v>
      </c>
    </row>
    <row r="54" spans="1:5" ht="12.75" customHeight="1">
      <c r="A54" s="49" t="s">
        <v>202</v>
      </c>
      <c r="B54" s="47" t="s">
        <v>203</v>
      </c>
      <c r="C54" s="47" t="s">
        <v>147</v>
      </c>
      <c r="E54" s="43" t="s">
        <v>97</v>
      </c>
    </row>
    <row r="55" spans="1:5" ht="12.75" customHeight="1">
      <c r="A55" s="48" t="s">
        <v>204</v>
      </c>
      <c r="B55" s="46" t="s">
        <v>205</v>
      </c>
      <c r="C55" s="46" t="s">
        <v>147</v>
      </c>
      <c r="E55" s="43" t="s">
        <v>97</v>
      </c>
    </row>
    <row r="56" spans="1:5" ht="12.75" customHeight="1">
      <c r="A56" s="49" t="s">
        <v>206</v>
      </c>
      <c r="B56" s="47" t="s">
        <v>207</v>
      </c>
      <c r="C56" s="47" t="s">
        <v>147</v>
      </c>
      <c r="E56" s="43" t="s">
        <v>97</v>
      </c>
    </row>
    <row r="57" spans="1:5" ht="12.75" customHeight="1">
      <c r="A57" t="s">
        <v>208</v>
      </c>
      <c r="B57" s="47" t="s">
        <v>209</v>
      </c>
      <c r="C57" s="47" t="s">
        <v>210</v>
      </c>
    </row>
    <row r="58" spans="1:5" ht="12.75" customHeight="1">
      <c r="A58" t="s">
        <v>211</v>
      </c>
      <c r="B58" s="46" t="s">
        <v>212</v>
      </c>
      <c r="C58" s="46" t="s">
        <v>210</v>
      </c>
    </row>
    <row r="59" spans="1:5" ht="12.75" customHeight="1">
      <c r="A59" t="s">
        <v>213</v>
      </c>
      <c r="B59" s="47" t="s">
        <v>214</v>
      </c>
      <c r="C59" s="47" t="s">
        <v>210</v>
      </c>
    </row>
    <row r="60" spans="1:5" ht="12.75" customHeight="1">
      <c r="A60" t="s">
        <v>215</v>
      </c>
      <c r="B60" s="46" t="s">
        <v>216</v>
      </c>
      <c r="C60" s="46" t="s">
        <v>210</v>
      </c>
    </row>
    <row r="61" spans="1:5" ht="12.75" customHeight="1">
      <c r="A61" t="s">
        <v>217</v>
      </c>
      <c r="B61" s="47" t="s">
        <v>218</v>
      </c>
      <c r="C61" s="47" t="s">
        <v>210</v>
      </c>
    </row>
    <row r="62" spans="1:5" ht="12.75" customHeight="1">
      <c r="A62" t="s">
        <v>219</v>
      </c>
      <c r="B62" s="46" t="s">
        <v>220</v>
      </c>
      <c r="C62" s="46" t="s">
        <v>210</v>
      </c>
    </row>
    <row r="63" spans="1:5" ht="12.75" customHeight="1">
      <c r="A63" t="s">
        <v>221</v>
      </c>
      <c r="B63" s="47" t="s">
        <v>222</v>
      </c>
      <c r="C63" s="47" t="s">
        <v>210</v>
      </c>
    </row>
    <row r="64" spans="1:5" ht="12.75" customHeight="1">
      <c r="A64" t="s">
        <v>223</v>
      </c>
      <c r="B64" s="46" t="s">
        <v>224</v>
      </c>
      <c r="C64" s="46" t="s">
        <v>210</v>
      </c>
    </row>
    <row r="65" spans="1:3" ht="12.75" customHeight="1">
      <c r="A65" t="s">
        <v>225</v>
      </c>
      <c r="B65" s="47" t="s">
        <v>226</v>
      </c>
      <c r="C65" s="47" t="s">
        <v>210</v>
      </c>
    </row>
  </sheetData>
  <conditionalFormatting sqref="A4:A65">
    <cfRule type="duplicateValues" dxfId="0" priority="1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2025-04-09T16:07:42Z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