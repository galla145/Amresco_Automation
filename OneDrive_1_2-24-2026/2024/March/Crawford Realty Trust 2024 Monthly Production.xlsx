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35" documentId="13_ncr:1_{E055DD24-2325-45FB-9662-429E1B6D4754}" xr6:coauthVersionLast="47" xr6:coauthVersionMax="47" xr10:uidLastSave="{9B3D33B9-7DC3-4264-B60C-37E198299DF4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0" l="1"/>
  <c r="D4" i="30"/>
  <c r="C4" i="29"/>
  <c r="D4" i="29"/>
  <c r="C4" i="18"/>
  <c r="D4" i="18"/>
  <c r="C4" i="1"/>
  <c r="D4" i="1"/>
  <c r="D4" i="34" s="1"/>
  <c r="G4" i="1"/>
  <c r="G4" i="34" s="1"/>
  <c r="C4" i="34" l="1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B4" i="34" a="1"/>
  <c r="B4" i="34" s="1"/>
  <c r="A4" i="34" a="1"/>
  <c r="A4" i="34" s="1"/>
  <c r="A1" i="34" a="1"/>
  <c r="A1" i="34" s="1"/>
  <c r="E4" i="30"/>
  <c r="F4" i="30" s="1"/>
  <c r="D2" i="29"/>
  <c r="E4" i="18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2" i="30" l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E4" i="34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<sst xmlns="http://schemas.openxmlformats.org/spreadsheetml/2006/main" count="244" uniqueCount="58">
  <si>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</si>
  <si>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</si>
  <si>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</si>
  <si>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</si>
  <si>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</si>
  <si>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</si>
  <si>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</si>
  <si>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</si>
  <si>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</si>
  <si>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</si>
  <si>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</si>
  <si>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</si>
  <si>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</si>
  <si>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</si>
  <si>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</si>
  <si>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</si>
  <si>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</si>
  <si>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</si>
  <si>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</si>
  <si>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</si>
  <si>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</si>
  <si>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</si>
  <si>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</si>
  <si>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</si>
  <si>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Inverter 2 left unit tripped offline on 12/13 and back online on 02/21</t>
  </si>
  <si>
    <t>1. SR081019</t>
  </si>
  <si>
    <t>March Actual v. Expected</t>
  </si>
  <si>
    <t>March Actual v. Forecasted</t>
  </si>
  <si>
    <t>1.Inverter 2 left unit was offline on 03/13 and came back online on the same day at 14:00</t>
  </si>
  <si>
    <t>1.SR081843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</si>
  <si>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</si>
  <si>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</si>
  <si>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</si>
  <si>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</si>
  <si>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</si>
  <si>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</si>
  <si>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</si>
  <si>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</si>
  <si>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</si>
  <si>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</si>
  <si>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</si>
  <si>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</si>
  <si>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</si>
  <si>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</si>
  <si>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</si>
  <si>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</si>
  <si>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</si>
  <si>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</si>
  <si>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</si>
  <si>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Crawford Realty</t>
  </si>
  <si>
    <t>Site DAS Name</t>
  </si>
  <si>
    <t>Update</t>
  </si>
  <si>
    <t>DAS</t>
  </si>
  <si>
    <t>101 Crawford</t>
  </si>
  <si>
    <t>MA: Leominster - Crawford Realty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</si>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</sst>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horizontal="right" vertical="center"/>
    </xf>
    <xf numFmtId="0" fontId="35" fillId="46" borderId="0" xfId="0" applyFont="1" applyFill="1" applyAlignment="1">
      <alignment horizontal="right" vertical="center"/>
    </xf>
    <xf numFmtId="0" fontId="24" fillId="42" borderId="11" xfId="0" applyFont="1" applyFill="1" applyBorder="1" applyAlignment="1">
      <alignment horizontal="center" vertical="center"/>
    </xf>
    <xf numFmtId="3" fontId="36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7"/>
  <sheetViews>
    <sheetView workbookViewId="0">
      <pane xSplit="2" ySplit="3" topLeftCell="D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SUM(C4:C75)</f>
        <v>114973.46000976559</v>
      </c>
      <c r="D2" s="5">
        <f>SUM(D4:D75)</f>
        <v>0</v>
      </c>
      <c r="E2" s="5">
        <f>C2-D2</f>
        <v>114973.46000976559</v>
      </c>
      <c r="F2" s="6">
        <f>IFERROR(E2/D2, 0)</f>
        <v>0</v>
      </c>
      <c r="G2" s="5">
        <f>SUM(G4:G75)</f>
        <v>160155.33000000002</v>
      </c>
      <c r="H2" s="7">
        <f>C2-G2</f>
        <v>-45181.869990234423</v>
      </c>
      <c r="I2" s="6">
        <f>IFERROR(H2/G2, 0)</f>
        <v>-0.28211280879777412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Leominster - Crawford Realty</v>
      </c>
      <c r="B4" s="9" t="str" cm="1">
        <f t="array" ref="B4">Sites[State]</f>
        <v>MA</v>
      </c>
      <c r="C4" s="23">
        <f>SUM('1st Qtr'!C4, '2nd Qtr'!C4, '3rd Qtr'!C4, '4th Qtr'!C4)</f>
        <v>114973.46000976559</v>
      </c>
      <c r="D4" s="12">
        <f>SUM('1st Qtr'!D4, '2nd Qtr'!D4, '3rd Qtr'!D4, '4th Qtr'!D4)</f>
        <v>0</v>
      </c>
      <c r="E4" s="12">
        <f>IF(AND(ISNUMBER(C4),ISNUMBER(D4)), C4-D4, "")</f>
        <v>114973.46000976559</v>
      </c>
      <c r="F4" s="13" t="str">
        <f>IFERROR(E4/D4, "")</f>
        <v/>
      </c>
      <c r="G4" s="14">
        <f>SUM('1st Qtr'!G4, '2nd Qtr'!G4, '3rd Qtr'!G4, '4th Qtr'!G4)</f>
        <v>160155.33000000002</v>
      </c>
      <c r="H4" s="14">
        <f>SUM('1st Qtr'!H4, '2nd Qtr'!H4, '3rd Qtr'!H4, '4th Qtr'!H4)</f>
        <v>-45181.869990234409</v>
      </c>
      <c r="I4" s="15">
        <f>IFERROR(H4/G4, "")</f>
        <v>-0.28211280879777406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5 I4:I7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SUM(C4:C75)</f>
        <v>114973.46000976559</v>
      </c>
      <c r="D2" s="5">
        <f>SUM(D4:D75)</f>
        <v>0</v>
      </c>
      <c r="E2" s="5">
        <f>C2-D2</f>
        <v>114973.46000976559</v>
      </c>
      <c r="F2" s="6">
        <f>IFERROR(E2/D2, 0)</f>
        <v>0</v>
      </c>
      <c r="G2" s="5">
        <f>SUM(G4:G75)</f>
        <v>160155.33000000002</v>
      </c>
      <c r="H2" s="7">
        <f>C2-G2</f>
        <v>-45181.869990234423</v>
      </c>
      <c r="I2" s="6">
        <f>IFERROR(H2/G2, 0)</f>
        <v>-0.28211280879777412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SUM(Jan!C4, Feb!C4, Mar!C4)</f>
        <v>114973.46000976559</v>
      </c>
      <c r="D4" s="12">
        <f>SUM(Jan!D4, Feb!D4, Mar!D4)</f>
        <v>0</v>
      </c>
      <c r="E4" s="12">
        <f>IF(AND(ISNUMBER(C4),ISNUMBER(D4)), C4-D4, "")</f>
        <v>114973.46000976559</v>
      </c>
      <c r="F4" s="13" t="str">
        <f>IFERROR(E4/D4, "")</f>
        <v/>
      </c>
      <c r="G4" s="14">
        <f>SUM(Jan!G4, Feb!G4, Mar!G4)</f>
        <v>160155.33000000002</v>
      </c>
      <c r="H4" s="14">
        <f>SUM(Jan!H4, Feb!H4, Mar!H4)</f>
        <v>-45181.869990234409</v>
      </c>
      <c r="I4" s="15">
        <f>IFERROR(H4/G4, "")</f>
        <v>-0.28211280879777406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5 I4:I7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7"/>
  <sheetViews>
    <sheetView workbookViewId="0">
      <pane xSplit="2" ySplit="3" topLeftCell="C13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Crawford Realty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MA: Leominster - Crawford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39"/>
      <c r="D5" s="17"/>
      <c r="E5" s="17"/>
      <c r="F5" s="18"/>
      <c r="G5" s="19"/>
      <c r="H5" s="19"/>
      <c r="I5" s="18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6"/>
  <sheetViews>
    <sheetView workbookViewId="0">
      <pane xSplit="2" ySplit="3" topLeftCell="C4" activePane="bottomRight" state="frozen"/>
      <selection pane="bottomRight" activeCell="J4" sqref="J4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SUM(C4:C74)</f>
        <v>12170.5100097656</v>
      </c>
      <c r="D2" s="5">
        <f>SUM(D4:D74)</f>
        <v>0</v>
      </c>
      <c r="E2" s="5">
        <f>C2-D2</f>
        <v>12170.5100097656</v>
      </c>
      <c r="F2" s="6">
        <f>IFERROR(E2/D2, 0)</f>
        <v>0</v>
      </c>
      <c r="G2" s="5">
        <f>SUM(G4:G74)</f>
        <v>41972</v>
      </c>
      <c r="H2" s="7">
        <f>C2-G2</f>
        <v>-29801.4899902344</v>
      </c>
      <c r="I2" s="6">
        <f>IFERROR(H2/G2, 0)</f>
        <v>-0.71003264057548843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9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4" t="str" cm="1">
        <f t="array" ref="A4">Sites[Site]</f>
        <v>MA: Leominster - Crawford Realty</v>
      </c>
      <c r="B4" s="27" t="str" cm="1">
        <f t="array" ref="B4">Sites[State]</f>
        <v>MA</v>
      </c>
      <c r="C4" s="47">
        <v>12170.5100097656</v>
      </c>
      <c r="D4" s="48">
        <v>0</v>
      </c>
      <c r="E4" s="12">
        <f>IF(AND(ISNUMBER(C4),ISNUMBER(D4)), C4-D4, "")</f>
        <v>12170.5100097656</v>
      </c>
      <c r="F4" s="38" t="str">
        <f>IFERROR(E4/D4, "")</f>
        <v/>
      </c>
      <c r="G4" s="50">
        <v>41972</v>
      </c>
      <c r="H4" s="14">
        <f>IF(AND(ISNUMBER(C4),ISNUMBER(G4)), C4-G4, "")</f>
        <v>-29801.4899902344</v>
      </c>
      <c r="I4" s="15">
        <f>IFERROR(H4/G4, "")</f>
        <v>-0.71003264057548843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</sheetData>
  <mergeCells count="4">
    <mergeCell ref="D1:F1"/>
    <mergeCell ref="A1:C1"/>
    <mergeCell ref="G1:I1"/>
    <mergeCell ref="A2:B2"/>
  </mergeCells>
  <conditionalFormatting sqref="F2 I2 I4:I74 F5:F7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7"/>
  <sheetViews>
    <sheetView workbookViewId="0">
      <pane xSplit="2" ySplit="3" topLeftCell="C4" activePane="bottomRight" state="frozen"/>
      <selection pane="bottomRight" activeCell="J10" sqref="J10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22</v>
      </c>
      <c r="E1" s="53"/>
      <c r="F1" s="53"/>
      <c r="G1" s="51" t="s">
        <v>23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43982.7</v>
      </c>
      <c r="D2" s="5">
        <f>SUM(D4:D75)</f>
        <v>0</v>
      </c>
      <c r="E2" s="5">
        <f>C2-D2</f>
        <v>43982.7</v>
      </c>
      <c r="F2" s="6">
        <f>IFERROR(E2/D2, 0)</f>
        <v>0</v>
      </c>
      <c r="G2" s="5">
        <f>SUM(G4:G75)</f>
        <v>50056.05</v>
      </c>
      <c r="H2" s="7">
        <f>C2-G2</f>
        <v>-6073.3500000000058</v>
      </c>
      <c r="I2" s="6">
        <f>IFERROR(H2/G2, 0)</f>
        <v>-0.12133098796249416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4" t="str" cm="1">
        <f t="array" ref="A4">Sites[Site]</f>
        <v>MA: Leominster - Crawford Realty</v>
      </c>
      <c r="B4" s="27" t="str" cm="1">
        <f t="array" ref="B4">Sites[State]</f>
        <v>MA</v>
      </c>
      <c r="C4" s="23">
        <v>43982.7</v>
      </c>
      <c r="D4" s="12">
        <v>0</v>
      </c>
      <c r="E4" s="12">
        <f>IF(AND(ISNUMBER(C4),ISNUMBER(D4)), C4-D4, "")</f>
        <v>43982.7</v>
      </c>
      <c r="F4" s="13" t="str">
        <f>IFERROR(E4/D4, "")</f>
        <v/>
      </c>
      <c r="G4" s="14">
        <v>50056.05</v>
      </c>
      <c r="H4" s="14">
        <f>IF(AND(ISNUMBER(C4),ISNUMBER(G4)), C4-G4, "")</f>
        <v>-6073.3500000000058</v>
      </c>
      <c r="I4" s="15">
        <f>IFERROR(H4/G4, "")</f>
        <v>-0.12133098796249416</v>
      </c>
      <c r="J4" s="36" t="s">
        <v>24</v>
      </c>
      <c r="K4" s="36" t="s">
        <v>25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7"/>
  <sheetViews>
    <sheetView tabSelected="1" workbookViewId="0">
      <pane xSplit="2" ySplit="3" topLeftCell="C4" activePane="bottomRight" state="frozen"/>
      <selection pane="bottomRight" activeCell="F19" sqref="F19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26</v>
      </c>
      <c r="E1" s="53"/>
      <c r="F1" s="53"/>
      <c r="G1" s="51" t="s">
        <v>27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58820.25</v>
      </c>
      <c r="D2" s="5">
        <f>SUM(D4:D75)</f>
        <v>0</v>
      </c>
      <c r="E2" s="5">
        <f>C2-D2</f>
        <v>58820.25</v>
      </c>
      <c r="F2" s="6">
        <f>IFERROR(E2/D2, 0)</f>
        <v>0</v>
      </c>
      <c r="G2" s="5">
        <f>SUM(G4:G75)</f>
        <v>68127.28</v>
      </c>
      <c r="H2" s="7">
        <f>C2-G2</f>
        <v>-9307.0299999999988</v>
      </c>
      <c r="I2" s="6">
        <f>IFERROR(H2/G2, 0)</f>
        <v>-0.13661238200027948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>
        <v>58820.25</v>
      </c>
      <c r="D4" s="12">
        <v>0</v>
      </c>
      <c r="E4" s="12">
        <f>IF(AND(ISNUMBER(C4),ISNUMBER(D4)), C4-D4, "")</f>
        <v>58820.25</v>
      </c>
      <c r="F4" s="13" t="str">
        <f>IFERROR(E4/D4, "")</f>
        <v/>
      </c>
      <c r="G4" s="14">
        <v>68127.28</v>
      </c>
      <c r="H4" s="14">
        <f>IF(AND(ISNUMBER(C4),ISNUMBER(G4)), C4-G4, "")</f>
        <v>-9307.0299999999988</v>
      </c>
      <c r="I4" s="15">
        <f>IFERROR(H4/G4, "")</f>
        <v>-0.13661238200027948</v>
      </c>
      <c r="J4" s="36" t="s">
        <v>28</v>
      </c>
      <c r="K4" s="36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30</v>
      </c>
      <c r="E1" s="53"/>
      <c r="F1" s="53"/>
      <c r="G1" s="51" t="s">
        <v>31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32</v>
      </c>
      <c r="E1" s="53"/>
      <c r="F1" s="53"/>
      <c r="G1" s="51" t="s">
        <v>33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34</v>
      </c>
      <c r="E1" s="53"/>
      <c r="F1" s="53"/>
      <c r="G1" s="51" t="s">
        <v>35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36</v>
      </c>
      <c r="E1" s="53"/>
      <c r="F1" s="53"/>
      <c r="G1" s="51" t="s">
        <v>37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38</v>
      </c>
      <c r="E1" s="53"/>
      <c r="F1" s="53"/>
      <c r="G1" s="51" t="s">
        <v>39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40</v>
      </c>
      <c r="E1" s="53"/>
      <c r="F1" s="53"/>
      <c r="G1" s="51" t="s">
        <v>41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42</v>
      </c>
      <c r="E1" s="53"/>
      <c r="F1" s="53"/>
      <c r="G1" s="51" t="s">
        <v>43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44</v>
      </c>
      <c r="E1" s="53"/>
      <c r="F1" s="53"/>
      <c r="G1" s="51" t="s">
        <v>45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7"/>
  <sheetViews>
    <sheetView workbookViewId="0">
      <pane xSplit="2" ySplit="3" topLeftCell="C4" activePane="bottomRight" state="frozen"/>
      <selection pane="bottomRight" activeCell="E16" sqref="E16"/>
      <selection pane="bottomLeft" activeCell="E16" sqref="E16"/>
      <selection pane="topRight" activeCell="E16" sqref="E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Crawford Realty</v>
      </c>
      <c r="B1" s="52"/>
      <c r="C1" s="52"/>
      <c r="D1" s="53" t="s">
        <v>46</v>
      </c>
      <c r="E1" s="53"/>
      <c r="F1" s="53"/>
      <c r="G1" s="51" t="s">
        <v>47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Crawford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5">
      <c r="A4" s="43" t="s">
        <v>53</v>
      </c>
      <c r="B4" t="s">
        <v>54</v>
      </c>
      <c r="C4" s="41" t="s">
        <v>55</v>
      </c>
      <c r="D4" s="40" t="s">
        <v>56</v>
      </c>
      <c r="E4" t="s">
        <v>57</v>
      </c>
      <c r="G4" s="3"/>
    </row>
    <row r="5" spans="1:12" ht="14.45">
      <c r="A5" s="43"/>
      <c r="C5" s="41"/>
      <c r="D5" s="40"/>
      <c r="G5" s="3"/>
    </row>
    <row r="6" spans="1:12" ht="14.45">
      <c r="A6" s="43"/>
      <c r="C6" s="41"/>
      <c r="D6" s="40"/>
      <c r="G6" s="3"/>
    </row>
    <row r="7" spans="1:12" ht="12.75" customHeight="1">
      <c r="A7" s="43"/>
      <c r="C7" s="41"/>
      <c r="D7" s="40"/>
    </row>
    <row r="8" spans="1:12" ht="12.75" customHeight="1">
      <c r="A8" s="43"/>
      <c r="C8" s="41"/>
      <c r="D8" s="40"/>
    </row>
    <row r="9" spans="1:12" ht="12.75" customHeight="1">
      <c r="A9" s="43"/>
      <c r="C9" s="41"/>
      <c r="D9" s="40"/>
    </row>
    <row r="10" spans="1:12" ht="12.75" customHeight="1">
      <c r="A10" s="43"/>
      <c r="C10" s="41"/>
      <c r="D10" s="40"/>
      <c r="K10" s="37"/>
      <c r="L10" s="37"/>
    </row>
    <row r="11" spans="1:12" ht="12.75" customHeight="1">
      <c r="A11" s="43"/>
      <c r="C11" s="41"/>
      <c r="D11" s="40"/>
      <c r="K11" s="37"/>
      <c r="L11" s="37"/>
    </row>
    <row r="12" spans="1:12" ht="12.75" customHeight="1">
      <c r="A12" s="43"/>
      <c r="C12" s="41"/>
      <c r="D12" s="40"/>
      <c r="K12" s="37"/>
      <c r="L12" s="37"/>
    </row>
    <row r="13" spans="1:12" ht="12.75" customHeight="1">
      <c r="A13" s="43"/>
      <c r="C13" s="41"/>
      <c r="D13" s="40"/>
      <c r="K13" s="37"/>
      <c r="L13" s="37"/>
    </row>
    <row r="14" spans="1:12" ht="12.75" customHeight="1">
      <c r="A14" s="43"/>
      <c r="C14" s="41"/>
      <c r="D14" s="40"/>
      <c r="K14" s="37"/>
      <c r="L14" s="37"/>
    </row>
    <row r="15" spans="1:12" ht="12.75" customHeight="1">
      <c r="A15" s="43"/>
      <c r="C15" s="41"/>
      <c r="D15" s="40"/>
      <c r="K15" s="37"/>
      <c r="L15" s="37"/>
    </row>
    <row r="16" spans="1:12" ht="12.75" customHeight="1">
      <c r="A16" s="43"/>
      <c r="C16" s="41"/>
      <c r="D16" s="40"/>
      <c r="K16" s="37"/>
      <c r="L16" s="37"/>
    </row>
    <row r="17" spans="1:12" ht="12.75" customHeight="1">
      <c r="A17" s="43"/>
      <c r="C17" s="41"/>
      <c r="D17" s="40"/>
      <c r="K17" s="37"/>
      <c r="L17" s="37"/>
    </row>
    <row r="18" spans="1:12" ht="12.75" customHeight="1">
      <c r="A18" s="43"/>
      <c r="C18" s="41"/>
      <c r="D18" s="40"/>
      <c r="K18" s="37"/>
      <c r="L18" s="37"/>
    </row>
    <row r="19" spans="1:12" ht="12.75" customHeight="1">
      <c r="A19" s="43"/>
      <c r="C19" s="41"/>
      <c r="D19" s="40"/>
      <c r="K19" s="37"/>
      <c r="L19" s="37"/>
    </row>
    <row r="20" spans="1:12" ht="12.75" customHeight="1">
      <c r="A20" s="43"/>
      <c r="C20" s="41"/>
      <c r="D20" s="40"/>
      <c r="K20" s="37"/>
      <c r="L20" s="37"/>
    </row>
    <row r="21" spans="1:12" ht="12.75" customHeight="1">
      <c r="A21" s="43"/>
      <c r="C21" s="41"/>
      <c r="D21" s="40"/>
      <c r="K21" s="37"/>
      <c r="L21" s="37"/>
    </row>
    <row r="22" spans="1:12" ht="12.75" customHeight="1">
      <c r="A22" s="43"/>
      <c r="C22" s="41"/>
      <c r="D22" s="40"/>
      <c r="K22" s="37"/>
      <c r="L22" s="37"/>
    </row>
    <row r="23" spans="1:12" ht="12.75" customHeight="1">
      <c r="A23" s="43"/>
      <c r="C23" s="41"/>
      <c r="D23" s="40"/>
      <c r="K23" s="37"/>
      <c r="L23" s="37"/>
    </row>
    <row r="24" spans="1:12" ht="12.75" customHeight="1">
      <c r="A24" s="43"/>
      <c r="C24" s="41"/>
      <c r="D24" s="40"/>
      <c r="K24" s="37"/>
      <c r="L24" s="37"/>
    </row>
    <row r="25" spans="1:12" ht="12.75" customHeight="1">
      <c r="A25" s="43"/>
      <c r="C25" s="41"/>
      <c r="D25" s="40"/>
      <c r="K25" s="37"/>
      <c r="L25" s="37"/>
    </row>
    <row r="26" spans="1:12" ht="12.75" customHeight="1">
      <c r="K26" s="37"/>
      <c r="L26" s="37"/>
    </row>
    <row r="27" spans="1:12" ht="12.75" customHeight="1">
      <c r="K27" s="37"/>
      <c r="L27" s="37"/>
    </row>
    <row r="28" spans="1:12" ht="12.75" customHeight="1">
      <c r="K28" s="37"/>
      <c r="L28" s="37"/>
    </row>
    <row r="29" spans="1:12" ht="12.75" customHeight="1">
      <c r="K29" s="37"/>
      <c r="L29" s="37"/>
    </row>
    <row r="30" spans="1:12" ht="12.75" customHeight="1">
      <c r="K30" s="37"/>
      <c r="L30" s="37"/>
    </row>
    <row r="31" spans="1:12" ht="12.75" customHeight="1">
      <c r="K31" s="37"/>
      <c r="L31" s="3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2024-07-11T06:53:14Z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