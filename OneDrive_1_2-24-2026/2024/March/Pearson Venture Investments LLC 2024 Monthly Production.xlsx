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dileeps_amgsol_com/Documents/Desktop/Monthly Reports - March 2023/"/>
    </mc:Choice>
  </mc:AlternateContent>
  <xr:revisionPtr revIDLastSave="0" documentId="8_{22B8F59D-9E93-4E24-8582-9337ACE8E606}" xr6:coauthVersionLast="47" xr6:coauthVersionMax="47" xr10:uidLastSave="{00000000-0000-0000-0000-000000000000}"/>
  <bookViews>
    <workbookView xWindow="-28920" yWindow="7725" windowWidth="29040" windowHeight="15720" tabRatio="866" firstSheet="4" activeTab="1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May" sheetId="20" r:id="rId9"/>
    <sheet name="Apr" sheetId="21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9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8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4" l="1"/>
  <c r="I4" i="4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G4" i="34" s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C4" i="18"/>
  <c r="D2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E4" i="18" l="1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<sst xmlns="http://schemas.openxmlformats.org/spreadsheetml/2006/main" count="242" uniqueCount="55">
  <si>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</si>
  <si>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</si>
  <si>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</si>
  <si>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</si>
  <si>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</si>
  <si>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</si>
  <si>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</si>
  <si>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</si>
  <si>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</si>
  <si>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</si>
  <si>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</si>
  <si>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</si>
  <si>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</si>
  <si>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</si>
  <si>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</si>
  <si>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</si>
  <si>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</si>
  <si>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</si>
  <si>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</si>
  <si>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</si>
  <si>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</si>
  <si>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</si>
  <si>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</si>
  <si>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</si>
  <si>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</si>
  <si>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</si>
  <si>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May Actual v. Expected</t>
  </si>
  <si>
    <t>May Actual v. Forecasted</t>
  </si>
  <si>
    <t>April Actual v. Expected</t>
  </si>
  <si>
    <t>April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</si>
  <si>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</si>
  <si>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</si>
  <si>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</si>
  <si>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</si>
  <si>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</si>
  <si>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</si>
  <si>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</si>
  <si>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</si>
  <si>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</si>
  <si>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</si>
  <si>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</si>
  <si>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</si>
  <si>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</si>
  <si>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</si>
  <si>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</si>
  <si>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Site DAS Name</t>
  </si>
  <si>
    <t>Update</t>
  </si>
  <si>
    <t>DAS</t>
  </si>
  <si>
    <t>MA</t>
  </si>
  <si>
    <t>PowerTrack</t>
  </si>
  <si>
    <t>MA - Billerica - 2 Sterling Way</t>
  </si>
  <si>
    <t>Pearson Venture Investments LLC</t>
  </si>
  <si>
    <t>AE</t>
  </si>
  <si>
    <t>1.  Inverter is kept offline from 03/10 for the reason of main control board has failed and will need to be replaced.</t>
  </si>
  <si>
    <t>1. SR081721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</si>
</sst>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9" fontId="30" fillId="3" borderId="0" xfId="2" applyFont="1" applyFill="1" applyAlignment="1">
      <alignment horizontal="right" vertical="center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9" fontId="30" fillId="38" borderId="12" xfId="2" applyFont="1" applyFill="1" applyBorder="1" applyAlignment="1">
      <alignment horizontal="left" vertical="top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3" fontId="35" fillId="46" borderId="0" xfId="0" applyNumberFormat="1" applyFont="1" applyFill="1" applyAlignment="1">
      <alignment vertical="center"/>
    </xf>
    <xf numFmtId="0" fontId="24" fillId="42" borderId="11" xfId="0" applyFont="1" applyFill="1" applyBorder="1" applyAlignment="1">
      <alignment horizontal="center" vertical="center"/>
    </xf>
    <xf numFmtId="3" fontId="35" fillId="47" borderId="0" xfId="0" applyNumberFormat="1" applyFont="1" applyFill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38" dataCellStyle="Normal 2"/>
    <tableColumn id="1" xr3:uid="{9A753695-C18C-437C-AD9C-C2CE5C1A806E}" name="Site" dataDxfId="37" dataCellStyle="Normal 2"/>
    <tableColumn id="2" xr3:uid="{250F229D-34D2-4043-BE8F-6D9C210E223F}" name="State" dataDxfId="36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2.75" x14ac:dyDescent="0.35"/>
  <cols>
    <col min="1" max="1" width="35.86328125" bestFit="1" customWidth="1"/>
    <col min="2" max="2" width="8.398437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</cols>
  <sheetData>
    <row r="1" spans="1:9" ht="19.5" customHeight="1" x14ac:dyDescent="0.35">
      <c r="A1" s="54" t="str" cm="1">
        <f t="array" ref="A1">portfolio</f>
        <v>Pearson Venture Investments LLC</v>
      </c>
      <c r="B1" s="54"/>
      <c r="C1" s="54"/>
      <c r="D1" s="55" t="s">
        <v>0</v>
      </c>
      <c r="E1" s="55"/>
      <c r="F1" s="55"/>
      <c r="G1" s="53" t="s">
        <v>1</v>
      </c>
      <c r="H1" s="53"/>
      <c r="I1" s="53"/>
    </row>
    <row r="2" spans="1:9" ht="19.5" customHeight="1" x14ac:dyDescent="0.35">
      <c r="A2" s="56" t="s">
        <v>2</v>
      </c>
      <c r="B2" s="56"/>
      <c r="C2" s="5">
        <f>SUM(C4:C79)</f>
        <v>16384</v>
      </c>
      <c r="D2" s="5">
        <f>SUM(D4:D79)</f>
        <v>28624</v>
      </c>
      <c r="E2" s="5">
        <f>C2-D2</f>
        <v>-12240</v>
      </c>
      <c r="F2" s="6">
        <f>IFERROR(E2/D2, 0)</f>
        <v>-0.4276131917272219</v>
      </c>
      <c r="G2" s="5">
        <f>SUM(G4:G79)</f>
        <v>0</v>
      </c>
      <c r="H2" s="7">
        <f>C2-G2</f>
        <v>16384</v>
      </c>
      <c r="I2" s="6">
        <f>IFERROR(H2/G2, 0)</f>
        <v>0</v>
      </c>
    </row>
    <row r="3" spans="1:9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 x14ac:dyDescent="0.35">
      <c r="A4" s="11" t="str" cm="1">
        <f t="array" ref="A4">Sites[Site]</f>
        <v>Pearson Venture Investments LLC</v>
      </c>
      <c r="B4" s="9" t="str" cm="1">
        <f t="array" ref="B4">Sites[State]</f>
        <v>MA</v>
      </c>
      <c r="C4" s="23">
        <f>SUM('1st Qtr'!C4, '2nd Qtr'!C4, '3rd Qtr'!C4, '4th Qtr'!C4)</f>
        <v>16384</v>
      </c>
      <c r="D4" s="12">
        <f>SUM('1st Qtr'!D4, '2nd Qtr'!D4, '3rd Qtr'!D4, '4th Qtr'!D4)</f>
        <v>28624</v>
      </c>
      <c r="E4" s="12">
        <f>IF(AND(ISNUMBER(C4),ISNUMBER(D4)), C4-D4, "")</f>
        <v>-12240</v>
      </c>
      <c r="F4" s="13">
        <f>IFERROR(E4/D4, "")</f>
        <v>-0.4276131917272219</v>
      </c>
      <c r="G4" s="14">
        <f>SUM('1st Qtr'!G4, '2nd Qtr'!G4, '3rd Qtr'!G4, '4th Qtr'!G4)</f>
        <v>0</v>
      </c>
      <c r="H4" s="14">
        <f>SUM('1st Qtr'!H4, '2nd Qtr'!H4, '3rd Qtr'!H4, '4th Qtr'!H4)</f>
        <v>16384</v>
      </c>
      <c r="I4" s="15" t="str">
        <f>IFERROR(H4/G4, "")</f>
        <v/>
      </c>
    </row>
    <row r="5" spans="1:9" ht="13.15" x14ac:dyDescent="0.4">
      <c r="A5" s="20"/>
      <c r="B5" s="20"/>
      <c r="C5" s="20"/>
      <c r="D5" s="20"/>
      <c r="E5" s="20"/>
      <c r="F5" s="20"/>
      <c r="G5" s="20"/>
      <c r="H5" s="20"/>
      <c r="I5" s="20"/>
    </row>
    <row r="6" spans="1:9" ht="13.15" x14ac:dyDescent="0.4">
      <c r="A6" s="20"/>
      <c r="B6" s="20"/>
      <c r="C6" s="20"/>
      <c r="D6" s="20"/>
      <c r="E6" s="20"/>
      <c r="F6" s="20"/>
      <c r="G6" s="20"/>
      <c r="H6" s="20"/>
      <c r="I6" s="20"/>
    </row>
    <row r="7" spans="1:9" ht="13.15" x14ac:dyDescent="0.4">
      <c r="A7" s="20"/>
      <c r="B7" s="20"/>
      <c r="C7" s="20"/>
      <c r="D7" s="20"/>
      <c r="E7" s="20"/>
      <c r="F7" s="20"/>
      <c r="G7" s="20"/>
      <c r="H7" s="20"/>
      <c r="I7" s="20"/>
    </row>
    <row r="8" spans="1:9" ht="13.15" x14ac:dyDescent="0.4">
      <c r="A8" s="20"/>
      <c r="B8" s="20"/>
      <c r="C8" s="20"/>
      <c r="D8" s="20"/>
      <c r="E8" s="20"/>
      <c r="F8" s="20"/>
      <c r="G8" s="20"/>
      <c r="H8" s="20"/>
      <c r="I8" s="20"/>
    </row>
    <row r="9" spans="1:9" ht="13.15" x14ac:dyDescent="0.4">
      <c r="A9" s="20"/>
      <c r="B9" s="20"/>
      <c r="C9" s="20"/>
      <c r="D9" s="20"/>
      <c r="E9" s="20"/>
      <c r="F9" s="20"/>
      <c r="G9" s="20"/>
      <c r="H9" s="20"/>
      <c r="I9" s="20"/>
    </row>
    <row r="10" spans="1:9" ht="13.15" x14ac:dyDescent="0.4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 x14ac:dyDescent="0.4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 x14ac:dyDescent="0.4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 x14ac:dyDescent="0.4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 x14ac:dyDescent="0.4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 x14ac:dyDescent="0.4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 x14ac:dyDescent="0.4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 x14ac:dyDescent="0.4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 x14ac:dyDescent="0.4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 x14ac:dyDescent="0.4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 x14ac:dyDescent="0.4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 x14ac:dyDescent="0.4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 x14ac:dyDescent="0.4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 x14ac:dyDescent="0.4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 x14ac:dyDescent="0.4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 x14ac:dyDescent="0.4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 x14ac:dyDescent="0.4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 x14ac:dyDescent="0.4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 x14ac:dyDescent="0.4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 x14ac:dyDescent="0.4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 x14ac:dyDescent="0.4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 x14ac:dyDescent="0.4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 x14ac:dyDescent="0.4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 x14ac:dyDescent="0.4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 x14ac:dyDescent="0.4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 x14ac:dyDescent="0.4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 x14ac:dyDescent="0.4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 x14ac:dyDescent="0.4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 x14ac:dyDescent="0.4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 x14ac:dyDescent="0.4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 x14ac:dyDescent="0.4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 x14ac:dyDescent="0.4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 x14ac:dyDescent="0.4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 x14ac:dyDescent="0.4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 x14ac:dyDescent="0.4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 x14ac:dyDescent="0.4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 x14ac:dyDescent="0.4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 x14ac:dyDescent="0.4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 x14ac:dyDescent="0.4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 x14ac:dyDescent="0.4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 x14ac:dyDescent="0.4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 x14ac:dyDescent="0.4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 x14ac:dyDescent="0.4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 x14ac:dyDescent="0.4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 x14ac:dyDescent="0.4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 x14ac:dyDescent="0.4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 x14ac:dyDescent="0.4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 x14ac:dyDescent="0.4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 x14ac:dyDescent="0.4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 x14ac:dyDescent="0.4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 x14ac:dyDescent="0.4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 x14ac:dyDescent="0.4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 x14ac:dyDescent="0.4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 x14ac:dyDescent="0.4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 x14ac:dyDescent="0.4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 x14ac:dyDescent="0.4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 x14ac:dyDescent="0.4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 x14ac:dyDescent="0.4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 x14ac:dyDescent="0.4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 x14ac:dyDescent="0.4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 x14ac:dyDescent="0.4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 x14ac:dyDescent="0.4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 x14ac:dyDescent="0.4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 x14ac:dyDescent="0.4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 x14ac:dyDescent="0.4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 x14ac:dyDescent="0.4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 x14ac:dyDescent="0.4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 x14ac:dyDescent="0.4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 x14ac:dyDescent="0.4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 x14ac:dyDescent="0.4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 x14ac:dyDescent="0.4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 x14ac:dyDescent="0.4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 x14ac:dyDescent="0.4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 x14ac:dyDescent="0.4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 x14ac:dyDescent="0.4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 x14ac:dyDescent="0.4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 x14ac:dyDescent="0.4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 x14ac:dyDescent="0.4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 x14ac:dyDescent="0.4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 x14ac:dyDescent="0.4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 x14ac:dyDescent="0.4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 x14ac:dyDescent="0.4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 x14ac:dyDescent="0.4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 x14ac:dyDescent="0.4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 x14ac:dyDescent="0.4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 x14ac:dyDescent="0.4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 x14ac:dyDescent="0.4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 x14ac:dyDescent="0.4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 x14ac:dyDescent="0.4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 x14ac:dyDescent="0.4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 x14ac:dyDescent="0.4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 x14ac:dyDescent="0.4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 x14ac:dyDescent="0.4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 x14ac:dyDescent="0.4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 x14ac:dyDescent="0.4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 x14ac:dyDescent="0.4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 x14ac:dyDescent="0.4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 x14ac:dyDescent="0.4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 x14ac:dyDescent="0.4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 x14ac:dyDescent="0.4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 x14ac:dyDescent="0.4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 x14ac:dyDescent="0.4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 x14ac:dyDescent="0.4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 x14ac:dyDescent="0.4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 x14ac:dyDescent="0.4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 x14ac:dyDescent="0.4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 x14ac:dyDescent="0.4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 x14ac:dyDescent="0.4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 x14ac:dyDescent="0.4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 x14ac:dyDescent="0.4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 x14ac:dyDescent="0.4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 x14ac:dyDescent="0.4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 x14ac:dyDescent="0.4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 x14ac:dyDescent="0.4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 x14ac:dyDescent="0.4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 x14ac:dyDescent="0.4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 x14ac:dyDescent="0.4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 x14ac:dyDescent="0.4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 x14ac:dyDescent="0.4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 x14ac:dyDescent="0.4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 x14ac:dyDescent="0.4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 x14ac:dyDescent="0.4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 x14ac:dyDescent="0.4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 x14ac:dyDescent="0.4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 x14ac:dyDescent="0.4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 x14ac:dyDescent="0.4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 x14ac:dyDescent="0.4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 x14ac:dyDescent="0.4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 x14ac:dyDescent="0.4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 x14ac:dyDescent="0.4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 x14ac:dyDescent="0.4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 x14ac:dyDescent="0.4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 x14ac:dyDescent="0.4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 x14ac:dyDescent="0.4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 x14ac:dyDescent="0.4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 x14ac:dyDescent="0.4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 x14ac:dyDescent="0.4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 x14ac:dyDescent="0.4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 x14ac:dyDescent="0.4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 x14ac:dyDescent="0.4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 x14ac:dyDescent="0.4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 x14ac:dyDescent="0.4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 x14ac:dyDescent="0.4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 x14ac:dyDescent="0.4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 x14ac:dyDescent="0.4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 x14ac:dyDescent="0.4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 x14ac:dyDescent="0.4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 x14ac:dyDescent="0.4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 x14ac:dyDescent="0.4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 x14ac:dyDescent="0.4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 x14ac:dyDescent="0.4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 x14ac:dyDescent="0.4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 x14ac:dyDescent="0.4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 x14ac:dyDescent="0.4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 x14ac:dyDescent="0.4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 x14ac:dyDescent="0.4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 x14ac:dyDescent="0.4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 x14ac:dyDescent="0.4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 x14ac:dyDescent="0.4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 x14ac:dyDescent="0.4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 x14ac:dyDescent="0.4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 x14ac:dyDescent="0.4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 x14ac:dyDescent="0.4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 x14ac:dyDescent="0.4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 x14ac:dyDescent="0.4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 x14ac:dyDescent="0.4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 x14ac:dyDescent="0.4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 x14ac:dyDescent="0.4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 x14ac:dyDescent="0.4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 x14ac:dyDescent="0.4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 x14ac:dyDescent="0.4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 x14ac:dyDescent="0.4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 x14ac:dyDescent="0.4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 x14ac:dyDescent="0.4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 x14ac:dyDescent="0.4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 x14ac:dyDescent="0.4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 x14ac:dyDescent="0.4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 x14ac:dyDescent="0.4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 x14ac:dyDescent="0.4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 x14ac:dyDescent="0.4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 x14ac:dyDescent="0.4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 x14ac:dyDescent="0.4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 x14ac:dyDescent="0.4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 x14ac:dyDescent="0.4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 x14ac:dyDescent="0.4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 x14ac:dyDescent="0.4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 x14ac:dyDescent="0.4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 x14ac:dyDescent="0.4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 x14ac:dyDescent="0.4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 x14ac:dyDescent="0.4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 x14ac:dyDescent="0.4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 x14ac:dyDescent="0.4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 x14ac:dyDescent="0.4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 x14ac:dyDescent="0.4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 x14ac:dyDescent="0.4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 x14ac:dyDescent="0.4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 x14ac:dyDescent="0.4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 x14ac:dyDescent="0.4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 x14ac:dyDescent="0.4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 x14ac:dyDescent="0.4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 x14ac:dyDescent="0.4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 x14ac:dyDescent="0.4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 x14ac:dyDescent="0.4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 x14ac:dyDescent="0.4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 x14ac:dyDescent="0.4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 x14ac:dyDescent="0.4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 x14ac:dyDescent="0.4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 x14ac:dyDescent="0.4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 x14ac:dyDescent="0.4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 x14ac:dyDescent="0.4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 x14ac:dyDescent="0.4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 x14ac:dyDescent="0.4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 x14ac:dyDescent="0.4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 x14ac:dyDescent="0.4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 x14ac:dyDescent="0.4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 x14ac:dyDescent="0.4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 x14ac:dyDescent="0.4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 x14ac:dyDescent="0.4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 x14ac:dyDescent="0.4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 x14ac:dyDescent="0.4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 x14ac:dyDescent="0.4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 x14ac:dyDescent="0.4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 x14ac:dyDescent="0.4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 x14ac:dyDescent="0.4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 x14ac:dyDescent="0.4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 x14ac:dyDescent="0.4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 x14ac:dyDescent="0.4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 x14ac:dyDescent="0.4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 x14ac:dyDescent="0.4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 x14ac:dyDescent="0.4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 x14ac:dyDescent="0.4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 x14ac:dyDescent="0.4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 x14ac:dyDescent="0.4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 x14ac:dyDescent="0.4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 x14ac:dyDescent="0.4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 x14ac:dyDescent="0.4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 x14ac:dyDescent="0.4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 x14ac:dyDescent="0.4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 x14ac:dyDescent="0.4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 x14ac:dyDescent="0.4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 x14ac:dyDescent="0.4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 x14ac:dyDescent="0.4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 x14ac:dyDescent="0.4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 x14ac:dyDescent="0.4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 x14ac:dyDescent="0.4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 x14ac:dyDescent="0.4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 x14ac:dyDescent="0.4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 x14ac:dyDescent="0.4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 x14ac:dyDescent="0.4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 x14ac:dyDescent="0.4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 x14ac:dyDescent="0.4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 x14ac:dyDescent="0.4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 x14ac:dyDescent="0.4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 x14ac:dyDescent="0.4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 x14ac:dyDescent="0.4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 x14ac:dyDescent="0.4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 x14ac:dyDescent="0.4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 x14ac:dyDescent="0.4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 x14ac:dyDescent="0.4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 x14ac:dyDescent="0.4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 x14ac:dyDescent="0.4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 x14ac:dyDescent="0.4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 x14ac:dyDescent="0.4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 x14ac:dyDescent="0.4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 x14ac:dyDescent="0.4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 x14ac:dyDescent="0.4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 x14ac:dyDescent="0.4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 x14ac:dyDescent="0.4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 x14ac:dyDescent="0.4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 x14ac:dyDescent="0.4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 x14ac:dyDescent="0.4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 x14ac:dyDescent="0.4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 x14ac:dyDescent="0.4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 x14ac:dyDescent="0.4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 x14ac:dyDescent="0.4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 x14ac:dyDescent="0.4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 x14ac:dyDescent="0.4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 x14ac:dyDescent="0.4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 x14ac:dyDescent="0.4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 x14ac:dyDescent="0.4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 x14ac:dyDescent="0.4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 x14ac:dyDescent="0.4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 x14ac:dyDescent="0.4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 x14ac:dyDescent="0.4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 x14ac:dyDescent="0.4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 x14ac:dyDescent="0.4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 x14ac:dyDescent="0.4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 x14ac:dyDescent="0.4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 x14ac:dyDescent="0.4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 x14ac:dyDescent="0.4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 x14ac:dyDescent="0.4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 x14ac:dyDescent="0.4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 x14ac:dyDescent="0.4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 x14ac:dyDescent="0.4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 x14ac:dyDescent="0.4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 x14ac:dyDescent="0.4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 x14ac:dyDescent="0.4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 x14ac:dyDescent="0.4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 x14ac:dyDescent="0.4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 x14ac:dyDescent="0.4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 x14ac:dyDescent="0.4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 x14ac:dyDescent="0.4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 x14ac:dyDescent="0.4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 x14ac:dyDescent="0.4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 x14ac:dyDescent="0.4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 x14ac:dyDescent="0.4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 x14ac:dyDescent="0.4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 x14ac:dyDescent="0.4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 x14ac:dyDescent="0.4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 x14ac:dyDescent="0.4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 x14ac:dyDescent="0.4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 x14ac:dyDescent="0.4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35" priority="1" stopIfTrue="1" operator="lessThanOrEqual">
      <formula>-0.1</formula>
    </cfRule>
    <cfRule type="expression" dxfId="34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2.75" x14ac:dyDescent="0.35"/>
  <cols>
    <col min="1" max="1" width="35.86328125" bestFit="1" customWidth="1"/>
    <col min="2" max="2" width="8.398437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</cols>
  <sheetData>
    <row r="1" spans="1:9" ht="19.5" customHeight="1" x14ac:dyDescent="0.35">
      <c r="A1" s="54" t="str" cm="1">
        <f t="array" ref="A1">portfolio</f>
        <v>Pearson Venture Investments LLC</v>
      </c>
      <c r="B1" s="54"/>
      <c r="C1" s="54"/>
      <c r="D1" s="55" t="s">
        <v>10</v>
      </c>
      <c r="E1" s="55"/>
      <c r="F1" s="55"/>
      <c r="G1" s="53" t="s">
        <v>11</v>
      </c>
      <c r="H1" s="53"/>
      <c r="I1" s="53"/>
    </row>
    <row r="2" spans="1:9" ht="19.5" customHeight="1" x14ac:dyDescent="0.35">
      <c r="A2" s="56" t="s">
        <v>2</v>
      </c>
      <c r="B2" s="56"/>
      <c r="C2" s="5">
        <f>SUM(C4:C79)</f>
        <v>16384</v>
      </c>
      <c r="D2" s="5">
        <f>SUM(D4:D79)</f>
        <v>28624</v>
      </c>
      <c r="E2" s="5">
        <f>C2-D2</f>
        <v>-12240</v>
      </c>
      <c r="F2" s="6">
        <f>IFERROR(E2/D2, 0)</f>
        <v>-0.4276131917272219</v>
      </c>
      <c r="G2" s="5">
        <f>SUM(G4:G79)</f>
        <v>0</v>
      </c>
      <c r="H2" s="7">
        <f>C2-G2</f>
        <v>16384</v>
      </c>
      <c r="I2" s="6">
        <f>IFERROR(H2/G2, 0)</f>
        <v>0</v>
      </c>
    </row>
    <row r="3" spans="1:9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 x14ac:dyDescent="0.35">
      <c r="A4" s="44" t="str" cm="1">
        <f t="array" ref="A4">Sites[Site]</f>
        <v>Pearson Venture Investments LLC</v>
      </c>
      <c r="B4" s="9" t="str" cm="1">
        <f t="array" ref="B4">Sites[State]</f>
        <v>MA</v>
      </c>
      <c r="C4" s="23">
        <f>SUM(Jan!C4, Feb!C4, Mar!C4)</f>
        <v>16384</v>
      </c>
      <c r="D4" s="12">
        <f>SUM(Jan!D4, Feb!D4, Mar!D4)</f>
        <v>28624</v>
      </c>
      <c r="E4" s="12">
        <f>IF(AND(ISNUMBER(C4),ISNUMBER(D4)), C4-D4, "")</f>
        <v>-12240</v>
      </c>
      <c r="F4" s="13">
        <f>IFERROR(E4/D4, "")</f>
        <v>-0.4276131917272219</v>
      </c>
      <c r="G4" s="14">
        <f>SUM(Jan!G4, Feb!G4, Mar!G4)</f>
        <v>0</v>
      </c>
      <c r="H4" s="14">
        <f>SUM(Jan!H4, Feb!H4, Mar!H4)</f>
        <v>16384</v>
      </c>
      <c r="I4" s="15" t="str">
        <f>IFERROR(H4/G4, "")</f>
        <v/>
      </c>
    </row>
    <row r="5" spans="1:9" ht="14.25" x14ac:dyDescent="0.4">
      <c r="A5" s="20"/>
      <c r="B5" s="10"/>
      <c r="C5" s="20"/>
      <c r="D5" s="20"/>
      <c r="E5" s="20"/>
      <c r="F5" s="20"/>
      <c r="G5" s="20"/>
      <c r="H5" s="20"/>
      <c r="I5" s="20"/>
    </row>
    <row r="6" spans="1:9" ht="13.15" x14ac:dyDescent="0.4">
      <c r="A6" s="20"/>
      <c r="B6" s="20"/>
      <c r="C6" s="20"/>
      <c r="D6" s="20"/>
      <c r="E6" s="20"/>
      <c r="F6" s="20"/>
      <c r="G6" s="20"/>
      <c r="H6" s="20"/>
      <c r="I6" s="20"/>
    </row>
    <row r="7" spans="1:9" ht="13.15" x14ac:dyDescent="0.4">
      <c r="A7" s="20"/>
      <c r="B7" s="20"/>
      <c r="C7" s="20"/>
      <c r="D7" s="20"/>
      <c r="E7" s="20"/>
      <c r="F7" s="20"/>
      <c r="G7" s="20"/>
      <c r="H7" s="20"/>
      <c r="I7" s="20"/>
    </row>
    <row r="8" spans="1:9" ht="13.15" x14ac:dyDescent="0.4">
      <c r="A8" s="20"/>
      <c r="B8" s="20"/>
      <c r="C8" s="20"/>
      <c r="D8" s="20"/>
      <c r="E8" s="20"/>
      <c r="F8" s="20"/>
      <c r="G8" s="20"/>
      <c r="H8" s="20"/>
      <c r="I8" s="20"/>
    </row>
    <row r="9" spans="1:9" ht="13.15" x14ac:dyDescent="0.4">
      <c r="A9" s="20"/>
      <c r="B9" s="20"/>
      <c r="C9" s="20"/>
      <c r="D9" s="20"/>
      <c r="E9" s="20"/>
      <c r="F9" s="20"/>
      <c r="G9" s="20"/>
      <c r="H9" s="20"/>
      <c r="I9" s="20"/>
    </row>
    <row r="10" spans="1:9" ht="13.15" x14ac:dyDescent="0.4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 x14ac:dyDescent="0.4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 x14ac:dyDescent="0.4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 x14ac:dyDescent="0.4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 x14ac:dyDescent="0.4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 x14ac:dyDescent="0.4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 x14ac:dyDescent="0.4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 x14ac:dyDescent="0.4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 x14ac:dyDescent="0.4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 x14ac:dyDescent="0.4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 x14ac:dyDescent="0.4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 x14ac:dyDescent="0.4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 x14ac:dyDescent="0.4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 x14ac:dyDescent="0.4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 x14ac:dyDescent="0.4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 x14ac:dyDescent="0.4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 x14ac:dyDescent="0.4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 x14ac:dyDescent="0.4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 x14ac:dyDescent="0.4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 x14ac:dyDescent="0.4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 x14ac:dyDescent="0.4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 x14ac:dyDescent="0.4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 x14ac:dyDescent="0.4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 x14ac:dyDescent="0.4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 x14ac:dyDescent="0.4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 x14ac:dyDescent="0.4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 x14ac:dyDescent="0.4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 x14ac:dyDescent="0.4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 x14ac:dyDescent="0.4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 x14ac:dyDescent="0.4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 x14ac:dyDescent="0.4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 x14ac:dyDescent="0.4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 x14ac:dyDescent="0.4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 x14ac:dyDescent="0.4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 x14ac:dyDescent="0.4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 x14ac:dyDescent="0.4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 x14ac:dyDescent="0.4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 x14ac:dyDescent="0.4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 x14ac:dyDescent="0.4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 x14ac:dyDescent="0.4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 x14ac:dyDescent="0.4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 x14ac:dyDescent="0.4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 x14ac:dyDescent="0.4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 x14ac:dyDescent="0.4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 x14ac:dyDescent="0.4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 x14ac:dyDescent="0.4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 x14ac:dyDescent="0.4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 x14ac:dyDescent="0.4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 x14ac:dyDescent="0.4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 x14ac:dyDescent="0.4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 x14ac:dyDescent="0.4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 x14ac:dyDescent="0.4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 x14ac:dyDescent="0.4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 x14ac:dyDescent="0.4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 x14ac:dyDescent="0.4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 x14ac:dyDescent="0.4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 x14ac:dyDescent="0.4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 x14ac:dyDescent="0.4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 x14ac:dyDescent="0.4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 x14ac:dyDescent="0.4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 x14ac:dyDescent="0.4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 x14ac:dyDescent="0.4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 x14ac:dyDescent="0.4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 x14ac:dyDescent="0.4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 x14ac:dyDescent="0.4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 x14ac:dyDescent="0.4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 x14ac:dyDescent="0.4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 x14ac:dyDescent="0.4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 x14ac:dyDescent="0.4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 x14ac:dyDescent="0.4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 x14ac:dyDescent="0.4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 x14ac:dyDescent="0.4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 x14ac:dyDescent="0.4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 x14ac:dyDescent="0.4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 x14ac:dyDescent="0.4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 x14ac:dyDescent="0.4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 x14ac:dyDescent="0.4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 x14ac:dyDescent="0.4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 x14ac:dyDescent="0.4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 x14ac:dyDescent="0.4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 x14ac:dyDescent="0.4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 x14ac:dyDescent="0.4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 x14ac:dyDescent="0.4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 x14ac:dyDescent="0.4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 x14ac:dyDescent="0.4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 x14ac:dyDescent="0.4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 x14ac:dyDescent="0.4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 x14ac:dyDescent="0.4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 x14ac:dyDescent="0.4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 x14ac:dyDescent="0.4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 x14ac:dyDescent="0.4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 x14ac:dyDescent="0.4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 x14ac:dyDescent="0.4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 x14ac:dyDescent="0.4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 x14ac:dyDescent="0.4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 x14ac:dyDescent="0.4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 x14ac:dyDescent="0.4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 x14ac:dyDescent="0.4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 x14ac:dyDescent="0.4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 x14ac:dyDescent="0.4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 x14ac:dyDescent="0.4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 x14ac:dyDescent="0.4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 x14ac:dyDescent="0.4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 x14ac:dyDescent="0.4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 x14ac:dyDescent="0.4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 x14ac:dyDescent="0.4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 x14ac:dyDescent="0.4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 x14ac:dyDescent="0.4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 x14ac:dyDescent="0.4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 x14ac:dyDescent="0.4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 x14ac:dyDescent="0.4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 x14ac:dyDescent="0.4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 x14ac:dyDescent="0.4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 x14ac:dyDescent="0.4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 x14ac:dyDescent="0.4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 x14ac:dyDescent="0.4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 x14ac:dyDescent="0.4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 x14ac:dyDescent="0.4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 x14ac:dyDescent="0.4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 x14ac:dyDescent="0.4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 x14ac:dyDescent="0.4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 x14ac:dyDescent="0.4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 x14ac:dyDescent="0.4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 x14ac:dyDescent="0.4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 x14ac:dyDescent="0.4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 x14ac:dyDescent="0.4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 x14ac:dyDescent="0.4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 x14ac:dyDescent="0.4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 x14ac:dyDescent="0.4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 x14ac:dyDescent="0.4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 x14ac:dyDescent="0.4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 x14ac:dyDescent="0.4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 x14ac:dyDescent="0.4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 x14ac:dyDescent="0.4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 x14ac:dyDescent="0.4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 x14ac:dyDescent="0.4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 x14ac:dyDescent="0.4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 x14ac:dyDescent="0.4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 x14ac:dyDescent="0.4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 x14ac:dyDescent="0.4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 x14ac:dyDescent="0.4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 x14ac:dyDescent="0.4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 x14ac:dyDescent="0.4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 x14ac:dyDescent="0.4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 x14ac:dyDescent="0.4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 x14ac:dyDescent="0.4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 x14ac:dyDescent="0.4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 x14ac:dyDescent="0.4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 x14ac:dyDescent="0.4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 x14ac:dyDescent="0.4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 x14ac:dyDescent="0.4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 x14ac:dyDescent="0.4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 x14ac:dyDescent="0.4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 x14ac:dyDescent="0.4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 x14ac:dyDescent="0.4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 x14ac:dyDescent="0.4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 x14ac:dyDescent="0.4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 x14ac:dyDescent="0.4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 x14ac:dyDescent="0.4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 x14ac:dyDescent="0.4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 x14ac:dyDescent="0.4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 x14ac:dyDescent="0.4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 x14ac:dyDescent="0.4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 x14ac:dyDescent="0.4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 x14ac:dyDescent="0.4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 x14ac:dyDescent="0.4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 x14ac:dyDescent="0.4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 x14ac:dyDescent="0.4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 x14ac:dyDescent="0.4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 x14ac:dyDescent="0.4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 x14ac:dyDescent="0.4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 x14ac:dyDescent="0.4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 x14ac:dyDescent="0.4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 x14ac:dyDescent="0.4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 x14ac:dyDescent="0.4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 x14ac:dyDescent="0.4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 x14ac:dyDescent="0.4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 x14ac:dyDescent="0.4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 x14ac:dyDescent="0.4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 x14ac:dyDescent="0.4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 x14ac:dyDescent="0.4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 x14ac:dyDescent="0.4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 x14ac:dyDescent="0.4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 x14ac:dyDescent="0.4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 x14ac:dyDescent="0.4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 x14ac:dyDescent="0.4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 x14ac:dyDescent="0.4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 x14ac:dyDescent="0.4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 x14ac:dyDescent="0.4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 x14ac:dyDescent="0.4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 x14ac:dyDescent="0.4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 x14ac:dyDescent="0.4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 x14ac:dyDescent="0.4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 x14ac:dyDescent="0.4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 x14ac:dyDescent="0.4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 x14ac:dyDescent="0.4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 x14ac:dyDescent="0.4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 x14ac:dyDescent="0.4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 x14ac:dyDescent="0.4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 x14ac:dyDescent="0.4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 x14ac:dyDescent="0.4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 x14ac:dyDescent="0.4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 x14ac:dyDescent="0.4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 x14ac:dyDescent="0.4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 x14ac:dyDescent="0.4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 x14ac:dyDescent="0.4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 x14ac:dyDescent="0.4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 x14ac:dyDescent="0.4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 x14ac:dyDescent="0.4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 x14ac:dyDescent="0.4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 x14ac:dyDescent="0.4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 x14ac:dyDescent="0.4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 x14ac:dyDescent="0.4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 x14ac:dyDescent="0.4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 x14ac:dyDescent="0.4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 x14ac:dyDescent="0.4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 x14ac:dyDescent="0.4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 x14ac:dyDescent="0.4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 x14ac:dyDescent="0.4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 x14ac:dyDescent="0.4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 x14ac:dyDescent="0.4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 x14ac:dyDescent="0.4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 x14ac:dyDescent="0.4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 x14ac:dyDescent="0.4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 x14ac:dyDescent="0.4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 x14ac:dyDescent="0.4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 x14ac:dyDescent="0.4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 x14ac:dyDescent="0.4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 x14ac:dyDescent="0.4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 x14ac:dyDescent="0.4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 x14ac:dyDescent="0.4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 x14ac:dyDescent="0.4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 x14ac:dyDescent="0.4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 x14ac:dyDescent="0.4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 x14ac:dyDescent="0.4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 x14ac:dyDescent="0.4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 x14ac:dyDescent="0.4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 x14ac:dyDescent="0.4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 x14ac:dyDescent="0.4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 x14ac:dyDescent="0.4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 x14ac:dyDescent="0.4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 x14ac:dyDescent="0.4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 x14ac:dyDescent="0.4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 x14ac:dyDescent="0.4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 x14ac:dyDescent="0.4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 x14ac:dyDescent="0.4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 x14ac:dyDescent="0.4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 x14ac:dyDescent="0.4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 x14ac:dyDescent="0.4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 x14ac:dyDescent="0.4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 x14ac:dyDescent="0.4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 x14ac:dyDescent="0.4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 x14ac:dyDescent="0.4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 x14ac:dyDescent="0.4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 x14ac:dyDescent="0.4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 x14ac:dyDescent="0.4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 x14ac:dyDescent="0.4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 x14ac:dyDescent="0.4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 x14ac:dyDescent="0.4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 x14ac:dyDescent="0.4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 x14ac:dyDescent="0.4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 x14ac:dyDescent="0.4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 x14ac:dyDescent="0.4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 x14ac:dyDescent="0.4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 x14ac:dyDescent="0.4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 x14ac:dyDescent="0.4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 x14ac:dyDescent="0.4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 x14ac:dyDescent="0.4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 x14ac:dyDescent="0.4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 x14ac:dyDescent="0.4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 x14ac:dyDescent="0.4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 x14ac:dyDescent="0.4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 x14ac:dyDescent="0.4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 x14ac:dyDescent="0.4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 x14ac:dyDescent="0.4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 x14ac:dyDescent="0.4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 x14ac:dyDescent="0.4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 x14ac:dyDescent="0.4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 x14ac:dyDescent="0.4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 x14ac:dyDescent="0.4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 x14ac:dyDescent="0.4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 x14ac:dyDescent="0.4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 x14ac:dyDescent="0.4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 x14ac:dyDescent="0.4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 x14ac:dyDescent="0.4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 x14ac:dyDescent="0.4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 x14ac:dyDescent="0.4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 x14ac:dyDescent="0.4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 x14ac:dyDescent="0.4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 x14ac:dyDescent="0.4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 x14ac:dyDescent="0.4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 x14ac:dyDescent="0.4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 x14ac:dyDescent="0.4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 x14ac:dyDescent="0.4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 x14ac:dyDescent="0.4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 x14ac:dyDescent="0.4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 x14ac:dyDescent="0.4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 x14ac:dyDescent="0.4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 x14ac:dyDescent="0.4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 x14ac:dyDescent="0.4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 x14ac:dyDescent="0.4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 x14ac:dyDescent="0.4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 x14ac:dyDescent="0.4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 x14ac:dyDescent="0.4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 x14ac:dyDescent="0.4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 x14ac:dyDescent="0.4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 x14ac:dyDescent="0.4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 x14ac:dyDescent="0.4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 x14ac:dyDescent="0.4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 x14ac:dyDescent="0.4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 x14ac:dyDescent="0.4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 x14ac:dyDescent="0.4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3" priority="1" stopIfTrue="1" operator="lessThanOrEqual">
      <formula>-0.1</formula>
    </cfRule>
    <cfRule type="expression" dxfId="32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2.75" x14ac:dyDescent="0.35"/>
  <cols>
    <col min="1" max="1" width="35.86328125" bestFit="1" customWidth="1"/>
    <col min="2" max="2" width="8.398437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</cols>
  <sheetData>
    <row r="1" spans="1:9" ht="19.5" customHeight="1" x14ac:dyDescent="0.35">
      <c r="A1" s="54" t="str" cm="1">
        <f t="array" ref="A1">portfolio</f>
        <v>Pearson Venture Investments LLC</v>
      </c>
      <c r="B1" s="54"/>
      <c r="C1" s="54"/>
      <c r="D1" s="55" t="s">
        <v>12</v>
      </c>
      <c r="E1" s="55"/>
      <c r="F1" s="55"/>
      <c r="G1" s="53" t="s">
        <v>13</v>
      </c>
      <c r="H1" s="53"/>
      <c r="I1" s="53"/>
    </row>
    <row r="2" spans="1:9" ht="19.5" customHeight="1" x14ac:dyDescent="0.35">
      <c r="A2" s="56" t="s">
        <v>2</v>
      </c>
      <c r="B2" s="56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 x14ac:dyDescent="0.35">
      <c r="A4" s="44" t="str" cm="1">
        <f t="array" ref="A4">Sites[Site]</f>
        <v>Pearson Venture Investments LLC</v>
      </c>
      <c r="B4" s="9" t="str" cm="1">
        <f t="array" ref="B4">Sites[State]</f>
        <v>MA</v>
      </c>
      <c r="C4" s="23">
        <f>SUM(Apr!C4, May!C4, Jun!C4)</f>
        <v>0</v>
      </c>
      <c r="D4" s="12">
        <f>SUM(Apr!D4, May!D4, Jun!D4)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SUM(Apr!H4, May!H4, Jun!H4)</f>
        <v>0</v>
      </c>
      <c r="I4" s="15" t="str">
        <f>IFERROR(H4/G4, "")</f>
        <v/>
      </c>
    </row>
    <row r="5" spans="1:9" ht="13.15" x14ac:dyDescent="0.4">
      <c r="A5" s="20"/>
      <c r="B5" s="20"/>
      <c r="C5" s="20"/>
      <c r="D5" s="20"/>
      <c r="E5" s="20"/>
      <c r="F5" s="20"/>
      <c r="G5" s="20"/>
      <c r="H5" s="20"/>
      <c r="I5" s="20"/>
    </row>
    <row r="6" spans="1:9" ht="13.15" x14ac:dyDescent="0.4">
      <c r="A6" s="20"/>
      <c r="B6" s="20"/>
      <c r="C6" s="20"/>
      <c r="D6" s="20"/>
      <c r="E6" s="20"/>
      <c r="F6" s="20"/>
      <c r="G6" s="20"/>
      <c r="H6" s="20"/>
      <c r="I6" s="20"/>
    </row>
    <row r="7" spans="1:9" ht="13.15" x14ac:dyDescent="0.4">
      <c r="A7" s="20"/>
      <c r="B7" s="20"/>
      <c r="C7" s="20"/>
      <c r="D7" s="20"/>
      <c r="E7" s="20"/>
      <c r="F7" s="20"/>
      <c r="G7" s="20"/>
      <c r="H7" s="20"/>
      <c r="I7" s="20"/>
    </row>
    <row r="8" spans="1:9" ht="13.15" x14ac:dyDescent="0.4">
      <c r="A8" s="20"/>
      <c r="B8" s="20"/>
      <c r="C8" s="20"/>
      <c r="D8" s="20"/>
      <c r="E8" s="20"/>
      <c r="F8" s="20"/>
      <c r="G8" s="20"/>
      <c r="H8" s="20"/>
      <c r="I8" s="20"/>
    </row>
    <row r="9" spans="1:9" ht="13.15" x14ac:dyDescent="0.4">
      <c r="A9" s="20"/>
      <c r="B9" s="20"/>
      <c r="C9" s="20"/>
      <c r="D9" s="20"/>
      <c r="E9" s="20"/>
      <c r="F9" s="20"/>
      <c r="G9" s="20"/>
      <c r="H9" s="20"/>
      <c r="I9" s="20"/>
    </row>
    <row r="10" spans="1:9" ht="13.15" x14ac:dyDescent="0.4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 x14ac:dyDescent="0.4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 x14ac:dyDescent="0.4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 x14ac:dyDescent="0.4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 x14ac:dyDescent="0.4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 x14ac:dyDescent="0.4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 x14ac:dyDescent="0.4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 x14ac:dyDescent="0.4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 x14ac:dyDescent="0.4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 x14ac:dyDescent="0.4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 x14ac:dyDescent="0.4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 x14ac:dyDescent="0.4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 x14ac:dyDescent="0.4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 x14ac:dyDescent="0.4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 x14ac:dyDescent="0.4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 x14ac:dyDescent="0.4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 x14ac:dyDescent="0.4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 x14ac:dyDescent="0.4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 x14ac:dyDescent="0.4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 x14ac:dyDescent="0.4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 x14ac:dyDescent="0.4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 x14ac:dyDescent="0.4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 x14ac:dyDescent="0.4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 x14ac:dyDescent="0.4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 x14ac:dyDescent="0.4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 x14ac:dyDescent="0.4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 x14ac:dyDescent="0.4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 x14ac:dyDescent="0.4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 x14ac:dyDescent="0.4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 x14ac:dyDescent="0.4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 x14ac:dyDescent="0.4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 x14ac:dyDescent="0.4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 x14ac:dyDescent="0.4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 x14ac:dyDescent="0.4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 x14ac:dyDescent="0.4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 x14ac:dyDescent="0.4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 x14ac:dyDescent="0.4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 x14ac:dyDescent="0.4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 x14ac:dyDescent="0.4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 x14ac:dyDescent="0.4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 x14ac:dyDescent="0.4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 x14ac:dyDescent="0.4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 x14ac:dyDescent="0.4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 x14ac:dyDescent="0.4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 x14ac:dyDescent="0.4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 x14ac:dyDescent="0.4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 x14ac:dyDescent="0.4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 x14ac:dyDescent="0.4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 x14ac:dyDescent="0.4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 x14ac:dyDescent="0.4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 x14ac:dyDescent="0.4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 x14ac:dyDescent="0.4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 x14ac:dyDescent="0.4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 x14ac:dyDescent="0.4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 x14ac:dyDescent="0.4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 x14ac:dyDescent="0.4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 x14ac:dyDescent="0.4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 x14ac:dyDescent="0.4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 x14ac:dyDescent="0.4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 x14ac:dyDescent="0.4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 x14ac:dyDescent="0.4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 x14ac:dyDescent="0.4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 x14ac:dyDescent="0.4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 x14ac:dyDescent="0.4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 x14ac:dyDescent="0.4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 x14ac:dyDescent="0.4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 x14ac:dyDescent="0.4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 x14ac:dyDescent="0.4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 x14ac:dyDescent="0.4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 x14ac:dyDescent="0.4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 x14ac:dyDescent="0.4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 x14ac:dyDescent="0.4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 x14ac:dyDescent="0.4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 x14ac:dyDescent="0.4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 x14ac:dyDescent="0.4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 x14ac:dyDescent="0.4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 x14ac:dyDescent="0.4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 x14ac:dyDescent="0.4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 x14ac:dyDescent="0.4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 x14ac:dyDescent="0.4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 x14ac:dyDescent="0.4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 x14ac:dyDescent="0.4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 x14ac:dyDescent="0.4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 x14ac:dyDescent="0.4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 x14ac:dyDescent="0.4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 x14ac:dyDescent="0.4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 x14ac:dyDescent="0.4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 x14ac:dyDescent="0.4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 x14ac:dyDescent="0.4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 x14ac:dyDescent="0.4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 x14ac:dyDescent="0.4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 x14ac:dyDescent="0.4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 x14ac:dyDescent="0.4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 x14ac:dyDescent="0.4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 x14ac:dyDescent="0.4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 x14ac:dyDescent="0.4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 x14ac:dyDescent="0.4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 x14ac:dyDescent="0.4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 x14ac:dyDescent="0.4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 x14ac:dyDescent="0.4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 x14ac:dyDescent="0.4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 x14ac:dyDescent="0.4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 x14ac:dyDescent="0.4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 x14ac:dyDescent="0.4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 x14ac:dyDescent="0.4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 x14ac:dyDescent="0.4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 x14ac:dyDescent="0.4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 x14ac:dyDescent="0.4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 x14ac:dyDescent="0.4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 x14ac:dyDescent="0.4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 x14ac:dyDescent="0.4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 x14ac:dyDescent="0.4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 x14ac:dyDescent="0.4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 x14ac:dyDescent="0.4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 x14ac:dyDescent="0.4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 x14ac:dyDescent="0.4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 x14ac:dyDescent="0.4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 x14ac:dyDescent="0.4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 x14ac:dyDescent="0.4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 x14ac:dyDescent="0.4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 x14ac:dyDescent="0.4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 x14ac:dyDescent="0.4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 x14ac:dyDescent="0.4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 x14ac:dyDescent="0.4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 x14ac:dyDescent="0.4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 x14ac:dyDescent="0.4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 x14ac:dyDescent="0.4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 x14ac:dyDescent="0.4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 x14ac:dyDescent="0.4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 x14ac:dyDescent="0.4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 x14ac:dyDescent="0.4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 x14ac:dyDescent="0.4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 x14ac:dyDescent="0.4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 x14ac:dyDescent="0.4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 x14ac:dyDescent="0.4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 x14ac:dyDescent="0.4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 x14ac:dyDescent="0.4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 x14ac:dyDescent="0.4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 x14ac:dyDescent="0.4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 x14ac:dyDescent="0.4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 x14ac:dyDescent="0.4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 x14ac:dyDescent="0.4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 x14ac:dyDescent="0.4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 x14ac:dyDescent="0.4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 x14ac:dyDescent="0.4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 x14ac:dyDescent="0.4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 x14ac:dyDescent="0.4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 x14ac:dyDescent="0.4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 x14ac:dyDescent="0.4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 x14ac:dyDescent="0.4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 x14ac:dyDescent="0.4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 x14ac:dyDescent="0.4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 x14ac:dyDescent="0.4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 x14ac:dyDescent="0.4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 x14ac:dyDescent="0.4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 x14ac:dyDescent="0.4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 x14ac:dyDescent="0.4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 x14ac:dyDescent="0.4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 x14ac:dyDescent="0.4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 x14ac:dyDescent="0.4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 x14ac:dyDescent="0.4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 x14ac:dyDescent="0.4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 x14ac:dyDescent="0.4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 x14ac:dyDescent="0.4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 x14ac:dyDescent="0.4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 x14ac:dyDescent="0.4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 x14ac:dyDescent="0.4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 x14ac:dyDescent="0.4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 x14ac:dyDescent="0.4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 x14ac:dyDescent="0.4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 x14ac:dyDescent="0.4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 x14ac:dyDescent="0.4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 x14ac:dyDescent="0.4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 x14ac:dyDescent="0.4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 x14ac:dyDescent="0.4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 x14ac:dyDescent="0.4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 x14ac:dyDescent="0.4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 x14ac:dyDescent="0.4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 x14ac:dyDescent="0.4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 x14ac:dyDescent="0.4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 x14ac:dyDescent="0.4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 x14ac:dyDescent="0.4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 x14ac:dyDescent="0.4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 x14ac:dyDescent="0.4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 x14ac:dyDescent="0.4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 x14ac:dyDescent="0.4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 x14ac:dyDescent="0.4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 x14ac:dyDescent="0.4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 x14ac:dyDescent="0.4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 x14ac:dyDescent="0.4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 x14ac:dyDescent="0.4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 x14ac:dyDescent="0.4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 x14ac:dyDescent="0.4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 x14ac:dyDescent="0.4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 x14ac:dyDescent="0.4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 x14ac:dyDescent="0.4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 x14ac:dyDescent="0.4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 x14ac:dyDescent="0.4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 x14ac:dyDescent="0.4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 x14ac:dyDescent="0.4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 x14ac:dyDescent="0.4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 x14ac:dyDescent="0.4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 x14ac:dyDescent="0.4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 x14ac:dyDescent="0.4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 x14ac:dyDescent="0.4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 x14ac:dyDescent="0.4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 x14ac:dyDescent="0.4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 x14ac:dyDescent="0.4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 x14ac:dyDescent="0.4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 x14ac:dyDescent="0.4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 x14ac:dyDescent="0.4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 x14ac:dyDescent="0.4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 x14ac:dyDescent="0.4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 x14ac:dyDescent="0.4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 x14ac:dyDescent="0.4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 x14ac:dyDescent="0.4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 x14ac:dyDescent="0.4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 x14ac:dyDescent="0.4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 x14ac:dyDescent="0.4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 x14ac:dyDescent="0.4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 x14ac:dyDescent="0.4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 x14ac:dyDescent="0.4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 x14ac:dyDescent="0.4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 x14ac:dyDescent="0.4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 x14ac:dyDescent="0.4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 x14ac:dyDescent="0.4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 x14ac:dyDescent="0.4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 x14ac:dyDescent="0.4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 x14ac:dyDescent="0.4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 x14ac:dyDescent="0.4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 x14ac:dyDescent="0.4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 x14ac:dyDescent="0.4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 x14ac:dyDescent="0.4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 x14ac:dyDescent="0.4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 x14ac:dyDescent="0.4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 x14ac:dyDescent="0.4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 x14ac:dyDescent="0.4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 x14ac:dyDescent="0.4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 x14ac:dyDescent="0.4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 x14ac:dyDescent="0.4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 x14ac:dyDescent="0.4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 x14ac:dyDescent="0.4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 x14ac:dyDescent="0.4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 x14ac:dyDescent="0.4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 x14ac:dyDescent="0.4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 x14ac:dyDescent="0.4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 x14ac:dyDescent="0.4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 x14ac:dyDescent="0.4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 x14ac:dyDescent="0.4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 x14ac:dyDescent="0.4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 x14ac:dyDescent="0.4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 x14ac:dyDescent="0.4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 x14ac:dyDescent="0.4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 x14ac:dyDescent="0.4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 x14ac:dyDescent="0.4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 x14ac:dyDescent="0.4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 x14ac:dyDescent="0.4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 x14ac:dyDescent="0.4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 x14ac:dyDescent="0.4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 x14ac:dyDescent="0.4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 x14ac:dyDescent="0.4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 x14ac:dyDescent="0.4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 x14ac:dyDescent="0.4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 x14ac:dyDescent="0.4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 x14ac:dyDescent="0.4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 x14ac:dyDescent="0.4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 x14ac:dyDescent="0.4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 x14ac:dyDescent="0.4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 x14ac:dyDescent="0.4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 x14ac:dyDescent="0.4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 x14ac:dyDescent="0.4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 x14ac:dyDescent="0.4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 x14ac:dyDescent="0.4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 x14ac:dyDescent="0.4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 x14ac:dyDescent="0.4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 x14ac:dyDescent="0.4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 x14ac:dyDescent="0.4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 x14ac:dyDescent="0.4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 x14ac:dyDescent="0.4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 x14ac:dyDescent="0.4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 x14ac:dyDescent="0.4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 x14ac:dyDescent="0.4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 x14ac:dyDescent="0.4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 x14ac:dyDescent="0.4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 x14ac:dyDescent="0.4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 x14ac:dyDescent="0.4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 x14ac:dyDescent="0.4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 x14ac:dyDescent="0.4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 x14ac:dyDescent="0.4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 x14ac:dyDescent="0.4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 x14ac:dyDescent="0.4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 x14ac:dyDescent="0.4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 x14ac:dyDescent="0.4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 x14ac:dyDescent="0.4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 x14ac:dyDescent="0.4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 x14ac:dyDescent="0.4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 x14ac:dyDescent="0.4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 x14ac:dyDescent="0.4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 x14ac:dyDescent="0.4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 x14ac:dyDescent="0.4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 x14ac:dyDescent="0.4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 x14ac:dyDescent="0.4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 x14ac:dyDescent="0.4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 x14ac:dyDescent="0.4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 x14ac:dyDescent="0.4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 x14ac:dyDescent="0.4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 x14ac:dyDescent="0.4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 x14ac:dyDescent="0.4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 x14ac:dyDescent="0.4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 x14ac:dyDescent="0.4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 x14ac:dyDescent="0.4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 x14ac:dyDescent="0.4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1" priority="1" stopIfTrue="1" operator="lessThanOrEqual">
      <formula>-0.1</formula>
    </cfRule>
    <cfRule type="expression" dxfId="3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2.75" x14ac:dyDescent="0.35"/>
  <cols>
    <col min="1" max="1" width="35.86328125" bestFit="1" customWidth="1"/>
    <col min="2" max="2" width="8.398437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</cols>
  <sheetData>
    <row r="1" spans="1:9" ht="19.5" customHeight="1" x14ac:dyDescent="0.35">
      <c r="A1" s="54" t="str" cm="1">
        <f t="array" ref="A1">portfolio</f>
        <v>Pearson Venture Investments LLC</v>
      </c>
      <c r="B1" s="54"/>
      <c r="C1" s="54"/>
      <c r="D1" s="55" t="s">
        <v>14</v>
      </c>
      <c r="E1" s="55"/>
      <c r="F1" s="55"/>
      <c r="G1" s="53" t="s">
        <v>15</v>
      </c>
      <c r="H1" s="53"/>
      <c r="I1" s="53"/>
    </row>
    <row r="2" spans="1:9" ht="19.5" customHeight="1" x14ac:dyDescent="0.35">
      <c r="A2" s="56" t="s">
        <v>2</v>
      </c>
      <c r="B2" s="56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 x14ac:dyDescent="0.35">
      <c r="A4" s="44" t="str" cm="1">
        <f t="array" ref="A4">Sites[Site]</f>
        <v>Pearson Venture Investments LLC</v>
      </c>
      <c r="B4" s="9" t="str" cm="1">
        <f t="array" ref="B4">Sites[State]</f>
        <v>MA</v>
      </c>
      <c r="C4" s="23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SUM(Jul!H4, Aug!H4, Sep!H4)</f>
        <v>0</v>
      </c>
      <c r="I4" s="15" t="str">
        <f>IFERROR(H4/G4, "")</f>
        <v/>
      </c>
    </row>
    <row r="5" spans="1:9" ht="15.75" x14ac:dyDescent="0.4">
      <c r="A5" s="16"/>
      <c r="B5" s="20"/>
      <c r="C5" s="20"/>
      <c r="D5" s="20"/>
      <c r="E5" s="20"/>
      <c r="F5" s="20"/>
      <c r="G5" s="20"/>
      <c r="H5" s="20"/>
      <c r="I5" s="20"/>
    </row>
    <row r="6" spans="1:9" ht="15.75" x14ac:dyDescent="0.4">
      <c r="A6" s="16"/>
      <c r="B6" s="20"/>
      <c r="C6" s="20"/>
      <c r="D6" s="20"/>
      <c r="E6" s="20"/>
      <c r="F6" s="20"/>
      <c r="G6" s="20"/>
      <c r="H6" s="20"/>
      <c r="I6" s="20"/>
    </row>
    <row r="7" spans="1:9" ht="15.75" x14ac:dyDescent="0.4">
      <c r="A7" s="16"/>
      <c r="B7" s="20"/>
      <c r="C7" s="20"/>
      <c r="D7" s="20"/>
      <c r="E7" s="20"/>
      <c r="F7" s="20"/>
      <c r="G7" s="20"/>
      <c r="H7" s="20"/>
      <c r="I7" s="20"/>
    </row>
    <row r="8" spans="1:9" ht="15.75" x14ac:dyDescent="0.4">
      <c r="A8" s="16"/>
      <c r="B8" s="20"/>
      <c r="C8" s="20"/>
      <c r="D8" s="20"/>
      <c r="E8" s="20"/>
      <c r="F8" s="20"/>
      <c r="G8" s="20"/>
      <c r="H8" s="20"/>
      <c r="I8" s="20"/>
    </row>
    <row r="9" spans="1:9" ht="15.75" x14ac:dyDescent="0.4">
      <c r="A9" s="16"/>
      <c r="B9" s="20"/>
      <c r="C9" s="20"/>
      <c r="D9" s="20"/>
      <c r="E9" s="20"/>
      <c r="F9" s="20"/>
      <c r="G9" s="20"/>
      <c r="H9" s="20"/>
      <c r="I9" s="20"/>
    </row>
    <row r="10" spans="1:9" ht="15.75" x14ac:dyDescent="0.4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15" x14ac:dyDescent="0.4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 x14ac:dyDescent="0.4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 x14ac:dyDescent="0.4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 x14ac:dyDescent="0.4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 x14ac:dyDescent="0.4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 x14ac:dyDescent="0.4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 x14ac:dyDescent="0.4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 x14ac:dyDescent="0.4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 x14ac:dyDescent="0.4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 x14ac:dyDescent="0.4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 x14ac:dyDescent="0.4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 x14ac:dyDescent="0.4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 x14ac:dyDescent="0.4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 x14ac:dyDescent="0.4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 x14ac:dyDescent="0.4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 x14ac:dyDescent="0.4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 x14ac:dyDescent="0.4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 x14ac:dyDescent="0.4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 x14ac:dyDescent="0.4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 x14ac:dyDescent="0.4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 x14ac:dyDescent="0.4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 x14ac:dyDescent="0.4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 x14ac:dyDescent="0.4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 x14ac:dyDescent="0.4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 x14ac:dyDescent="0.4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 x14ac:dyDescent="0.4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 x14ac:dyDescent="0.4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 x14ac:dyDescent="0.4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 x14ac:dyDescent="0.4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 x14ac:dyDescent="0.4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 x14ac:dyDescent="0.4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 x14ac:dyDescent="0.4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 x14ac:dyDescent="0.4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 x14ac:dyDescent="0.4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 x14ac:dyDescent="0.4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 x14ac:dyDescent="0.4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 x14ac:dyDescent="0.4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 x14ac:dyDescent="0.4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 x14ac:dyDescent="0.4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 x14ac:dyDescent="0.4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 x14ac:dyDescent="0.4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 x14ac:dyDescent="0.4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 x14ac:dyDescent="0.4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 x14ac:dyDescent="0.4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 x14ac:dyDescent="0.4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 x14ac:dyDescent="0.4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 x14ac:dyDescent="0.4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 x14ac:dyDescent="0.4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 x14ac:dyDescent="0.4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 x14ac:dyDescent="0.4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 x14ac:dyDescent="0.4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 x14ac:dyDescent="0.4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 x14ac:dyDescent="0.4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 x14ac:dyDescent="0.4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 x14ac:dyDescent="0.4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 x14ac:dyDescent="0.4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 x14ac:dyDescent="0.4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 x14ac:dyDescent="0.4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 x14ac:dyDescent="0.4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 x14ac:dyDescent="0.4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 x14ac:dyDescent="0.4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 x14ac:dyDescent="0.4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 x14ac:dyDescent="0.4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 x14ac:dyDescent="0.4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 x14ac:dyDescent="0.4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 x14ac:dyDescent="0.4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 x14ac:dyDescent="0.4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 x14ac:dyDescent="0.4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 x14ac:dyDescent="0.4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 x14ac:dyDescent="0.4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 x14ac:dyDescent="0.4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 x14ac:dyDescent="0.4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 x14ac:dyDescent="0.4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 x14ac:dyDescent="0.4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 x14ac:dyDescent="0.4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 x14ac:dyDescent="0.4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 x14ac:dyDescent="0.4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 x14ac:dyDescent="0.4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 x14ac:dyDescent="0.4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 x14ac:dyDescent="0.4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 x14ac:dyDescent="0.4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 x14ac:dyDescent="0.4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 x14ac:dyDescent="0.4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 x14ac:dyDescent="0.4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 x14ac:dyDescent="0.4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 x14ac:dyDescent="0.4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 x14ac:dyDescent="0.4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 x14ac:dyDescent="0.4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 x14ac:dyDescent="0.4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 x14ac:dyDescent="0.4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 x14ac:dyDescent="0.4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 x14ac:dyDescent="0.4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 x14ac:dyDescent="0.4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 x14ac:dyDescent="0.4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 x14ac:dyDescent="0.4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 x14ac:dyDescent="0.4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 x14ac:dyDescent="0.4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 x14ac:dyDescent="0.4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 x14ac:dyDescent="0.4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 x14ac:dyDescent="0.4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 x14ac:dyDescent="0.4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 x14ac:dyDescent="0.4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 x14ac:dyDescent="0.4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 x14ac:dyDescent="0.4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 x14ac:dyDescent="0.4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 x14ac:dyDescent="0.4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 x14ac:dyDescent="0.4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 x14ac:dyDescent="0.4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 x14ac:dyDescent="0.4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 x14ac:dyDescent="0.4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 x14ac:dyDescent="0.4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 x14ac:dyDescent="0.4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 x14ac:dyDescent="0.4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 x14ac:dyDescent="0.4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 x14ac:dyDescent="0.4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 x14ac:dyDescent="0.4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 x14ac:dyDescent="0.4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 x14ac:dyDescent="0.4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 x14ac:dyDescent="0.4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 x14ac:dyDescent="0.4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 x14ac:dyDescent="0.4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 x14ac:dyDescent="0.4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 x14ac:dyDescent="0.4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 x14ac:dyDescent="0.4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 x14ac:dyDescent="0.4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 x14ac:dyDescent="0.4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 x14ac:dyDescent="0.4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 x14ac:dyDescent="0.4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 x14ac:dyDescent="0.4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 x14ac:dyDescent="0.4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 x14ac:dyDescent="0.4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 x14ac:dyDescent="0.4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 x14ac:dyDescent="0.4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 x14ac:dyDescent="0.4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 x14ac:dyDescent="0.4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 x14ac:dyDescent="0.4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 x14ac:dyDescent="0.4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 x14ac:dyDescent="0.4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 x14ac:dyDescent="0.4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 x14ac:dyDescent="0.4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 x14ac:dyDescent="0.4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 x14ac:dyDescent="0.4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 x14ac:dyDescent="0.4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 x14ac:dyDescent="0.4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 x14ac:dyDescent="0.4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 x14ac:dyDescent="0.4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 x14ac:dyDescent="0.4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 x14ac:dyDescent="0.4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 x14ac:dyDescent="0.4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 x14ac:dyDescent="0.4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 x14ac:dyDescent="0.4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 x14ac:dyDescent="0.4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 x14ac:dyDescent="0.4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 x14ac:dyDescent="0.4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 x14ac:dyDescent="0.4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 x14ac:dyDescent="0.4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 x14ac:dyDescent="0.4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 x14ac:dyDescent="0.4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 x14ac:dyDescent="0.4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 x14ac:dyDescent="0.4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 x14ac:dyDescent="0.4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 x14ac:dyDescent="0.4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 x14ac:dyDescent="0.4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 x14ac:dyDescent="0.4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 x14ac:dyDescent="0.4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 x14ac:dyDescent="0.4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 x14ac:dyDescent="0.4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 x14ac:dyDescent="0.4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 x14ac:dyDescent="0.4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 x14ac:dyDescent="0.4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 x14ac:dyDescent="0.4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 x14ac:dyDescent="0.4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 x14ac:dyDescent="0.4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 x14ac:dyDescent="0.4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 x14ac:dyDescent="0.4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 x14ac:dyDescent="0.4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 x14ac:dyDescent="0.4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 x14ac:dyDescent="0.4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 x14ac:dyDescent="0.4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 x14ac:dyDescent="0.4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 x14ac:dyDescent="0.4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 x14ac:dyDescent="0.4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 x14ac:dyDescent="0.4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 x14ac:dyDescent="0.4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 x14ac:dyDescent="0.4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 x14ac:dyDescent="0.4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 x14ac:dyDescent="0.4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 x14ac:dyDescent="0.4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 x14ac:dyDescent="0.4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 x14ac:dyDescent="0.4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 x14ac:dyDescent="0.4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 x14ac:dyDescent="0.4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 x14ac:dyDescent="0.4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 x14ac:dyDescent="0.4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 x14ac:dyDescent="0.4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 x14ac:dyDescent="0.4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 x14ac:dyDescent="0.4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 x14ac:dyDescent="0.4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 x14ac:dyDescent="0.4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 x14ac:dyDescent="0.4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 x14ac:dyDescent="0.4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 x14ac:dyDescent="0.4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 x14ac:dyDescent="0.4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 x14ac:dyDescent="0.4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 x14ac:dyDescent="0.4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 x14ac:dyDescent="0.4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 x14ac:dyDescent="0.4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 x14ac:dyDescent="0.4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 x14ac:dyDescent="0.4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 x14ac:dyDescent="0.4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 x14ac:dyDescent="0.4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 x14ac:dyDescent="0.4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 x14ac:dyDescent="0.4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 x14ac:dyDescent="0.4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 x14ac:dyDescent="0.4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 x14ac:dyDescent="0.4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 x14ac:dyDescent="0.4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 x14ac:dyDescent="0.4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 x14ac:dyDescent="0.4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 x14ac:dyDescent="0.4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 x14ac:dyDescent="0.4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 x14ac:dyDescent="0.4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 x14ac:dyDescent="0.4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 x14ac:dyDescent="0.4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 x14ac:dyDescent="0.4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 x14ac:dyDescent="0.4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 x14ac:dyDescent="0.4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 x14ac:dyDescent="0.4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 x14ac:dyDescent="0.4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 x14ac:dyDescent="0.4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 x14ac:dyDescent="0.4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 x14ac:dyDescent="0.4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 x14ac:dyDescent="0.4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 x14ac:dyDescent="0.4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 x14ac:dyDescent="0.4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 x14ac:dyDescent="0.4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 x14ac:dyDescent="0.4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 x14ac:dyDescent="0.4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 x14ac:dyDescent="0.4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 x14ac:dyDescent="0.4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 x14ac:dyDescent="0.4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 x14ac:dyDescent="0.4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 x14ac:dyDescent="0.4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 x14ac:dyDescent="0.4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 x14ac:dyDescent="0.4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 x14ac:dyDescent="0.4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 x14ac:dyDescent="0.4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 x14ac:dyDescent="0.4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 x14ac:dyDescent="0.4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 x14ac:dyDescent="0.4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 x14ac:dyDescent="0.4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 x14ac:dyDescent="0.4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 x14ac:dyDescent="0.4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 x14ac:dyDescent="0.4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 x14ac:dyDescent="0.4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 x14ac:dyDescent="0.4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 x14ac:dyDescent="0.4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 x14ac:dyDescent="0.4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 x14ac:dyDescent="0.4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 x14ac:dyDescent="0.4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 x14ac:dyDescent="0.4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 x14ac:dyDescent="0.4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 x14ac:dyDescent="0.4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 x14ac:dyDescent="0.4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 x14ac:dyDescent="0.4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 x14ac:dyDescent="0.4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 x14ac:dyDescent="0.4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 x14ac:dyDescent="0.4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 x14ac:dyDescent="0.4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 x14ac:dyDescent="0.4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 x14ac:dyDescent="0.4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 x14ac:dyDescent="0.4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 x14ac:dyDescent="0.4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 x14ac:dyDescent="0.4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 x14ac:dyDescent="0.4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 x14ac:dyDescent="0.4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 x14ac:dyDescent="0.4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 x14ac:dyDescent="0.4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 x14ac:dyDescent="0.4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 x14ac:dyDescent="0.4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 x14ac:dyDescent="0.4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 x14ac:dyDescent="0.4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 x14ac:dyDescent="0.4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 x14ac:dyDescent="0.4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 x14ac:dyDescent="0.4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 x14ac:dyDescent="0.4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 x14ac:dyDescent="0.4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 x14ac:dyDescent="0.4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 x14ac:dyDescent="0.4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 x14ac:dyDescent="0.4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 x14ac:dyDescent="0.4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 x14ac:dyDescent="0.4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 x14ac:dyDescent="0.4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 x14ac:dyDescent="0.4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 x14ac:dyDescent="0.4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 x14ac:dyDescent="0.4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 x14ac:dyDescent="0.4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 x14ac:dyDescent="0.4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 x14ac:dyDescent="0.4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 x14ac:dyDescent="0.4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 x14ac:dyDescent="0.4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 x14ac:dyDescent="0.4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 x14ac:dyDescent="0.4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 x14ac:dyDescent="0.4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 x14ac:dyDescent="0.4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 x14ac:dyDescent="0.4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 x14ac:dyDescent="0.4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 x14ac:dyDescent="0.4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 x14ac:dyDescent="0.4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 x14ac:dyDescent="0.4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 x14ac:dyDescent="0.4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29" priority="1" stopIfTrue="1" operator="lessThanOrEqual">
      <formula>-0.1</formula>
    </cfRule>
    <cfRule type="expression" dxfId="2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2.75" x14ac:dyDescent="0.35"/>
  <cols>
    <col min="1" max="1" width="35.86328125" bestFit="1" customWidth="1"/>
    <col min="2" max="2" width="8.3984375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</cols>
  <sheetData>
    <row r="1" spans="1:9" ht="19.5" customHeight="1" x14ac:dyDescent="0.35">
      <c r="A1" s="54" t="str" cm="1">
        <f t="array" ref="A1">portfolio</f>
        <v>Pearson Venture Investments LLC</v>
      </c>
      <c r="B1" s="54"/>
      <c r="C1" s="54"/>
      <c r="D1" s="55" t="s">
        <v>16</v>
      </c>
      <c r="E1" s="55"/>
      <c r="F1" s="55"/>
      <c r="G1" s="53" t="s">
        <v>17</v>
      </c>
      <c r="H1" s="53"/>
      <c r="I1" s="53"/>
    </row>
    <row r="2" spans="1:9" ht="19.5" customHeight="1" x14ac:dyDescent="0.35">
      <c r="A2" s="56" t="s">
        <v>2</v>
      </c>
      <c r="B2" s="56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 x14ac:dyDescent="0.35">
      <c r="A4" s="44" t="str" cm="1">
        <f t="array" ref="A4">Sites[Site]</f>
        <v>Pearson Venture Investments LLC</v>
      </c>
      <c r="B4" s="9" t="str" cm="1">
        <f t="array" ref="B4">Sites[State]</f>
        <v>MA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SUM(Oct!H4, Nov!H4, Dec!H4)</f>
        <v>0</v>
      </c>
      <c r="I4" s="15" t="str">
        <f>IFERROR(H4/G4, "")</f>
        <v/>
      </c>
    </row>
    <row r="5" spans="1:9" ht="15.75" x14ac:dyDescent="0.35">
      <c r="A5" s="16"/>
      <c r="B5" s="10"/>
      <c r="C5" s="41"/>
      <c r="D5" s="17"/>
      <c r="E5" s="17"/>
      <c r="F5" s="18"/>
      <c r="G5" s="19"/>
      <c r="H5" s="19"/>
      <c r="I5" s="18"/>
    </row>
    <row r="6" spans="1:9" ht="14.25" x14ac:dyDescent="0.4">
      <c r="A6" s="20"/>
      <c r="B6" s="10"/>
      <c r="C6" s="41"/>
      <c r="D6" s="17"/>
      <c r="E6" s="17"/>
      <c r="F6" s="18"/>
      <c r="G6" s="19"/>
      <c r="H6" s="19"/>
      <c r="I6" s="18"/>
    </row>
    <row r="7" spans="1:9" ht="14.25" x14ac:dyDescent="0.4">
      <c r="A7" s="20"/>
      <c r="B7" s="10"/>
      <c r="C7" s="41"/>
      <c r="D7" s="17"/>
      <c r="E7" s="17"/>
      <c r="F7" s="18"/>
      <c r="G7" s="19"/>
      <c r="H7" s="19"/>
      <c r="I7" s="18"/>
    </row>
    <row r="8" spans="1:9" ht="14.25" x14ac:dyDescent="0.4">
      <c r="A8" s="20"/>
      <c r="B8" s="10"/>
      <c r="C8" s="41"/>
      <c r="D8" s="17"/>
      <c r="E8" s="17"/>
      <c r="F8" s="18"/>
      <c r="G8" s="19"/>
      <c r="H8" s="19"/>
      <c r="I8" s="18"/>
    </row>
    <row r="9" spans="1:9" ht="14.25" x14ac:dyDescent="0.4">
      <c r="A9" s="20"/>
      <c r="B9" s="10"/>
      <c r="C9" s="41"/>
      <c r="D9" s="17"/>
      <c r="E9" s="17"/>
      <c r="F9" s="18"/>
      <c r="G9" s="19"/>
      <c r="H9" s="19"/>
      <c r="I9" s="18"/>
    </row>
    <row r="10" spans="1:9" ht="13.15" x14ac:dyDescent="0.4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 x14ac:dyDescent="0.4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 x14ac:dyDescent="0.4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 x14ac:dyDescent="0.4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 x14ac:dyDescent="0.4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 x14ac:dyDescent="0.4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 x14ac:dyDescent="0.4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 x14ac:dyDescent="0.4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 x14ac:dyDescent="0.4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 x14ac:dyDescent="0.4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 x14ac:dyDescent="0.4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 x14ac:dyDescent="0.4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 x14ac:dyDescent="0.4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 x14ac:dyDescent="0.4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 x14ac:dyDescent="0.4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 x14ac:dyDescent="0.4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 x14ac:dyDescent="0.4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 x14ac:dyDescent="0.4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 x14ac:dyDescent="0.4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 x14ac:dyDescent="0.4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 x14ac:dyDescent="0.4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 x14ac:dyDescent="0.4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 x14ac:dyDescent="0.4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 x14ac:dyDescent="0.4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 x14ac:dyDescent="0.4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 x14ac:dyDescent="0.4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 x14ac:dyDescent="0.4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 x14ac:dyDescent="0.4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 x14ac:dyDescent="0.4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 x14ac:dyDescent="0.4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 x14ac:dyDescent="0.4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 x14ac:dyDescent="0.4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 x14ac:dyDescent="0.4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 x14ac:dyDescent="0.4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 x14ac:dyDescent="0.4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 x14ac:dyDescent="0.4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 x14ac:dyDescent="0.4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 x14ac:dyDescent="0.4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 x14ac:dyDescent="0.4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 x14ac:dyDescent="0.4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 x14ac:dyDescent="0.4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 x14ac:dyDescent="0.4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 x14ac:dyDescent="0.4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 x14ac:dyDescent="0.4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 x14ac:dyDescent="0.4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 x14ac:dyDescent="0.4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 x14ac:dyDescent="0.4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 x14ac:dyDescent="0.4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 x14ac:dyDescent="0.4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 x14ac:dyDescent="0.4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 x14ac:dyDescent="0.4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 x14ac:dyDescent="0.4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 x14ac:dyDescent="0.4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 x14ac:dyDescent="0.4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 x14ac:dyDescent="0.4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 x14ac:dyDescent="0.4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 x14ac:dyDescent="0.4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 x14ac:dyDescent="0.4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 x14ac:dyDescent="0.4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 x14ac:dyDescent="0.4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 x14ac:dyDescent="0.4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 x14ac:dyDescent="0.4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 x14ac:dyDescent="0.4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 x14ac:dyDescent="0.4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 x14ac:dyDescent="0.4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 x14ac:dyDescent="0.4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 x14ac:dyDescent="0.4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 x14ac:dyDescent="0.4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 x14ac:dyDescent="0.4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 x14ac:dyDescent="0.4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 x14ac:dyDescent="0.4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 x14ac:dyDescent="0.4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 x14ac:dyDescent="0.4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 x14ac:dyDescent="0.4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 x14ac:dyDescent="0.4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 x14ac:dyDescent="0.4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 x14ac:dyDescent="0.4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 x14ac:dyDescent="0.4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 x14ac:dyDescent="0.4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 x14ac:dyDescent="0.4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 x14ac:dyDescent="0.4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 x14ac:dyDescent="0.4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 x14ac:dyDescent="0.4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 x14ac:dyDescent="0.4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 x14ac:dyDescent="0.4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 x14ac:dyDescent="0.4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 x14ac:dyDescent="0.4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 x14ac:dyDescent="0.4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 x14ac:dyDescent="0.4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 x14ac:dyDescent="0.4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 x14ac:dyDescent="0.4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 x14ac:dyDescent="0.4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 x14ac:dyDescent="0.4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 x14ac:dyDescent="0.4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 x14ac:dyDescent="0.4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 x14ac:dyDescent="0.4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 x14ac:dyDescent="0.4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 x14ac:dyDescent="0.4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 x14ac:dyDescent="0.4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 x14ac:dyDescent="0.4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 x14ac:dyDescent="0.4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 x14ac:dyDescent="0.4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 x14ac:dyDescent="0.4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 x14ac:dyDescent="0.4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 x14ac:dyDescent="0.4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 x14ac:dyDescent="0.4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 x14ac:dyDescent="0.4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 x14ac:dyDescent="0.4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 x14ac:dyDescent="0.4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 x14ac:dyDescent="0.4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 x14ac:dyDescent="0.4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 x14ac:dyDescent="0.4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 x14ac:dyDescent="0.4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 x14ac:dyDescent="0.4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 x14ac:dyDescent="0.4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 x14ac:dyDescent="0.4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 x14ac:dyDescent="0.4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 x14ac:dyDescent="0.4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 x14ac:dyDescent="0.4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 x14ac:dyDescent="0.4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 x14ac:dyDescent="0.4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 x14ac:dyDescent="0.4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 x14ac:dyDescent="0.4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 x14ac:dyDescent="0.4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 x14ac:dyDescent="0.4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 x14ac:dyDescent="0.4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 x14ac:dyDescent="0.4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 x14ac:dyDescent="0.4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 x14ac:dyDescent="0.4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 x14ac:dyDescent="0.4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 x14ac:dyDescent="0.4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 x14ac:dyDescent="0.4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 x14ac:dyDescent="0.4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 x14ac:dyDescent="0.4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 x14ac:dyDescent="0.4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 x14ac:dyDescent="0.4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 x14ac:dyDescent="0.4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 x14ac:dyDescent="0.4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 x14ac:dyDescent="0.4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 x14ac:dyDescent="0.4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 x14ac:dyDescent="0.4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 x14ac:dyDescent="0.4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 x14ac:dyDescent="0.4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 x14ac:dyDescent="0.4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 x14ac:dyDescent="0.4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 x14ac:dyDescent="0.4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 x14ac:dyDescent="0.4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 x14ac:dyDescent="0.4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 x14ac:dyDescent="0.4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 x14ac:dyDescent="0.4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 x14ac:dyDescent="0.4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 x14ac:dyDescent="0.4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 x14ac:dyDescent="0.4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 x14ac:dyDescent="0.4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 x14ac:dyDescent="0.4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 x14ac:dyDescent="0.4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 x14ac:dyDescent="0.4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 x14ac:dyDescent="0.4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 x14ac:dyDescent="0.4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 x14ac:dyDescent="0.4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 x14ac:dyDescent="0.4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 x14ac:dyDescent="0.4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 x14ac:dyDescent="0.4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 x14ac:dyDescent="0.4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 x14ac:dyDescent="0.4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 x14ac:dyDescent="0.4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 x14ac:dyDescent="0.4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 x14ac:dyDescent="0.4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 x14ac:dyDescent="0.4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 x14ac:dyDescent="0.4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 x14ac:dyDescent="0.4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 x14ac:dyDescent="0.4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 x14ac:dyDescent="0.4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 x14ac:dyDescent="0.4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 x14ac:dyDescent="0.4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 x14ac:dyDescent="0.4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 x14ac:dyDescent="0.4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 x14ac:dyDescent="0.4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 x14ac:dyDescent="0.4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 x14ac:dyDescent="0.4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 x14ac:dyDescent="0.4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 x14ac:dyDescent="0.4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 x14ac:dyDescent="0.4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 x14ac:dyDescent="0.4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 x14ac:dyDescent="0.4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 x14ac:dyDescent="0.4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 x14ac:dyDescent="0.4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 x14ac:dyDescent="0.4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 x14ac:dyDescent="0.4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 x14ac:dyDescent="0.4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 x14ac:dyDescent="0.4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 x14ac:dyDescent="0.4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 x14ac:dyDescent="0.4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 x14ac:dyDescent="0.4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 x14ac:dyDescent="0.4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 x14ac:dyDescent="0.4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 x14ac:dyDescent="0.4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 x14ac:dyDescent="0.4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 x14ac:dyDescent="0.4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 x14ac:dyDescent="0.4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 x14ac:dyDescent="0.4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 x14ac:dyDescent="0.4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 x14ac:dyDescent="0.4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 x14ac:dyDescent="0.4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 x14ac:dyDescent="0.4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 x14ac:dyDescent="0.4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 x14ac:dyDescent="0.4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 x14ac:dyDescent="0.4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 x14ac:dyDescent="0.4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 x14ac:dyDescent="0.4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 x14ac:dyDescent="0.4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 x14ac:dyDescent="0.4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 x14ac:dyDescent="0.4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 x14ac:dyDescent="0.4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 x14ac:dyDescent="0.4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 x14ac:dyDescent="0.4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 x14ac:dyDescent="0.4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 x14ac:dyDescent="0.4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 x14ac:dyDescent="0.4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 x14ac:dyDescent="0.4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 x14ac:dyDescent="0.4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 x14ac:dyDescent="0.4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 x14ac:dyDescent="0.4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 x14ac:dyDescent="0.4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 x14ac:dyDescent="0.4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 x14ac:dyDescent="0.4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 x14ac:dyDescent="0.4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 x14ac:dyDescent="0.4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 x14ac:dyDescent="0.4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 x14ac:dyDescent="0.4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 x14ac:dyDescent="0.4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 x14ac:dyDescent="0.4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 x14ac:dyDescent="0.4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 x14ac:dyDescent="0.4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 x14ac:dyDescent="0.4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 x14ac:dyDescent="0.4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 x14ac:dyDescent="0.4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 x14ac:dyDescent="0.4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 x14ac:dyDescent="0.4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 x14ac:dyDescent="0.4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 x14ac:dyDescent="0.4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 x14ac:dyDescent="0.4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 x14ac:dyDescent="0.4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 x14ac:dyDescent="0.4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 x14ac:dyDescent="0.4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 x14ac:dyDescent="0.4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 x14ac:dyDescent="0.4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 x14ac:dyDescent="0.4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 x14ac:dyDescent="0.4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 x14ac:dyDescent="0.4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 x14ac:dyDescent="0.4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 x14ac:dyDescent="0.4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 x14ac:dyDescent="0.4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 x14ac:dyDescent="0.4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 x14ac:dyDescent="0.4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 x14ac:dyDescent="0.4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 x14ac:dyDescent="0.4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 x14ac:dyDescent="0.4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 x14ac:dyDescent="0.4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 x14ac:dyDescent="0.4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 x14ac:dyDescent="0.4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 x14ac:dyDescent="0.4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 x14ac:dyDescent="0.4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 x14ac:dyDescent="0.4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 x14ac:dyDescent="0.4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 x14ac:dyDescent="0.4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 x14ac:dyDescent="0.4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 x14ac:dyDescent="0.4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 x14ac:dyDescent="0.4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 x14ac:dyDescent="0.4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 x14ac:dyDescent="0.4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 x14ac:dyDescent="0.4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 x14ac:dyDescent="0.4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 x14ac:dyDescent="0.4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 x14ac:dyDescent="0.4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 x14ac:dyDescent="0.4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 x14ac:dyDescent="0.4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 x14ac:dyDescent="0.4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 x14ac:dyDescent="0.4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 x14ac:dyDescent="0.4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 x14ac:dyDescent="0.4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 x14ac:dyDescent="0.4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 x14ac:dyDescent="0.4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 x14ac:dyDescent="0.4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 x14ac:dyDescent="0.4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 x14ac:dyDescent="0.4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 x14ac:dyDescent="0.4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 x14ac:dyDescent="0.4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 x14ac:dyDescent="0.4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 x14ac:dyDescent="0.4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 x14ac:dyDescent="0.4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 x14ac:dyDescent="0.4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 x14ac:dyDescent="0.4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 x14ac:dyDescent="0.4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 x14ac:dyDescent="0.4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 x14ac:dyDescent="0.4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 x14ac:dyDescent="0.4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 x14ac:dyDescent="0.4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 x14ac:dyDescent="0.4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 x14ac:dyDescent="0.4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 x14ac:dyDescent="0.4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 x14ac:dyDescent="0.4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 x14ac:dyDescent="0.4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 x14ac:dyDescent="0.4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 x14ac:dyDescent="0.4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 x14ac:dyDescent="0.4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 x14ac:dyDescent="0.4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 x14ac:dyDescent="0.4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 x14ac:dyDescent="0.4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 x14ac:dyDescent="0.4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 x14ac:dyDescent="0.4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 x14ac:dyDescent="0.4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27" priority="1" stopIfTrue="1" operator="lessThanOrEqual">
      <formula>-0.1</formula>
    </cfRule>
    <cfRule type="expression" dxfId="2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G14" sqref="G14"/>
    </sheetView>
  </sheetViews>
  <sheetFormatPr defaultRowHeight="13.5" x14ac:dyDescent="0.35"/>
  <cols>
    <col min="1" max="1" width="35.86328125" bestFit="1" customWidth="1"/>
    <col min="2" max="2" width="8.3984375" style="30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54" t="str" cm="1">
        <f t="array" ref="A1">portfolio</f>
        <v>Pearson Venture Investments LLC</v>
      </c>
      <c r="B1" s="54"/>
      <c r="C1" s="54"/>
      <c r="D1" s="55" t="s">
        <v>18</v>
      </c>
      <c r="E1" s="55"/>
      <c r="F1" s="55"/>
      <c r="G1" s="53" t="s">
        <v>19</v>
      </c>
      <c r="H1" s="53"/>
      <c r="I1" s="53"/>
      <c r="J1" s="4"/>
      <c r="K1" s="4"/>
    </row>
    <row r="2" spans="1:11" ht="19.5" customHeight="1" x14ac:dyDescent="0.35">
      <c r="A2" s="56" t="s">
        <v>2</v>
      </c>
      <c r="B2" s="56"/>
      <c r="C2" s="5">
        <f>SUM(C4:C78)</f>
        <v>3101</v>
      </c>
      <c r="D2" s="5">
        <f>SUM(D4:D78)</f>
        <v>4974</v>
      </c>
      <c r="E2" s="5">
        <f>C2-D2</f>
        <v>-1873</v>
      </c>
      <c r="F2" s="6">
        <f>IFERROR(E2/D2, 0)</f>
        <v>-0.37655810213108165</v>
      </c>
      <c r="G2" s="5">
        <f>SUM(G4:G78)</f>
        <v>0</v>
      </c>
      <c r="H2" s="7">
        <f>C2-G2</f>
        <v>3101</v>
      </c>
      <c r="I2" s="6">
        <f>IFERROR(H2/G2, 0)</f>
        <v>0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35">
      <c r="A3" s="26" t="s">
        <v>3</v>
      </c>
      <c r="B3" s="8" t="s">
        <v>4</v>
      </c>
      <c r="C3" s="48" t="s">
        <v>5</v>
      </c>
      <c r="D3" s="49" t="s">
        <v>6</v>
      </c>
      <c r="E3" s="31" t="s">
        <v>7</v>
      </c>
      <c r="F3" s="32" t="s">
        <v>8</v>
      </c>
      <c r="G3" s="51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46" t="str" cm="1">
        <f t="array" ref="A4">Sites[Site]</f>
        <v>Pearson Venture Investments LLC</v>
      </c>
      <c r="B4" s="27" t="str" cm="1">
        <f t="array" ref="B4">Sites[State]</f>
        <v>MA</v>
      </c>
      <c r="C4" s="50">
        <v>3101</v>
      </c>
      <c r="D4" s="50">
        <v>4974</v>
      </c>
      <c r="E4" s="12">
        <f>IF(AND(ISNUMBER(C4),ISNUMBER(D4)), C4-D4, "")</f>
        <v>-1873</v>
      </c>
      <c r="F4" s="40">
        <f>IFERROR(E4/D4, "")</f>
        <v>-0.37655810213108165</v>
      </c>
      <c r="G4" s="52">
        <v>0</v>
      </c>
      <c r="H4" s="14">
        <f>IF(AND(ISNUMBER(C4),ISNUMBER(G4)), C4-G4, "")</f>
        <v>3101</v>
      </c>
      <c r="I4" s="15" t="str">
        <f>IFERROR(H4/G4, "")</f>
        <v/>
      </c>
      <c r="J4" s="47"/>
      <c r="K4" s="47"/>
    </row>
    <row r="5" spans="1:11" ht="14.25" x14ac:dyDescent="0.45">
      <c r="A5" s="20"/>
      <c r="B5" s="29"/>
      <c r="C5" s="38"/>
      <c r="D5" s="20"/>
      <c r="E5" s="20"/>
      <c r="F5" s="20"/>
      <c r="G5" s="20"/>
      <c r="H5" s="20"/>
      <c r="I5" s="20"/>
      <c r="J5" s="39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37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 I4:I78">
    <cfRule type="cellIs" dxfId="25" priority="4" stopIfTrue="1" operator="lessThanOrEqual">
      <formula>-0.1</formula>
    </cfRule>
    <cfRule type="expression" dxfId="24" priority="5">
      <formula>AND(ISNUMBER(F2), F2&gt;=0.1)</formula>
    </cfRule>
  </conditionalFormatting>
  <conditionalFormatting sqref="F5:F78">
    <cfRule type="cellIs" dxfId="23" priority="1" stopIfTrue="1" operator="lessThanOrEqual">
      <formula>-0.1</formula>
    </cfRule>
    <cfRule type="expression" dxfId="22" priority="2">
      <formula>AND(ISNUMBER(F5), F5&gt;=0.1)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G4" sqref="G4"/>
    </sheetView>
  </sheetViews>
  <sheetFormatPr defaultRowHeight="13.5" x14ac:dyDescent="0.35"/>
  <cols>
    <col min="1" max="1" width="35.86328125" bestFit="1" customWidth="1"/>
    <col min="2" max="2" width="8.3984375" style="30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54" t="str" cm="1">
        <f t="array" ref="A1">portfolio</f>
        <v>Pearson Venture Investments LLC</v>
      </c>
      <c r="B1" s="54"/>
      <c r="C1" s="54"/>
      <c r="D1" s="55" t="s">
        <v>22</v>
      </c>
      <c r="E1" s="55"/>
      <c r="F1" s="55"/>
      <c r="G1" s="53" t="s">
        <v>23</v>
      </c>
      <c r="H1" s="53"/>
      <c r="I1" s="53"/>
      <c r="J1" s="4"/>
      <c r="K1" s="4"/>
    </row>
    <row r="2" spans="1:11" ht="19.5" customHeight="1" x14ac:dyDescent="0.35">
      <c r="A2" s="56" t="s">
        <v>2</v>
      </c>
      <c r="B2" s="56"/>
      <c r="C2" s="5">
        <f>SUM(C4:C79)</f>
        <v>10528</v>
      </c>
      <c r="D2" s="5">
        <f>SUM(D4:D79)</f>
        <v>10691</v>
      </c>
      <c r="E2" s="5">
        <f>C2-D2</f>
        <v>-163</v>
      </c>
      <c r="F2" s="6">
        <f>IFERROR(E2/D2, 0)</f>
        <v>-1.5246468992610607E-2</v>
      </c>
      <c r="G2" s="5">
        <f>SUM(G4:G79)</f>
        <v>0</v>
      </c>
      <c r="H2" s="7">
        <f>C2-G2</f>
        <v>10528</v>
      </c>
      <c r="I2" s="6">
        <f>IFERROR(H2/G2, 0)</f>
        <v>0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46" t="str" cm="1">
        <f t="array" ref="A4">Sites[Site]</f>
        <v>Pearson Venture Investments LLC</v>
      </c>
      <c r="B4" s="27" t="str" cm="1">
        <f t="array" ref="B4">Sites[State]</f>
        <v>MA</v>
      </c>
      <c r="C4" s="23">
        <v>10528</v>
      </c>
      <c r="D4" s="12">
        <v>10691</v>
      </c>
      <c r="E4" s="12">
        <f>IF(AND(ISNUMBER(C4),ISNUMBER(D4)), C4-D4, "")</f>
        <v>-163</v>
      </c>
      <c r="F4" s="13">
        <f>IFERROR(E4/D4, "")</f>
        <v>-1.5246468992610607E-2</v>
      </c>
      <c r="G4" s="14">
        <v>0</v>
      </c>
      <c r="H4" s="14">
        <f>IF(AND(ISNUMBER(C4),ISNUMBER(G4)), C4-G4, "")</f>
        <v>10528</v>
      </c>
      <c r="I4" s="15" t="str">
        <f>IFERROR(H4/G4, "")</f>
        <v/>
      </c>
      <c r="J4" s="36"/>
      <c r="K4" s="36"/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 x14ac:dyDescent="0.4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1" priority="1" stopIfTrue="1" operator="lessThanOrEqual">
      <formula>-0.1</formula>
    </cfRule>
    <cfRule type="expression" dxfId="2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J13" sqref="J13"/>
    </sheetView>
  </sheetViews>
  <sheetFormatPr defaultRowHeight="13.5" x14ac:dyDescent="0.35"/>
  <cols>
    <col min="1" max="1" width="35.86328125" bestFit="1" customWidth="1"/>
    <col min="2" max="2" width="8.3984375" style="30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54" t="str" cm="1">
        <f t="array" ref="A1">portfolio</f>
        <v>Pearson Venture Investments LLC</v>
      </c>
      <c r="B1" s="54"/>
      <c r="C1" s="54"/>
      <c r="D1" s="55" t="s">
        <v>24</v>
      </c>
      <c r="E1" s="55"/>
      <c r="F1" s="55"/>
      <c r="G1" s="53" t="s">
        <v>25</v>
      </c>
      <c r="H1" s="53"/>
      <c r="I1" s="53"/>
      <c r="J1" s="4"/>
      <c r="K1" s="4"/>
    </row>
    <row r="2" spans="1:11" ht="19.5" customHeight="1" x14ac:dyDescent="0.35">
      <c r="A2" s="56" t="s">
        <v>2</v>
      </c>
      <c r="B2" s="56"/>
      <c r="C2" s="5">
        <f>SUM(C4:C79)</f>
        <v>2755</v>
      </c>
      <c r="D2" s="5">
        <f>SUM(D4:D79)</f>
        <v>12959</v>
      </c>
      <c r="E2" s="5">
        <f>C2-D2</f>
        <v>-10204</v>
      </c>
      <c r="F2" s="6">
        <f>IFERROR(E2/D2, 0)</f>
        <v>-0.7874064356817656</v>
      </c>
      <c r="G2" s="5">
        <f>SUM(G4:G79)</f>
        <v>0</v>
      </c>
      <c r="H2" s="7">
        <f>C2-G2</f>
        <v>2755</v>
      </c>
      <c r="I2" s="6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28.5" x14ac:dyDescent="0.5">
      <c r="A4" s="28" t="str" cm="1">
        <f t="array" ref="A4">Sites[Site]</f>
        <v>Pearson Venture Investments LLC</v>
      </c>
      <c r="B4" s="27" t="str" cm="1">
        <f t="array" ref="B4">Sites[State]</f>
        <v>MA</v>
      </c>
      <c r="C4" s="23">
        <v>2755</v>
      </c>
      <c r="D4" s="12">
        <v>12959</v>
      </c>
      <c r="E4" s="12">
        <f>IF(AND(ISNUMBER(C4),ISNUMBER(D4)), C4-D4, "")</f>
        <v>-10204</v>
      </c>
      <c r="F4" s="13">
        <f>IFERROR(E4/D4, "")</f>
        <v>-0.7874064356817656</v>
      </c>
      <c r="G4" s="14">
        <v>0</v>
      </c>
      <c r="H4" s="14">
        <f>IF(AND(ISNUMBER(C4),ISNUMBER(G4)), C4-G4, "")</f>
        <v>2755</v>
      </c>
      <c r="I4" s="15" t="str">
        <f>IFERROR(H4/G4, "")</f>
        <v/>
      </c>
      <c r="J4" s="36" t="s">
        <v>53</v>
      </c>
      <c r="K4" s="36" t="s">
        <v>54</v>
      </c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 x14ac:dyDescent="0.4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9" priority="3" stopIfTrue="1" operator="lessThanOrEqual">
      <formula>-0.1</formula>
    </cfRule>
    <cfRule type="expression" dxfId="18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3.5" x14ac:dyDescent="0.35"/>
  <cols>
    <col min="1" max="1" width="35.86328125" bestFit="1" customWidth="1"/>
    <col min="2" max="2" width="8.3984375" style="30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54" t="str" cm="1">
        <f t="array" ref="A1">portfolio</f>
        <v>Pearson Venture Investments LLC</v>
      </c>
      <c r="B1" s="54"/>
      <c r="C1" s="54"/>
      <c r="D1" s="55" t="s">
        <v>26</v>
      </c>
      <c r="E1" s="55"/>
      <c r="F1" s="55"/>
      <c r="G1" s="53" t="s">
        <v>27</v>
      </c>
      <c r="H1" s="53"/>
      <c r="I1" s="53"/>
      <c r="J1" s="4"/>
      <c r="K1" s="4"/>
    </row>
    <row r="2" spans="1:11" ht="19.5" customHeight="1" x14ac:dyDescent="0.35">
      <c r="A2" s="56" t="s">
        <v>2</v>
      </c>
      <c r="B2" s="56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28" t="str" cm="1">
        <f t="array" ref="A4">Sites[Site]</f>
        <v>Pearson Venture Investments LLC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 x14ac:dyDescent="0.4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7" priority="3" stopIfTrue="1" operator="lessThanOrEqual">
      <formula>-0.1</formula>
    </cfRule>
    <cfRule type="expression" dxfId="16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3.5" x14ac:dyDescent="0.35"/>
  <cols>
    <col min="1" max="1" width="35.86328125" bestFit="1" customWidth="1"/>
    <col min="2" max="2" width="8.3984375" style="30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54" t="str" cm="1">
        <f t="array" ref="A1">portfolio</f>
        <v>Pearson Venture Investments LLC</v>
      </c>
      <c r="B1" s="54"/>
      <c r="C1" s="54"/>
      <c r="D1" s="55" t="s">
        <v>28</v>
      </c>
      <c r="E1" s="55"/>
      <c r="F1" s="55"/>
      <c r="G1" s="53" t="s">
        <v>29</v>
      </c>
      <c r="H1" s="53"/>
      <c r="I1" s="53"/>
      <c r="J1" s="4"/>
      <c r="K1" s="4"/>
    </row>
    <row r="2" spans="1:11" ht="19.5" customHeight="1" x14ac:dyDescent="0.35">
      <c r="A2" s="56" t="s">
        <v>2</v>
      </c>
      <c r="B2" s="56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28" t="str" cm="1">
        <f t="array" ref="A4">Sites[Site]</f>
        <v>Pearson Venture Investments LLC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 x14ac:dyDescent="0.4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5" priority="3" stopIfTrue="1" operator="lessThanOrEqual">
      <formula>-0.1</formula>
    </cfRule>
    <cfRule type="expression" dxfId="1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3.5" x14ac:dyDescent="0.35"/>
  <cols>
    <col min="1" max="1" width="35.86328125" bestFit="1" customWidth="1"/>
    <col min="2" max="2" width="8.3984375" style="30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54" t="str" cm="1">
        <f t="array" ref="A1">portfolio</f>
        <v>Pearson Venture Investments LLC</v>
      </c>
      <c r="B1" s="54"/>
      <c r="C1" s="54"/>
      <c r="D1" s="55" t="s">
        <v>30</v>
      </c>
      <c r="E1" s="55"/>
      <c r="F1" s="55"/>
      <c r="G1" s="53" t="s">
        <v>31</v>
      </c>
      <c r="H1" s="53"/>
      <c r="I1" s="53"/>
      <c r="J1" s="4"/>
      <c r="K1" s="4"/>
    </row>
    <row r="2" spans="1:11" ht="19.5" customHeight="1" x14ac:dyDescent="0.35">
      <c r="A2" s="56" t="s">
        <v>2</v>
      </c>
      <c r="B2" s="56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28" t="str" cm="1">
        <f t="array" ref="A4">Sites[Site]</f>
        <v>Pearson Venture Investments LLC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 x14ac:dyDescent="0.4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3" priority="3" stopIfTrue="1" operator="lessThanOrEqual">
      <formula>-0.1</formula>
    </cfRule>
    <cfRule type="expression" dxfId="12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3.5" x14ac:dyDescent="0.35"/>
  <cols>
    <col min="1" max="1" width="35.86328125" bestFit="1" customWidth="1"/>
    <col min="2" max="2" width="8.3984375" style="30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54" t="str" cm="1">
        <f t="array" ref="A1">portfolio</f>
        <v>Pearson Venture Investments LLC</v>
      </c>
      <c r="B1" s="54"/>
      <c r="C1" s="54"/>
      <c r="D1" s="55" t="s">
        <v>32</v>
      </c>
      <c r="E1" s="55"/>
      <c r="F1" s="55"/>
      <c r="G1" s="53" t="s">
        <v>33</v>
      </c>
      <c r="H1" s="53"/>
      <c r="I1" s="53"/>
      <c r="J1" s="4"/>
      <c r="K1" s="4"/>
    </row>
    <row r="2" spans="1:11" ht="19.5" customHeight="1" x14ac:dyDescent="0.35">
      <c r="A2" s="56" t="s">
        <v>2</v>
      </c>
      <c r="B2" s="56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28" t="str" cm="1">
        <f t="array" ref="A4">Sites[Site]</f>
        <v>Pearson Venture Investments LLC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 x14ac:dyDescent="0.4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1" priority="3" stopIfTrue="1" operator="lessThanOrEqual">
      <formula>-0.1</formula>
    </cfRule>
    <cfRule type="expression" dxfId="1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3.5" x14ac:dyDescent="0.35"/>
  <cols>
    <col min="1" max="1" width="35.86328125" bestFit="1" customWidth="1"/>
    <col min="2" max="2" width="8.3984375" style="30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54" t="str" cm="1">
        <f t="array" ref="A1">portfolio</f>
        <v>Pearson Venture Investments LLC</v>
      </c>
      <c r="B1" s="54"/>
      <c r="C1" s="54"/>
      <c r="D1" s="55" t="s">
        <v>34</v>
      </c>
      <c r="E1" s="55"/>
      <c r="F1" s="55"/>
      <c r="G1" s="53" t="s">
        <v>35</v>
      </c>
      <c r="H1" s="53"/>
      <c r="I1" s="53"/>
      <c r="J1" s="4"/>
      <c r="K1" s="4"/>
    </row>
    <row r="2" spans="1:11" ht="19.5" customHeight="1" x14ac:dyDescent="0.35">
      <c r="A2" s="56" t="s">
        <v>2</v>
      </c>
      <c r="B2" s="56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28" t="str" cm="1">
        <f t="array" ref="A4">Sites[Site]</f>
        <v>Pearson Venture Investments LLC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 x14ac:dyDescent="0.4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9" priority="3" stopIfTrue="1" operator="lessThanOrEqual">
      <formula>-0.1</formula>
    </cfRule>
    <cfRule type="expression" dxfId="8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3.5" x14ac:dyDescent="0.35"/>
  <cols>
    <col min="1" max="1" width="35.86328125" bestFit="1" customWidth="1"/>
    <col min="2" max="2" width="8.3984375" style="30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54" t="str" cm="1">
        <f t="array" ref="A1">portfolio</f>
        <v>Pearson Venture Investments LLC</v>
      </c>
      <c r="B1" s="54"/>
      <c r="C1" s="54"/>
      <c r="D1" s="55" t="s">
        <v>36</v>
      </c>
      <c r="E1" s="55"/>
      <c r="F1" s="55"/>
      <c r="G1" s="53" t="s">
        <v>37</v>
      </c>
      <c r="H1" s="53"/>
      <c r="I1" s="53"/>
      <c r="J1" s="4"/>
      <c r="K1" s="4"/>
    </row>
    <row r="2" spans="1:11" ht="19.5" customHeight="1" x14ac:dyDescent="0.35">
      <c r="A2" s="56" t="s">
        <v>2</v>
      </c>
      <c r="B2" s="56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28" t="str" cm="1">
        <f t="array" ref="A4">Sites[Site]</f>
        <v>Pearson Venture Investments LLC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 x14ac:dyDescent="0.4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7" priority="3" stopIfTrue="1" operator="lessThanOrEqual">
      <formula>-0.1</formula>
    </cfRule>
    <cfRule type="expression" dxfId="6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3.5" x14ac:dyDescent="0.35"/>
  <cols>
    <col min="1" max="1" width="35.86328125" bestFit="1" customWidth="1"/>
    <col min="2" max="2" width="8.3984375" style="30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54" t="str" cm="1">
        <f t="array" ref="A1">portfolio</f>
        <v>Pearson Venture Investments LLC</v>
      </c>
      <c r="B1" s="54"/>
      <c r="C1" s="54"/>
      <c r="D1" s="55" t="s">
        <v>38</v>
      </c>
      <c r="E1" s="55"/>
      <c r="F1" s="55"/>
      <c r="G1" s="53" t="s">
        <v>39</v>
      </c>
      <c r="H1" s="53"/>
      <c r="I1" s="53"/>
      <c r="J1" s="4"/>
      <c r="K1" s="4"/>
    </row>
    <row r="2" spans="1:11" ht="19.5" customHeight="1" x14ac:dyDescent="0.35">
      <c r="A2" s="56" t="s">
        <v>2</v>
      </c>
      <c r="B2" s="56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28" t="str" cm="1">
        <f t="array" ref="A4">Sites[Site]</f>
        <v>Pearson Venture Investments LLC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 x14ac:dyDescent="0.4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5" priority="3" stopIfTrue="1" operator="lessThanOrEqual">
      <formula>-0.1</formula>
    </cfRule>
    <cfRule type="expression" dxfId="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workbookViewId="0">
      <pane xSplit="2" ySplit="3" topLeftCell="C4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3.5" x14ac:dyDescent="0.35"/>
  <cols>
    <col min="1" max="1" width="35.86328125" bestFit="1" customWidth="1"/>
    <col min="2" max="2" width="8.3984375" style="30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54" t="str" cm="1">
        <f t="array" ref="A1">portfolio</f>
        <v>Pearson Venture Investments LLC</v>
      </c>
      <c r="B1" s="54"/>
      <c r="C1" s="54"/>
      <c r="D1" s="55" t="s">
        <v>40</v>
      </c>
      <c r="E1" s="55"/>
      <c r="F1" s="55"/>
      <c r="G1" s="53" t="s">
        <v>41</v>
      </c>
      <c r="H1" s="53"/>
      <c r="I1" s="53"/>
      <c r="J1" s="4"/>
      <c r="K1" s="4"/>
    </row>
    <row r="2" spans="1:11" ht="19.5" customHeight="1" x14ac:dyDescent="0.35">
      <c r="A2" s="56" t="s">
        <v>2</v>
      </c>
      <c r="B2" s="56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28" t="str" cm="1">
        <f t="array" ref="A4">Sites[Site]</f>
        <v>Pearson Venture Investments LLC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 x14ac:dyDescent="0.4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3" priority="3" stopIfTrue="1" operator="lessThanOrEqual">
      <formula>-0.1</formula>
    </cfRule>
    <cfRule type="expression" dxfId="2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workbookViewId="0">
      <pane xSplit="2" ySplit="3" topLeftCell="C13" activePane="bottomRight" state="frozen"/>
      <selection pane="topRight" activeCell="C14" sqref="C14"/>
      <selection pane="bottomLeft" activeCell="C14" sqref="C14"/>
      <selection pane="bottomRight" activeCell="C14" sqref="C14"/>
    </sheetView>
  </sheetViews>
  <sheetFormatPr defaultRowHeight="13.5" x14ac:dyDescent="0.35"/>
  <cols>
    <col min="1" max="1" width="35.86328125" bestFit="1" customWidth="1"/>
    <col min="2" max="2" width="8.3984375" style="30" customWidth="1"/>
    <col min="3" max="3" width="11.73046875" customWidth="1"/>
    <col min="4" max="5" width="13.265625" customWidth="1"/>
    <col min="6" max="6" width="13.265625" style="1" customWidth="1"/>
    <col min="7" max="8" width="13.265625" customWidth="1"/>
    <col min="9" max="9" width="13.265625" style="1" customWidth="1"/>
    <col min="10" max="10" width="71.59765625" customWidth="1"/>
    <col min="11" max="11" width="20.59765625" bestFit="1" customWidth="1"/>
  </cols>
  <sheetData>
    <row r="1" spans="1:11" ht="19.5" customHeight="1" x14ac:dyDescent="0.35">
      <c r="A1" s="54" t="str" cm="1">
        <f t="array" ref="A1">portfolio</f>
        <v>Pearson Venture Investments LLC</v>
      </c>
      <c r="B1" s="54"/>
      <c r="C1" s="54"/>
      <c r="D1" s="55" t="s">
        <v>42</v>
      </c>
      <c r="E1" s="55"/>
      <c r="F1" s="55"/>
      <c r="G1" s="53" t="s">
        <v>43</v>
      </c>
      <c r="H1" s="53"/>
      <c r="I1" s="53"/>
      <c r="J1" s="4"/>
      <c r="K1" s="4"/>
    </row>
    <row r="2" spans="1:11" ht="19.5" customHeight="1" x14ac:dyDescent="0.35">
      <c r="A2" s="56" t="s">
        <v>2</v>
      </c>
      <c r="B2" s="56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4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 x14ac:dyDescent="0.5">
      <c r="A4" s="28" t="str" cm="1">
        <f t="array" ref="A4">Sites[Site]</f>
        <v>Pearson Venture Investments LLC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 x14ac:dyDescent="0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 x14ac:dyDescent="0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 x14ac:dyDescent="0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 x14ac:dyDescent="0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 x14ac:dyDescent="0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 x14ac:dyDescent="0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 x14ac:dyDescent="0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 x14ac:dyDescent="0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 x14ac:dyDescent="0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 x14ac:dyDescent="0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 x14ac:dyDescent="0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 x14ac:dyDescent="0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 x14ac:dyDescent="0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 x14ac:dyDescent="0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 x14ac:dyDescent="0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 x14ac:dyDescent="0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 x14ac:dyDescent="0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 x14ac:dyDescent="0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 x14ac:dyDescent="0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 x14ac:dyDescent="0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 x14ac:dyDescent="0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 x14ac:dyDescent="0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 x14ac:dyDescent="0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 x14ac:dyDescent="0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 x14ac:dyDescent="0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 x14ac:dyDescent="0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 x14ac:dyDescent="0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 x14ac:dyDescent="0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 x14ac:dyDescent="0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 x14ac:dyDescent="0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 x14ac:dyDescent="0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 x14ac:dyDescent="0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 x14ac:dyDescent="0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 x14ac:dyDescent="0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 x14ac:dyDescent="0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 x14ac:dyDescent="0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 x14ac:dyDescent="0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 x14ac:dyDescent="0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 x14ac:dyDescent="0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 x14ac:dyDescent="0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 x14ac:dyDescent="0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 x14ac:dyDescent="0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 x14ac:dyDescent="0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 x14ac:dyDescent="0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 x14ac:dyDescent="0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 x14ac:dyDescent="0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 x14ac:dyDescent="0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 x14ac:dyDescent="0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 x14ac:dyDescent="0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 x14ac:dyDescent="0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 x14ac:dyDescent="0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 x14ac:dyDescent="0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 x14ac:dyDescent="0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 x14ac:dyDescent="0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 x14ac:dyDescent="0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 x14ac:dyDescent="0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 x14ac:dyDescent="0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 x14ac:dyDescent="0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 x14ac:dyDescent="0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 x14ac:dyDescent="0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 x14ac:dyDescent="0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 x14ac:dyDescent="0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 x14ac:dyDescent="0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 x14ac:dyDescent="0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 x14ac:dyDescent="0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 x14ac:dyDescent="0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 x14ac:dyDescent="0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 x14ac:dyDescent="0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 x14ac:dyDescent="0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 x14ac:dyDescent="0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 x14ac:dyDescent="0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 x14ac:dyDescent="0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 x14ac:dyDescent="0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 x14ac:dyDescent="0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 x14ac:dyDescent="0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 x14ac:dyDescent="0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 x14ac:dyDescent="0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 x14ac:dyDescent="0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 x14ac:dyDescent="0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 x14ac:dyDescent="0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 x14ac:dyDescent="0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 x14ac:dyDescent="0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 x14ac:dyDescent="0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 x14ac:dyDescent="0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 x14ac:dyDescent="0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 x14ac:dyDescent="0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 x14ac:dyDescent="0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 x14ac:dyDescent="0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 x14ac:dyDescent="0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 x14ac:dyDescent="0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 x14ac:dyDescent="0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 x14ac:dyDescent="0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 x14ac:dyDescent="0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 x14ac:dyDescent="0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 x14ac:dyDescent="0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 x14ac:dyDescent="0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 x14ac:dyDescent="0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 x14ac:dyDescent="0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 x14ac:dyDescent="0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 x14ac:dyDescent="0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 x14ac:dyDescent="0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 x14ac:dyDescent="0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 x14ac:dyDescent="0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 x14ac:dyDescent="0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 x14ac:dyDescent="0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 x14ac:dyDescent="0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 x14ac:dyDescent="0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 x14ac:dyDescent="0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 x14ac:dyDescent="0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 x14ac:dyDescent="0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 x14ac:dyDescent="0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 x14ac:dyDescent="0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 x14ac:dyDescent="0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 x14ac:dyDescent="0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 x14ac:dyDescent="0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 x14ac:dyDescent="0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 x14ac:dyDescent="0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 x14ac:dyDescent="0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 x14ac:dyDescent="0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 x14ac:dyDescent="0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 x14ac:dyDescent="0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 x14ac:dyDescent="0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 x14ac:dyDescent="0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 x14ac:dyDescent="0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 x14ac:dyDescent="0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 x14ac:dyDescent="0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 x14ac:dyDescent="0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 x14ac:dyDescent="0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 x14ac:dyDescent="0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 x14ac:dyDescent="0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 x14ac:dyDescent="0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 x14ac:dyDescent="0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 x14ac:dyDescent="0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 x14ac:dyDescent="0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 x14ac:dyDescent="0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 x14ac:dyDescent="0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 x14ac:dyDescent="0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 x14ac:dyDescent="0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 x14ac:dyDescent="0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 x14ac:dyDescent="0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 x14ac:dyDescent="0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 x14ac:dyDescent="0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 x14ac:dyDescent="0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 x14ac:dyDescent="0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 x14ac:dyDescent="0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 x14ac:dyDescent="0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 x14ac:dyDescent="0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 x14ac:dyDescent="0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 x14ac:dyDescent="0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 x14ac:dyDescent="0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 x14ac:dyDescent="0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 x14ac:dyDescent="0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 x14ac:dyDescent="0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 x14ac:dyDescent="0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 x14ac:dyDescent="0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 x14ac:dyDescent="0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 x14ac:dyDescent="0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 x14ac:dyDescent="0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 x14ac:dyDescent="0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 x14ac:dyDescent="0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 x14ac:dyDescent="0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 x14ac:dyDescent="0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 x14ac:dyDescent="0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 x14ac:dyDescent="0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 x14ac:dyDescent="0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 x14ac:dyDescent="0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 x14ac:dyDescent="0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 x14ac:dyDescent="0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 x14ac:dyDescent="0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 x14ac:dyDescent="0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 x14ac:dyDescent="0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 x14ac:dyDescent="0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 x14ac:dyDescent="0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 x14ac:dyDescent="0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 x14ac:dyDescent="0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 x14ac:dyDescent="0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 x14ac:dyDescent="0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 x14ac:dyDescent="0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 x14ac:dyDescent="0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 x14ac:dyDescent="0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 x14ac:dyDescent="0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 x14ac:dyDescent="0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 x14ac:dyDescent="0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 x14ac:dyDescent="0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 x14ac:dyDescent="0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 x14ac:dyDescent="0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 x14ac:dyDescent="0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 x14ac:dyDescent="0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 x14ac:dyDescent="0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 x14ac:dyDescent="0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 x14ac:dyDescent="0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 x14ac:dyDescent="0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 x14ac:dyDescent="0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 x14ac:dyDescent="0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 x14ac:dyDescent="0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 x14ac:dyDescent="0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 x14ac:dyDescent="0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 x14ac:dyDescent="0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 x14ac:dyDescent="0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 x14ac:dyDescent="0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 x14ac:dyDescent="0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 x14ac:dyDescent="0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 x14ac:dyDescent="0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 x14ac:dyDescent="0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 x14ac:dyDescent="0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 x14ac:dyDescent="0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 x14ac:dyDescent="0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 x14ac:dyDescent="0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 x14ac:dyDescent="0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 x14ac:dyDescent="0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 x14ac:dyDescent="0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 x14ac:dyDescent="0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 x14ac:dyDescent="0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 x14ac:dyDescent="0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 x14ac:dyDescent="0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 x14ac:dyDescent="0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 x14ac:dyDescent="0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 x14ac:dyDescent="0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 x14ac:dyDescent="0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 x14ac:dyDescent="0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 x14ac:dyDescent="0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 x14ac:dyDescent="0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 x14ac:dyDescent="0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 x14ac:dyDescent="0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 x14ac:dyDescent="0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 x14ac:dyDescent="0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 x14ac:dyDescent="0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 x14ac:dyDescent="0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 x14ac:dyDescent="0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 x14ac:dyDescent="0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 x14ac:dyDescent="0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 x14ac:dyDescent="0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 x14ac:dyDescent="0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 x14ac:dyDescent="0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 x14ac:dyDescent="0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 x14ac:dyDescent="0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 x14ac:dyDescent="0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 x14ac:dyDescent="0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 x14ac:dyDescent="0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 x14ac:dyDescent="0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 x14ac:dyDescent="0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 x14ac:dyDescent="0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 x14ac:dyDescent="0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 x14ac:dyDescent="0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 x14ac:dyDescent="0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 x14ac:dyDescent="0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 x14ac:dyDescent="0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 x14ac:dyDescent="0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 x14ac:dyDescent="0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 x14ac:dyDescent="0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 x14ac:dyDescent="0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 x14ac:dyDescent="0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 x14ac:dyDescent="0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 x14ac:dyDescent="0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 x14ac:dyDescent="0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 x14ac:dyDescent="0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 x14ac:dyDescent="0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 x14ac:dyDescent="0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 x14ac:dyDescent="0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 x14ac:dyDescent="0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 x14ac:dyDescent="0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 x14ac:dyDescent="0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 x14ac:dyDescent="0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 x14ac:dyDescent="0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 x14ac:dyDescent="0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 x14ac:dyDescent="0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 x14ac:dyDescent="0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 x14ac:dyDescent="0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 x14ac:dyDescent="0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 x14ac:dyDescent="0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 x14ac:dyDescent="0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 x14ac:dyDescent="0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 x14ac:dyDescent="0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 x14ac:dyDescent="0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 x14ac:dyDescent="0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 x14ac:dyDescent="0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 x14ac:dyDescent="0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 x14ac:dyDescent="0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 x14ac:dyDescent="0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 x14ac:dyDescent="0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 x14ac:dyDescent="0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 x14ac:dyDescent="0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 x14ac:dyDescent="0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 x14ac:dyDescent="0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 x14ac:dyDescent="0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 x14ac:dyDescent="0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 x14ac:dyDescent="0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 x14ac:dyDescent="0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 x14ac:dyDescent="0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 x14ac:dyDescent="0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 x14ac:dyDescent="0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 x14ac:dyDescent="0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 x14ac:dyDescent="0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 x14ac:dyDescent="0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 x14ac:dyDescent="0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 x14ac:dyDescent="0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 x14ac:dyDescent="0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 x14ac:dyDescent="0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 x14ac:dyDescent="0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 x14ac:dyDescent="0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 x14ac:dyDescent="0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 x14ac:dyDescent="0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 x14ac:dyDescent="0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 x14ac:dyDescent="0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 x14ac:dyDescent="0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 x14ac:dyDescent="0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 x14ac:dyDescent="0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 x14ac:dyDescent="0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 x14ac:dyDescent="0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 x14ac:dyDescent="0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 x14ac:dyDescent="0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 x14ac:dyDescent="0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 x14ac:dyDescent="0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 x14ac:dyDescent="0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 x14ac:dyDescent="0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 x14ac:dyDescent="0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 x14ac:dyDescent="0.4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" priority="3" stopIfTrue="1" operator="lessThanOrEqual">
      <formula>-0.1</formula>
    </cfRule>
    <cfRule type="expression" dxfId="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tabSelected="1" workbookViewId="0">
      <pane ySplit="3" topLeftCell="A4" activePane="bottomLeft" state="frozen"/>
      <selection pane="bottomLeft" activeCell="B1" sqref="B1"/>
    </sheetView>
  </sheetViews>
  <sheetFormatPr defaultRowHeight="12.75" customHeight="1" x14ac:dyDescent="0.35"/>
  <cols>
    <col min="1" max="2" width="41.86328125" customWidth="1"/>
    <col min="4" max="4" width="9.1328125" customWidth="1"/>
    <col min="5" max="5" width="24.1328125" customWidth="1"/>
    <col min="6" max="10" width="9.1328125" customWidth="1"/>
    <col min="11" max="12" width="22" bestFit="1" customWidth="1"/>
    <col min="13" max="14" width="9.1328125" customWidth="1"/>
  </cols>
  <sheetData>
    <row r="1" spans="1:12" ht="12.75" customHeight="1" x14ac:dyDescent="0.35">
      <c r="A1" t="s">
        <v>44</v>
      </c>
      <c r="B1" t="s">
        <v>51</v>
      </c>
    </row>
    <row r="3" spans="1:12" x14ac:dyDescent="0.35">
      <c r="A3" t="s">
        <v>45</v>
      </c>
      <c r="B3" t="s">
        <v>3</v>
      </c>
      <c r="C3" t="s">
        <v>4</v>
      </c>
      <c r="D3" t="s">
        <v>46</v>
      </c>
      <c r="E3" s="2" t="s">
        <v>47</v>
      </c>
    </row>
    <row r="4" spans="1:12" ht="14.25" x14ac:dyDescent="0.45">
      <c r="A4" s="45" t="s">
        <v>50</v>
      </c>
      <c r="B4" t="s">
        <v>51</v>
      </c>
      <c r="C4" s="43" t="s">
        <v>48</v>
      </c>
      <c r="D4" s="42" t="s">
        <v>52</v>
      </c>
      <c r="E4" t="s">
        <v>49</v>
      </c>
      <c r="G4" s="3"/>
    </row>
    <row r="5" spans="1:12" ht="14.25" x14ac:dyDescent="0.45">
      <c r="A5" s="45"/>
      <c r="C5" s="43"/>
      <c r="D5" s="42"/>
      <c r="G5" s="3"/>
    </row>
    <row r="6" spans="1:12" ht="14.25" x14ac:dyDescent="0.45">
      <c r="A6" s="45"/>
      <c r="C6" s="43"/>
      <c r="D6" s="42"/>
      <c r="G6" s="3"/>
    </row>
    <row r="7" spans="1:12" ht="12.75" customHeight="1" x14ac:dyDescent="0.35">
      <c r="A7" s="45"/>
      <c r="C7" s="43"/>
      <c r="D7" s="42"/>
    </row>
    <row r="8" spans="1:12" ht="12.75" customHeight="1" x14ac:dyDescent="0.35">
      <c r="A8" s="45"/>
      <c r="C8" s="43"/>
      <c r="D8" s="42"/>
    </row>
    <row r="9" spans="1:12" ht="12.75" customHeight="1" x14ac:dyDescent="0.35">
      <c r="A9" s="45"/>
      <c r="C9" s="43"/>
      <c r="D9" s="42"/>
    </row>
    <row r="10" spans="1:12" ht="12.75" customHeight="1" x14ac:dyDescent="0.35">
      <c r="A10" s="45"/>
      <c r="C10" s="43"/>
      <c r="D10" s="42"/>
      <c r="K10" s="38"/>
      <c r="L10" s="38"/>
    </row>
    <row r="11" spans="1:12" ht="12.75" customHeight="1" x14ac:dyDescent="0.35">
      <c r="A11" s="45"/>
      <c r="C11" s="43"/>
      <c r="D11" s="42"/>
      <c r="K11" s="38"/>
      <c r="L11" s="38"/>
    </row>
    <row r="12" spans="1:12" ht="12.75" customHeight="1" x14ac:dyDescent="0.35">
      <c r="A12" s="45"/>
      <c r="C12" s="43"/>
      <c r="D12" s="42"/>
      <c r="K12" s="38"/>
      <c r="L12" s="38"/>
    </row>
    <row r="13" spans="1:12" ht="12.75" customHeight="1" x14ac:dyDescent="0.35">
      <c r="A13" s="45"/>
      <c r="C13" s="43"/>
      <c r="D13" s="42"/>
      <c r="K13" s="38"/>
      <c r="L13" s="38"/>
    </row>
    <row r="14" spans="1:12" ht="12.75" customHeight="1" x14ac:dyDescent="0.35">
      <c r="A14" s="45"/>
      <c r="C14" s="43"/>
      <c r="D14" s="42"/>
      <c r="K14" s="38"/>
      <c r="L14" s="38"/>
    </row>
    <row r="15" spans="1:12" ht="12.75" customHeight="1" x14ac:dyDescent="0.35">
      <c r="A15" s="45"/>
      <c r="C15" s="43"/>
      <c r="D15" s="42"/>
      <c r="K15" s="38"/>
      <c r="L15" s="38"/>
    </row>
    <row r="16" spans="1:12" ht="12.75" customHeight="1" x14ac:dyDescent="0.35">
      <c r="A16" s="45"/>
      <c r="C16" s="43"/>
      <c r="D16" s="42"/>
      <c r="K16" s="38"/>
      <c r="L16" s="38"/>
    </row>
    <row r="17" spans="1:12" ht="12.75" customHeight="1" x14ac:dyDescent="0.35">
      <c r="A17" s="45"/>
      <c r="C17" s="43"/>
      <c r="D17" s="42"/>
      <c r="K17" s="38"/>
      <c r="L17" s="38"/>
    </row>
    <row r="18" spans="1:12" ht="12.75" customHeight="1" x14ac:dyDescent="0.35">
      <c r="A18" s="45"/>
      <c r="C18" s="43"/>
      <c r="D18" s="42"/>
      <c r="K18" s="38"/>
      <c r="L18" s="38"/>
    </row>
    <row r="19" spans="1:12" ht="12.75" customHeight="1" x14ac:dyDescent="0.35">
      <c r="A19" s="45"/>
      <c r="C19" s="43"/>
      <c r="D19" s="42"/>
      <c r="K19" s="38"/>
      <c r="L19" s="38"/>
    </row>
    <row r="20" spans="1:12" ht="12.75" customHeight="1" x14ac:dyDescent="0.35">
      <c r="A20" s="45"/>
      <c r="C20" s="43"/>
      <c r="D20" s="42"/>
      <c r="K20" s="38"/>
      <c r="L20" s="38"/>
    </row>
    <row r="21" spans="1:12" ht="12.75" customHeight="1" x14ac:dyDescent="0.35">
      <c r="A21" s="45"/>
      <c r="C21" s="43"/>
      <c r="D21" s="42"/>
      <c r="K21" s="38"/>
      <c r="L21" s="38"/>
    </row>
    <row r="22" spans="1:12" ht="12.75" customHeight="1" x14ac:dyDescent="0.35">
      <c r="A22" s="45"/>
      <c r="C22" s="43"/>
      <c r="D22" s="42"/>
      <c r="K22" s="38"/>
      <c r="L22" s="38"/>
    </row>
    <row r="23" spans="1:12" ht="12.75" customHeight="1" x14ac:dyDescent="0.35">
      <c r="A23" s="45"/>
      <c r="C23" s="43"/>
      <c r="D23" s="42"/>
      <c r="K23" s="38"/>
      <c r="L23" s="38"/>
    </row>
    <row r="24" spans="1:12" ht="12.75" customHeight="1" x14ac:dyDescent="0.35">
      <c r="A24" s="45"/>
      <c r="C24" s="43"/>
      <c r="D24" s="42"/>
      <c r="K24" s="38"/>
      <c r="L24" s="38"/>
    </row>
    <row r="25" spans="1:12" ht="12.75" customHeight="1" x14ac:dyDescent="0.35">
      <c r="A25" s="45"/>
      <c r="C25" s="43"/>
      <c r="D25" s="42"/>
      <c r="K25" s="38"/>
      <c r="L25" s="38"/>
    </row>
    <row r="26" spans="1:12" ht="12.75" customHeight="1" x14ac:dyDescent="0.35">
      <c r="K26" s="38"/>
      <c r="L26" s="38"/>
    </row>
    <row r="27" spans="1:12" ht="12.75" customHeight="1" x14ac:dyDescent="0.35">
      <c r="K27" s="38"/>
      <c r="L27" s="38"/>
    </row>
    <row r="28" spans="1:12" ht="12.75" customHeight="1" x14ac:dyDescent="0.35">
      <c r="K28" s="38"/>
      <c r="L28" s="38"/>
    </row>
    <row r="29" spans="1:12" ht="12.75" customHeight="1" x14ac:dyDescent="0.35">
      <c r="K29" s="38"/>
      <c r="L29" s="38"/>
    </row>
    <row r="30" spans="1:12" ht="12.75" customHeight="1" x14ac:dyDescent="0.35">
      <c r="K30" s="38"/>
      <c r="L30" s="38"/>
    </row>
    <row r="31" spans="1:12" ht="12.75" customHeight="1" x14ac:dyDescent="0.35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4.xml>��
</file>

<file path=customXml/item5.xml>��
</file>

<file path=customXml/item6.xml>��
</file>

<file path=customXml/item7.xml>��
</file>

<file path=customXml/item8.xml>��
</file>

<file path=customXml/item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14966E4F-347B-477B-B74C-9DAC05405806}">
  <ds:schemaRefs>
    <ds:schemaRef ds:uri="http://gemini/pivotcustomization/ClientWindowXML"/>
  </ds:schemaRefs>
</ds:datastoreItem>
</file>

<file path=customXml/itemProps2.xml><?xml version="1.0" encoding="utf-8"?>
<ds:datastoreItem xmlns:ds="http://schemas.openxmlformats.org/officeDocument/2006/customXml" ds:itemID="{0389C43E-394D-44C0-87DC-4780FCFCFB40}">
  <ds:schemaRefs>
    <ds:schemaRef ds:uri="http://gemini/pivotcustomization/Diagrams"/>
  </ds:schemaRefs>
</ds:datastoreItem>
</file>

<file path=customXml/itemProps3.xml><?xml version="1.0" encoding="utf-8"?>
<ds:datastoreItem xmlns:ds="http://schemas.openxmlformats.org/officeDocument/2006/customXml" ds:itemID="{8D732231-4216-4543-A665-18A2886B0EB7}">
  <ds:schemaRefs>
    <ds:schemaRef ds:uri="http://schemas.microsoft.com/office/2006/metadata/properties"/>
    <ds:schemaRef ds:uri="http://schemas.microsoft.com/office/infopath/2007/PartnerControls"/>
    <ds:schemaRef ds:uri="ddcd8467-55ca-498e-a9f8-86795db5db7a"/>
    <ds:schemaRef ds:uri="http://schemas.microsoft.com/sharepoint/v3"/>
    <ds:schemaRef ds:uri="7f39bfab-6331-41a1-b6d4-5b974a316951"/>
  </ds:schemaRefs>
</ds:datastoreItem>
</file>

<file path=customXml/itemProps4.xml><?xml version="1.0" encoding="utf-8"?>
<ds:datastoreItem xmlns:ds="http://schemas.openxmlformats.org/officeDocument/2006/customXml" ds:itemID="{89CF5C07-45EB-4100-9AFB-2C6AF77FA787}">
  <ds:schemaRefs>
    <ds:schemaRef ds:uri="http://gemini/pivotcustomization/ErrorCache"/>
  </ds:schemaRefs>
</ds:datastoreItem>
</file>

<file path=customXml/itemProps5.xml><?xml version="1.0" encoding="utf-8"?>
<ds:datastoreItem xmlns:ds="http://schemas.openxmlformats.org/officeDocument/2006/customXml" ds:itemID="{BF5C6359-7763-4C37-8EAF-2BC4698CB285}">
  <ds:schemaRefs>
    <ds:schemaRef ds:uri="http://gemini/pivotcustomization/TableOrder"/>
  </ds:schemaRefs>
</ds:datastoreItem>
</file>

<file path=customXml/itemProps6.xml><?xml version="1.0" encoding="utf-8"?>
<ds:datastoreItem xmlns:ds="http://schemas.openxmlformats.org/officeDocument/2006/customXml" ds:itemID="{CB52044A-5C0B-44A2-99D0-C1C315EC302D}">
  <ds:schemaRefs>
    <ds:schemaRef ds:uri="http://gemini/pivotcustomization/TableXML_Sites"/>
  </ds:schemaRefs>
</ds:datastoreItem>
</file>

<file path=customXml/itemProps7.xml><?xml version="1.0" encoding="utf-8"?>
<ds:datastoreItem xmlns:ds="http://schemas.openxmlformats.org/officeDocument/2006/customXml" ds:itemID="{E20E8303-6A67-485C-B6F4-303542CC295C}">
  <ds:schemaRefs>
    <ds:schemaRef ds:uri="http://gemini/pivotcustomization/LinkedTableUpdateMode"/>
  </ds:schemaRefs>
</ds:datastoreItem>
</file>

<file path=customXml/itemProps8.xml><?xml version="1.0" encoding="utf-8"?>
<ds:datastoreItem xmlns:ds="http://schemas.openxmlformats.org/officeDocument/2006/customXml" ds:itemID="{E3716282-BFD2-4ED2-BA47-BFA1123827F0}">
  <ds:schemaRefs>
    <ds:schemaRef ds:uri="http://gemini/pivotcustomization/ShowHidden"/>
  </ds:schemaRefs>
</ds:datastoreItem>
</file>

<file path=customXml/itemProps9.xml><?xml version="1.0" encoding="utf-8"?>
<ds:datastoreItem xmlns:ds="http://schemas.openxmlformats.org/officeDocument/2006/customXml" ds:itemID="{7946C510-7D04-49D8-9B25-EEC04582A1CA}">
  <ds:schemaRefs>
    <ds:schemaRef ds:uri="http://schemas.microsoft.com/sharepoint/v3/contenttype/forms"/>
  </ds:schemaRefs>
</ds:datastoreItem>
</file>

<file path=customXml/itemProps10.xml><?xml version="1.0" encoding="utf-8"?>
<ds:datastoreItem xmlns:ds="http://schemas.openxmlformats.org/officeDocument/2006/customXml" ds:itemID="{C0BCDC1E-6052-4E48-9BAF-94A40814E7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39bfab-6331-41a1-b6d4-5b974a316951"/>
    <ds:schemaRef ds:uri="ddcd8467-55ca-498e-a9f8-86795db5db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11.xml><?xml version="1.0" encoding="utf-8"?>
<ds:datastoreItem xmlns:ds="http://schemas.openxmlformats.org/officeDocument/2006/customXml" ds:itemID="{66B09F59-6532-46F8-924A-9A02417E070D}">
  <ds:schemaRefs>
    <ds:schemaRef ds:uri="http://schemas.microsoft.com/DataMashup"/>
  </ds:schemaRefs>
</ds:datastoreItem>
</file>

<file path=customXml/itemProps12.xml><?xml version="1.0" encoding="utf-8"?>
<ds:datastoreItem xmlns:ds="http://schemas.openxmlformats.org/officeDocument/2006/customXml" ds:itemID="{2BC74AAC-D69B-4AF1-9649-B21EF3C1C463}">
  <ds:schemaRefs>
    <ds:schemaRef ds:uri="http://gemini/pivotcustomization/TableWidget"/>
  </ds:schemaRefs>
</ds:datastoreItem>
</file>

<file path=customXml/itemProps13.xml><?xml version="1.0" encoding="utf-8"?>
<ds:datastoreItem xmlns:ds="http://schemas.openxmlformats.org/officeDocument/2006/customXml" ds:itemID="{D3A7101F-9A85-4235-8B03-415370C100B2}">
  <ds:schemaRefs>
    <ds:schemaRef ds:uri="http://gemini/pivotcustomization/SandboxNonEmpty"/>
  </ds:schemaRefs>
</ds:datastoreItem>
</file>

<file path=customXml/itemProps14.xml><?xml version="1.0" encoding="utf-8"?>
<ds:datastoreItem xmlns:ds="http://schemas.openxmlformats.org/officeDocument/2006/customXml" ds:itemID="{F12EFA50-0068-4A8C-85A0-F1B26389EBC3}">
  <ds:schemaRefs>
    <ds:schemaRef ds:uri="http://gemini/pivotcustomization/RelationshipAutoDetectionEnabled"/>
  </ds:schemaRefs>
</ds:datastoreItem>
</file>

<file path=customXml/itemProps15.xml><?xml version="1.0" encoding="utf-8"?>
<ds:datastoreItem xmlns:ds="http://schemas.openxmlformats.org/officeDocument/2006/customXml" ds:itemID="{3AEAA9D8-2182-46BA-A58E-96C72DDA1C54}">
  <ds:schemaRefs>
    <ds:schemaRef ds:uri="http://gemini/pivotcustomization/ShowImplicitMeasures"/>
  </ds:schemaRefs>
</ds:datastoreItem>
</file>

<file path=customXml/itemProps16.xml><?xml version="1.0" encoding="utf-8"?>
<ds:datastoreItem xmlns:ds="http://schemas.openxmlformats.org/officeDocument/2006/customXml" ds:itemID="{1954BBA4-0359-438C-B0EC-A756015F7C02}">
  <ds:schemaRefs>
    <ds:schemaRef ds:uri="http://gemini/pivotcustomization/MeasureGridState"/>
  </ds:schemaRefs>
</ds:datastoreItem>
</file>

<file path=customXml/itemProps17.xml><?xml version="1.0" encoding="utf-8"?>
<ds:datastoreItem xmlns:ds="http://schemas.openxmlformats.org/officeDocument/2006/customXml" ds:itemID="{078388C9-06F9-42F4-B857-EF76B5CAF1FD}">
  <ds:schemaRefs>
    <ds:schemaRef ds:uri="http://gemini/pivotcustomization/PowerPivotVersion"/>
  </ds:schemaRefs>
</ds:datastoreItem>
</file>

<file path=customXml/itemProps18.xml><?xml version="1.0" encoding="utf-8"?>
<ds:datastoreItem xmlns:ds="http://schemas.openxmlformats.org/officeDocument/2006/customXml" ds:itemID="{F6B2B1A1-1C4B-4AC9-9A7D-7A102DD1C942}">
  <ds:schemaRefs>
    <ds:schemaRef ds:uri="http://gemini/pivotcustomization/ManualCalcMode"/>
  </ds:schemaRefs>
</ds:datastoreItem>
</file>

<file path=customXml/itemProps19.xml><?xml version="1.0" encoding="utf-8"?>
<ds:datastoreItem xmlns:ds="http://schemas.openxmlformats.org/officeDocument/2006/customXml" ds:itemID="{BE26B669-A686-459C-A5E9-FEC3409C4C81}">
  <ds:schemaRefs>
    <ds:schemaRef ds:uri="http://gemini/pivotcustomization/IsSandboxEmbedded"/>
  </ds:schemaRefs>
</ds:datastoreItem>
</file>

<file path=customXml/itemProps20.xml><?xml version="1.0" encoding="utf-8"?>
<ds:datastoreItem xmlns:ds="http://schemas.openxmlformats.org/officeDocument/2006/customXml" ds:itemID="{98A113BB-8B7A-453C-8BD4-8EFC67FC2D3F}">
  <ds:schemaRefs>
    <ds:schemaRef ds:uri="http://gemini/pivotcustomization/FormulaBarStat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Year to Date</vt:lpstr>
      <vt:lpstr>1st Qtr</vt:lpstr>
      <vt:lpstr>2nd Qtr</vt:lpstr>
      <vt:lpstr>3rd Qtr</vt:lpstr>
      <vt:lpstr>4th Qtr</vt:lpstr>
      <vt:lpstr>Jan</vt:lpstr>
      <vt:lpstr>Feb</vt:lpstr>
      <vt:lpstr>Mar</vt:lpstr>
      <vt:lpstr>May</vt:lpstr>
      <vt:lpstr>Apr</vt:lpstr>
      <vt:lpstr>Jun</vt:lpstr>
      <vt:lpstr>Jul</vt:lpstr>
      <vt:lpstr>Aug</vt:lpstr>
      <vt:lpstr>Sep</vt:lpstr>
      <vt:lpstr>Oct</vt:lpstr>
      <vt:lpstr>Nov</vt:lpstr>
      <vt:lpstr>Dec</vt:lpstr>
      <vt:lpstr>Sites</vt:lpstr>
      <vt:lpstr>portfolio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Dileep Siriki [AGS]</cp:lastModifiedBy>
  <cp:revision/>
  <dcterms:created xsi:type="dcterms:W3CDTF">2021-01-01T16:39:53Z</dcterms:created>
  <dcterms:modified xsi:type="dcterms:W3CDTF">2024-04-15T21:17:57Z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