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rch/"/>
    </mc:Choice>
  </mc:AlternateContent>
  <xr:revisionPtr revIDLastSave="30" documentId="13_ncr:1_{E055DD24-2325-45FB-9662-429E1B6D4754}" xr6:coauthVersionLast="47" xr6:coauthVersionMax="47" xr10:uidLastSave="{0FC260A8-6EF5-4BA2-B937-2D6EC057FB42}"/>
  <bookViews>
    <workbookView xWindow="35880" yWindow="-120" windowWidth="29040" windowHeight="15720" tabRatio="866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<sst xmlns="http://schemas.openxmlformats.org/spreadsheetml/2006/main" count="244" uniqueCount="56">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</sst>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topRight"/>
      <selection pane="bottomLeft"/>
      <selection pane="bottomRight" activeCell="A6" sqref="A6:XFD36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56" t="str" cm="1">
        <f t="array" ref="A1">portfolio</f>
        <v>HAJJAR SOLAR LLC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SUM(C4:C69)</f>
        <v>156184.18207705702</v>
      </c>
      <c r="D2" s="5">
        <f>SUM(D4:D69)</f>
        <v>0</v>
      </c>
      <c r="E2" s="5">
        <f>C2-D2</f>
        <v>156184.18207705702</v>
      </c>
      <c r="F2" s="6">
        <f>IFERROR(E2/D2, 0)</f>
        <v>0</v>
      </c>
      <c r="G2" s="5">
        <f>SUM(G4:G69)</f>
        <v>213712.09</v>
      </c>
      <c r="H2" s="7">
        <f>C2-G2</f>
        <v>-57527.907922942977</v>
      </c>
      <c r="I2" s="6">
        <f>IFERROR(H2/G2, 0)</f>
        <v>-0.26918415295523512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5" x14ac:dyDescent="0.25">
      <c r="A4" s="12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SUM('1st Qtr'!C4, '2nd Qtr'!C4, '3rd Qtr'!C4, '4th Qtr'!C4)</f>
        <v>63026.31208193981</v>
      </c>
      <c r="D4" s="13">
        <f>SUM('1st Qtr'!D4, '2nd Qtr'!D4, '3rd Qtr'!D4, '4th Qtr'!D4)</f>
        <v>0</v>
      </c>
      <c r="E4" s="13">
        <f>IF(AND(ISNUMBER(C4),ISNUMBER(D4)), C4-D4, "")</f>
        <v>63026.31208193981</v>
      </c>
      <c r="F4" s="14" t="str">
        <f>IFERROR(E4/D4, "")</f>
        <v/>
      </c>
      <c r="G4" s="15">
        <f>SUM('1st Qtr'!G4, '2nd Qtr'!G4, '3rd Qtr'!G4, '4th Qtr'!G4)</f>
        <v>90610</v>
      </c>
      <c r="H4" s="15">
        <f>SUM('1st Qtr'!H4, '2nd Qtr'!H4, '3rd Qtr'!H4, '4th Qtr'!H4)</f>
        <v>-27583.68791806019</v>
      </c>
      <c r="I4" s="16">
        <f>IFERROR(H4/G4, "")</f>
        <v>-0.30442211585984097</v>
      </c>
    </row>
    <row r="5" spans="1:9" ht="15.5" x14ac:dyDescent="0.25">
      <c r="A5" s="1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SUM('1st Qtr'!G5, '2nd Qtr'!G5, '3rd Qtr'!G5, '4th Qtr'!G5)</f>
        <v>123102.09</v>
      </c>
      <c r="H5" s="20">
        <f>SUM(Jan!H5, Feb!H5, Mar!H5)</f>
        <v>-29944.220004882798</v>
      </c>
      <c r="I5" s="19">
        <f>IFERROR(H5/G5, "")</f>
        <v>-0.24324704807922271</v>
      </c>
    </row>
    <row r="6" spans="1:9" ht="13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C24" sqref="C2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56" t="str" cm="1">
        <f t="array" ref="A1">portfolio</f>
        <v>HAJJAR SOLAR LLC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SUM(C4:C69)</f>
        <v>156184.18207705702</v>
      </c>
      <c r="D2" s="5">
        <f>SUM(D4:D69)</f>
        <v>0</v>
      </c>
      <c r="E2" s="5">
        <f>C2-D2</f>
        <v>156184.18207705702</v>
      </c>
      <c r="F2" s="6">
        <f>IFERROR(E2/D2, 0)</f>
        <v>0</v>
      </c>
      <c r="G2" s="5">
        <f>SUM(G4:G69)</f>
        <v>213712.09</v>
      </c>
      <c r="H2" s="7">
        <f>C2-G2</f>
        <v>-57527.907922942977</v>
      </c>
      <c r="I2" s="6">
        <f>IFERROR(H2/G2, 0)</f>
        <v>-0.26918415295523512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5" x14ac:dyDescent="0.25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SUM(Jan!C4, Feb!C4, Mar!C4)</f>
        <v>63026.31208193981</v>
      </c>
      <c r="D4" s="13">
        <f>SUM(Jan!D4, Feb!D4, Mar!D4)</f>
        <v>0</v>
      </c>
      <c r="E4" s="13">
        <f>IF(AND(ISNUMBER(C4),ISNUMBER(D4)), C4-D4, "")</f>
        <v>63026.31208193981</v>
      </c>
      <c r="F4" s="14" t="str">
        <f>IFERROR(E4/D4, "")</f>
        <v/>
      </c>
      <c r="G4" s="15">
        <f>SUM(Jan!G4, Feb!G4, Mar!G4)</f>
        <v>90610</v>
      </c>
      <c r="H4" s="15">
        <f>SUM(Jan!H4, Feb!H4, Mar!H4)</f>
        <v>-27583.68791806019</v>
      </c>
      <c r="I4" s="16">
        <f>IFERROR(H4/G4, "")</f>
        <v>-0.30442211585984097</v>
      </c>
    </row>
    <row r="5" spans="1:9" ht="15.5" x14ac:dyDescent="0.25">
      <c r="A5" s="4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SUM(Jan!G5, Feb!G5, Mar!G5)</f>
        <v>123102.09</v>
      </c>
      <c r="H5" s="20">
        <f>SUM(Jan!H5, Feb!H5, Mar!H5)</f>
        <v>-29944.220004882798</v>
      </c>
      <c r="I5" s="19">
        <f>IFERROR(H5/G5, "")</f>
        <v>-0.24324704807922271</v>
      </c>
    </row>
    <row r="6" spans="1:9" ht="13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13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56" t="str" cm="1">
        <f t="array" ref="A1">portfolio</f>
        <v>HAJJAR SOLAR LLC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5" x14ac:dyDescent="0.25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5" x14ac:dyDescent="0.25">
      <c r="A5" s="47" t="str">
        <v>Hanover - Hajjar Solar LLC</v>
      </c>
      <c r="B5" s="10" t="str">
        <v>MA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3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56" t="str" cm="1">
        <f t="array" ref="A1">portfolio</f>
        <v>HAJJAR SOLAR LLC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5" x14ac:dyDescent="0.25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5" x14ac:dyDescent="0.25">
      <c r="A5" s="47" t="str">
        <v>Hanover - Hajjar Solar LLC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56" t="str" cm="1">
        <f t="array" ref="A1">portfolio</f>
        <v>HAJJAR SOLAR LLC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5" x14ac:dyDescent="0.25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5" x14ac:dyDescent="0.25">
      <c r="A5" s="47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C14" sqref="C14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SUM(C4:C68)</f>
        <v>22427.427488840913</v>
      </c>
      <c r="D2" s="5">
        <f>SUM(D4:D68)</f>
        <v>0</v>
      </c>
      <c r="E2" s="5">
        <f>C2-D2</f>
        <v>22427.427488840913</v>
      </c>
      <c r="F2" s="6">
        <f>IFERROR(E2/D2, 0)</f>
        <v>0</v>
      </c>
      <c r="G2" s="5">
        <f>SUM(G4:G68)</f>
        <v>52572.45</v>
      </c>
      <c r="H2" s="7">
        <f>C2-G2</f>
        <v>-30145.022511159084</v>
      </c>
      <c r="I2" s="6">
        <f>IFERROR(H2/G2, 0)</f>
        <v>-0.57339961350781798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13">
        <v>7854.4374986065104</v>
      </c>
      <c r="D4" s="13">
        <v>0</v>
      </c>
      <c r="E4" s="13">
        <f>IF(AND(ISNUMBER(C4),ISNUMBER(D4)), C4-D4, "")</f>
        <v>7854.4374986065104</v>
      </c>
      <c r="F4" s="43" t="str">
        <f>IFERROR(E4/D4, "")</f>
        <v/>
      </c>
      <c r="G4" s="15">
        <v>23810</v>
      </c>
      <c r="H4" s="15">
        <f>IF(AND(ISNUMBER(C4),ISNUMBER(G4)), C4-G4, "")</f>
        <v>-15955.56250139349</v>
      </c>
      <c r="I4" s="16">
        <f>IFERROR(H4/G4, "")</f>
        <v>-0.67012022265407345</v>
      </c>
      <c r="J4" s="40"/>
      <c r="K4" s="40"/>
    </row>
    <row r="5" spans="1:11" ht="15.5" x14ac:dyDescent="0.25">
      <c r="A5" s="50" t="str">
        <v>Hanover - Hajjar Solar LLC</v>
      </c>
      <c r="B5" s="30" t="str">
        <v>MA</v>
      </c>
      <c r="C5" s="18">
        <v>14572.9899902344</v>
      </c>
      <c r="D5" s="18">
        <v>0</v>
      </c>
      <c r="E5" s="18">
        <f t="shared" ref="E5" si="0">IF(AND(ISNUMBER(C5),ISNUMBER(D5)), C5-D5, "")</f>
        <v>14572.9899902344</v>
      </c>
      <c r="F5" s="43" t="str">
        <f t="shared" ref="F5" si="1">IFERROR(E5/D5, "")</f>
        <v/>
      </c>
      <c r="G5" s="20">
        <v>28762.45</v>
      </c>
      <c r="H5" s="20">
        <f t="shared" ref="H5" si="2">IF(AND(ISNUMBER(C5),ISNUMBER(G5)), C5-G5, "")</f>
        <v>-14189.4600097656</v>
      </c>
      <c r="I5" s="19">
        <f t="shared" ref="I5" si="3">IFERROR(H5/G5, "")</f>
        <v>-0.49333280057038253</v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6:F68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55384.754588216107</v>
      </c>
      <c r="D2" s="5">
        <f>SUM(D4:D69)</f>
        <v>0</v>
      </c>
      <c r="E2" s="5">
        <f>C2-D2</f>
        <v>55384.754588216107</v>
      </c>
      <c r="F2" s="6">
        <f>IFERROR(E2/D2, 0)</f>
        <v>0</v>
      </c>
      <c r="G2" s="5">
        <f>SUM(G4:G69)</f>
        <v>66869.64</v>
      </c>
      <c r="H2" s="7">
        <f>C2-G2</f>
        <v>-11484.885411783893</v>
      </c>
      <c r="I2" s="6">
        <f>IFERROR(H2/G2, 0)</f>
        <v>-0.17175037000025561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24">
        <v>23218.874583333301</v>
      </c>
      <c r="D4" s="13">
        <v>0</v>
      </c>
      <c r="E4" s="13">
        <f>IF(AND(ISNUMBER(C4),ISNUMBER(D4)), C4-D4, "")</f>
        <v>23218.874583333301</v>
      </c>
      <c r="F4" s="14" t="str">
        <f>IFERROR(E4/D4, "")</f>
        <v/>
      </c>
      <c r="G4" s="15">
        <v>28409</v>
      </c>
      <c r="H4" s="15">
        <f>IF(AND(ISNUMBER(C4),ISNUMBER(G4)), C4-G4, "")</f>
        <v>-5190.1254166666986</v>
      </c>
      <c r="I4" s="16">
        <f>IFERROR(H4/G4, "")</f>
        <v>-0.18269299928426549</v>
      </c>
      <c r="J4" s="40"/>
      <c r="K4" s="40"/>
    </row>
    <row r="5" spans="1:11" ht="15.5" x14ac:dyDescent="0.25">
      <c r="A5" s="50" t="str">
        <v>Hanover - Hajjar Solar LLC</v>
      </c>
      <c r="B5" s="30" t="str">
        <v>MA</v>
      </c>
      <c r="C5" s="11">
        <v>32165.880004882802</v>
      </c>
      <c r="D5" s="18">
        <v>0</v>
      </c>
      <c r="E5" s="18">
        <f t="shared" ref="E5" si="0">IF(AND(ISNUMBER(C5),ISNUMBER(D5)), C5-D5, "")</f>
        <v>32165.880004882802</v>
      </c>
      <c r="F5" s="19" t="str">
        <f>IFERROR(E5/D5, "")</f>
        <v/>
      </c>
      <c r="G5" s="20">
        <v>38460.639999999999</v>
      </c>
      <c r="H5" s="20">
        <f t="shared" ref="H5" si="1">IF(AND(ISNUMBER(C5),ISNUMBER(G5)), C5-G5, "")</f>
        <v>-6294.7599951171978</v>
      </c>
      <c r="I5" s="19">
        <f t="shared" ref="I5" si="2">IFERROR(H5/G5, "")</f>
        <v>-0.16366758314778948</v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tabSelected="1"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H23" sqref="H23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78372</v>
      </c>
      <c r="D2" s="5">
        <f>SUM(D4:D69)</f>
        <v>0</v>
      </c>
      <c r="E2" s="5">
        <f>C2-D2</f>
        <v>78372</v>
      </c>
      <c r="F2" s="6">
        <f>IFERROR(E2/D2, 0)</f>
        <v>0</v>
      </c>
      <c r="G2" s="5">
        <f>SUM(G4:G69)</f>
        <v>94270</v>
      </c>
      <c r="H2" s="7">
        <f>C2-G2</f>
        <v>-15898</v>
      </c>
      <c r="I2" s="6">
        <f>IFERROR(H2/G2, 0)</f>
        <v>-0.16864325872493902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31953</v>
      </c>
      <c r="D4" s="13">
        <v>0</v>
      </c>
      <c r="E4" s="13">
        <f>IF(AND(ISNUMBER(C4),ISNUMBER(D4)), C4-D4, "")</f>
        <v>31953</v>
      </c>
      <c r="F4" s="14" t="str">
        <f>IFERROR(E4/D4, "")</f>
        <v/>
      </c>
      <c r="G4" s="15">
        <v>38391</v>
      </c>
      <c r="H4" s="15">
        <f>IF(AND(ISNUMBER(C4),ISNUMBER(G4)), C4-G4, "")</f>
        <v>-6438</v>
      </c>
      <c r="I4" s="16">
        <f>IFERROR(H4/G4, "")</f>
        <v>-0.16769555364538563</v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>
        <v>46419</v>
      </c>
      <c r="D5" s="18">
        <v>0</v>
      </c>
      <c r="E5" s="18">
        <f t="shared" ref="E5" si="0">IF(AND(ISNUMBER(C5),ISNUMBER(D5)), C5-D5, "")</f>
        <v>46419</v>
      </c>
      <c r="F5" s="19" t="str">
        <f>IFERROR(E5/D5, "")</f>
        <v/>
      </c>
      <c r="G5" s="20">
        <v>55879</v>
      </c>
      <c r="H5" s="20">
        <f t="shared" ref="H5" si="1">IF(AND(ISNUMBER(C5),ISNUMBER(G5)), C5-G5, "")</f>
        <v>-9460</v>
      </c>
      <c r="I5" s="19">
        <f t="shared" ref="I5" si="2">IFERROR(H5/G5, "")</f>
        <v>-0.1692943681884071</v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F15" sqref="F15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32</v>
      </c>
      <c r="E1" s="57"/>
      <c r="F1" s="57"/>
      <c r="G1" s="55" t="s">
        <v>33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38</v>
      </c>
      <c r="E1" s="57"/>
      <c r="F1" s="57"/>
      <c r="G1" s="55" t="s">
        <v>39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topRight" activeCell="A6" sqref="A6:XFD36"/>
      <selection pane="bottomLeft" activeCell="A6" sqref="A6:XFD36"/>
      <selection pane="bottomRight" activeCell="A6" sqref="A6:XFD3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56" t="str" cm="1">
        <f t="array" ref="A1">portfolio</f>
        <v>HAJJAR SOLAR LLC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5" x14ac:dyDescent="0.3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5" x14ac:dyDescent="0.25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5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24.1796875" customWidth="1"/>
    <col min="6" max="10" width="9.1796875" customWidth="1"/>
    <col min="11" max="12" width="22" bestFit="1" customWidth="1"/>
    <col min="13" max="14" width="9.1796875" customWidth="1"/>
  </cols>
  <sheetData>
    <row r="1" spans="1:12" ht="12.75" customHeight="1" x14ac:dyDescent="0.25">
      <c r="A1" t="s">
        <v>44</v>
      </c>
      <c r="B1" s="2" t="s">
        <v>45</v>
      </c>
    </row>
    <row r="3" spans="1:12" ht="12.5" x14ac:dyDescent="0.2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5" x14ac:dyDescent="0.35">
      <c r="A4" s="51" t="s">
        <v>49</v>
      </c>
      <c r="B4" s="51" t="s">
        <v>50</v>
      </c>
      <c r="C4" s="51" t="s">
        <v>51</v>
      </c>
      <c r="D4" s="52"/>
      <c r="E4" s="54" t="s">
        <v>52</v>
      </c>
      <c r="G4" s="3"/>
    </row>
    <row r="5" spans="1:12" ht="14.5" x14ac:dyDescent="0.35">
      <c r="A5" s="53" t="s">
        <v>53</v>
      </c>
      <c r="B5" s="53" t="s">
        <v>54</v>
      </c>
      <c r="C5" s="51" t="s">
        <v>51</v>
      </c>
      <c r="D5" s="52" t="s">
        <v>55</v>
      </c>
      <c r="E5" s="54" t="s">
        <v>52</v>
      </c>
      <c r="G5" s="3"/>
    </row>
    <row r="6" spans="1:12" ht="14.5" x14ac:dyDescent="0.35">
      <c r="A6" s="48"/>
      <c r="C6" s="45"/>
      <c r="D6" s="44"/>
      <c r="G6" s="3"/>
    </row>
    <row r="7" spans="1:12" ht="12.75" customHeight="1" x14ac:dyDescent="0.25">
      <c r="A7" s="48"/>
      <c r="C7" s="45"/>
      <c r="D7" s="44"/>
    </row>
    <row r="8" spans="1:12" ht="12.75" customHeight="1" x14ac:dyDescent="0.25">
      <c r="A8" s="48"/>
      <c r="C8" s="45"/>
      <c r="D8" s="44"/>
    </row>
    <row r="9" spans="1:12" ht="12.75" customHeight="1" x14ac:dyDescent="0.25">
      <c r="A9" s="48"/>
      <c r="C9" s="45"/>
      <c r="D9" s="44"/>
    </row>
    <row r="10" spans="1:12" ht="12.75" customHeight="1" x14ac:dyDescent="0.25">
      <c r="A10" s="48"/>
      <c r="C10" s="45"/>
      <c r="D10" s="44"/>
      <c r="K10" s="42"/>
      <c r="L10" s="42"/>
    </row>
    <row r="11" spans="1:12" ht="12.75" customHeight="1" x14ac:dyDescent="0.25">
      <c r="A11" s="48"/>
      <c r="C11" s="45"/>
      <c r="D11" s="44"/>
      <c r="K11" s="42"/>
      <c r="L11" s="42"/>
    </row>
    <row r="12" spans="1:12" ht="12.75" customHeight="1" x14ac:dyDescent="0.25">
      <c r="A12" s="48"/>
      <c r="C12" s="45"/>
      <c r="D12" s="44"/>
      <c r="K12" s="42"/>
      <c r="L12" s="42"/>
    </row>
    <row r="13" spans="1:12" ht="12.75" customHeight="1" x14ac:dyDescent="0.25">
      <c r="A13" s="48"/>
      <c r="C13" s="45"/>
      <c r="D13" s="44"/>
      <c r="K13" s="42"/>
      <c r="L13" s="42"/>
    </row>
    <row r="14" spans="1:12" ht="12.75" customHeight="1" x14ac:dyDescent="0.25">
      <c r="A14" s="48"/>
      <c r="C14" s="45"/>
      <c r="D14" s="44"/>
      <c r="K14" s="42"/>
      <c r="L14" s="42"/>
    </row>
    <row r="15" spans="1:12" ht="12.75" customHeight="1" x14ac:dyDescent="0.25">
      <c r="A15" s="48"/>
      <c r="C15" s="45"/>
      <c r="D15" s="44"/>
      <c r="K15" s="42"/>
      <c r="L15" s="42"/>
    </row>
    <row r="16" spans="1:12" ht="12.75" customHeight="1" x14ac:dyDescent="0.25">
      <c r="A16" s="48"/>
      <c r="C16" s="45"/>
      <c r="D16" s="44"/>
      <c r="K16" s="42"/>
      <c r="L16" s="42"/>
    </row>
    <row r="17" spans="1:12" ht="12.75" customHeight="1" x14ac:dyDescent="0.25">
      <c r="A17" s="48"/>
      <c r="C17" s="45"/>
      <c r="D17" s="44"/>
      <c r="K17" s="42"/>
      <c r="L17" s="42"/>
    </row>
    <row r="18" spans="1:12" ht="12.75" customHeight="1" x14ac:dyDescent="0.25">
      <c r="A18" s="48"/>
      <c r="C18" s="45"/>
      <c r="D18" s="44"/>
      <c r="K18" s="42"/>
      <c r="L18" s="42"/>
    </row>
    <row r="19" spans="1:12" ht="12.75" customHeight="1" x14ac:dyDescent="0.25">
      <c r="A19" s="48"/>
      <c r="C19" s="45"/>
      <c r="D19" s="44"/>
      <c r="K19" s="42"/>
      <c r="L19" s="42"/>
    </row>
    <row r="20" spans="1:12" ht="12.75" customHeight="1" x14ac:dyDescent="0.25">
      <c r="A20" s="48"/>
      <c r="C20" s="45"/>
      <c r="D20" s="44"/>
      <c r="K20" s="42"/>
      <c r="L20" s="42"/>
    </row>
    <row r="21" spans="1:12" ht="12.75" customHeight="1" x14ac:dyDescent="0.25">
      <c r="A21" s="48"/>
      <c r="C21" s="45"/>
      <c r="D21" s="44"/>
      <c r="K21" s="42"/>
      <c r="L21" s="42"/>
    </row>
    <row r="22" spans="1:12" ht="12.75" customHeight="1" x14ac:dyDescent="0.25">
      <c r="A22" s="48"/>
      <c r="C22" s="45"/>
      <c r="D22" s="44"/>
      <c r="K22" s="42"/>
      <c r="L22" s="42"/>
    </row>
    <row r="23" spans="1:12" ht="12.75" customHeight="1" x14ac:dyDescent="0.25">
      <c r="A23" s="48"/>
      <c r="C23" s="45"/>
      <c r="D23" s="44"/>
      <c r="K23" s="42"/>
      <c r="L23" s="42"/>
    </row>
    <row r="24" spans="1:12" ht="12.75" customHeight="1" x14ac:dyDescent="0.25">
      <c r="A24" s="48"/>
      <c r="C24" s="45"/>
      <c r="D24" s="44"/>
      <c r="K24" s="42"/>
      <c r="L24" s="42"/>
    </row>
    <row r="25" spans="1:12" ht="12.75" customHeight="1" x14ac:dyDescent="0.25">
      <c r="A25" s="48"/>
      <c r="C25" s="45"/>
      <c r="D25" s="44"/>
      <c r="K25" s="42"/>
      <c r="L25" s="42"/>
    </row>
    <row r="26" spans="1:12" ht="12.75" customHeight="1" x14ac:dyDescent="0.25">
      <c r="K26" s="42"/>
      <c r="L26" s="42"/>
    </row>
    <row r="27" spans="1:12" ht="12.75" customHeight="1" x14ac:dyDescent="0.25">
      <c r="K27" s="42"/>
      <c r="L27" s="42"/>
    </row>
    <row r="28" spans="1:12" ht="12.75" customHeight="1" x14ac:dyDescent="0.25">
      <c r="K28" s="42"/>
      <c r="L28" s="42"/>
    </row>
    <row r="29" spans="1:12" ht="12.75" customHeight="1" x14ac:dyDescent="0.25">
      <c r="K29" s="42"/>
      <c r="L29" s="42"/>
    </row>
    <row r="30" spans="1:12" ht="12.75" customHeight="1" x14ac:dyDescent="0.25">
      <c r="K30" s="42"/>
      <c r="L30" s="42"/>
    </row>
    <row r="31" spans="1:12" ht="12.75" customHeight="1" x14ac:dyDescent="0.25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www.w3.org/XML/1998/namespace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2024-05-15T11:31:59Z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