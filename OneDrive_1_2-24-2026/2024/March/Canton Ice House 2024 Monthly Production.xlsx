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42" documentId="13_ncr:1_{E055DD24-2325-45FB-9662-429E1B6D4754}" xr6:coauthVersionLast="47" xr6:coauthVersionMax="47" xr10:uidLastSave="{BDDAD28A-5EDB-4031-82BA-A70B2C38BB3C}"/>
  <bookViews>
    <workbookView xWindow="-108" yWindow="-108" windowWidth="23256" windowHeight="12456" tabRatio="866" firstSheet="7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D4" i="34" s="1"/>
  <c r="B4" i="1" a="1"/>
  <c r="B4" i="1" s="1"/>
  <c r="A4" i="1" a="1"/>
  <c r="A4" i="1" s="1"/>
  <c r="A1" i="1" a="1"/>
  <c r="A1" i="1" s="1"/>
  <c r="I4" i="33"/>
  <c r="H4" i="33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<sst xmlns="http://schemas.openxmlformats.org/spreadsheetml/2006/main" count="246" uniqueCount="59">
  <si>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</si>
  <si>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</si>
  <si>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</si>
  <si>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</si>
  <si>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</si>
  <si>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</si>
  <si>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</si>
  <si>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</si>
  <si>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</si>
  <si>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</si>
  <si>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</si>
  <si>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</si>
  <si>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</si>
  <si>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</si>
  <si>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</si>
  <si>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</si>
  <si>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</si>
  <si>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</si>
  <si>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</si>
  <si>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</si>
  <si>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</si>
  <si>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</si>
  <si>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9 was offline since 01/07.</t>
  </si>
  <si>
    <t xml:space="preserve"> 1. SR080386</t>
  </si>
  <si>
    <t>February Actual v. Expected</t>
  </si>
  <si>
    <t>February Actual v. Forecasted</t>
  </si>
  <si>
    <t>1. Inverter 9 is offline throughout the month. 
2. Inverter 3 tripped offline at 11:30 on 02/16 &amp; back online on 02/20 at 09:30</t>
  </si>
  <si>
    <t>1.SR080386
2.SR081057</t>
  </si>
  <si>
    <t>March Actual v. Expected</t>
  </si>
  <si>
    <t>March Actual v. Forecasted</t>
  </si>
  <si>
    <t xml:space="preserve">1. Site tripped offline on 03/12 at 09:30 &amp; continued throughout the month. 
2. Inverter 9 is offline throughout the month. </t>
  </si>
  <si>
    <t>1.SR081798
2.SR080386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</si>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</sst>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SUM(C4:C52)</f>
        <v>53753.287009765598</v>
      </c>
      <c r="D2" s="5">
        <f>SUM(D4:D52)</f>
        <v>0</v>
      </c>
      <c r="E2" s="5">
        <f>C2-D2</f>
        <v>53753.287009765598</v>
      </c>
      <c r="F2" s="6">
        <f>IFERROR(E2/D2, 0)</f>
        <v>0</v>
      </c>
      <c r="G2" s="5">
        <f>SUM(G4:G52)</f>
        <v>0</v>
      </c>
      <c r="H2" s="7">
        <f>C2-G2</f>
        <v>53753.287009765598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53753.287009765598</v>
      </c>
      <c r="D4" s="11">
        <f>SUM('1st Qtr'!D4, '2nd Qtr'!D4, '3rd Qtr'!D4, '4th Qtr'!D4)</f>
        <v>0</v>
      </c>
      <c r="E4" s="11">
        <f>IF(AND(ISNUMBER(C4),ISNUMBER(D4)), C4-D4, "")</f>
        <v>53753.287009765598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53753.287009765598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SUM(C4:C52)</f>
        <v>53753.287009765598</v>
      </c>
      <c r="D2" s="5">
        <f>SUM(D4:D52)</f>
        <v>0</v>
      </c>
      <c r="E2" s="5">
        <f>C2-D2</f>
        <v>53753.287009765598</v>
      </c>
      <c r="F2" s="6">
        <f>IFERROR(E2/D2, 0)</f>
        <v>0</v>
      </c>
      <c r="G2" s="5">
        <f>SUM(G4:G52)</f>
        <v>0</v>
      </c>
      <c r="H2" s="7">
        <f>C2-G2</f>
        <v>53753.287009765598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53753.287009765598</v>
      </c>
      <c r="D4" s="11">
        <f>SUM(Jan!D4, Feb!D4, Mar!D4)</f>
        <v>0</v>
      </c>
      <c r="E4" s="11">
        <f>IF(AND(ISNUMBER(C4),ISNUMBER(D4)), C4-D4, "")</f>
        <v>53753.287009765598</v>
      </c>
      <c r="F4" s="12" t="str">
        <f>IFERROR(E4/D4, "")</f>
        <v/>
      </c>
      <c r="G4" s="13">
        <f>SUM(Jan!G4, Feb!G4, Mar!G4)</f>
        <v>0</v>
      </c>
      <c r="H4" s="13">
        <f>SUM(Jan!H4, Feb!H4, Mar!H4)</f>
        <v>53753.287009765598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Canton Ice House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tabSelected="1" workbookViewId="0">
      <pane xSplit="2" ySplit="3" topLeftCell="C4" activePane="bottomRight" state="frozen"/>
      <selection pane="bottomRight" activeCell="J8" sqref="J8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SUM(C4:C51)</f>
        <v>10619.7600097656</v>
      </c>
      <c r="D2" s="5">
        <f>SUM(D4:D51)</f>
        <v>0</v>
      </c>
      <c r="E2" s="5">
        <f>C2-D2</f>
        <v>10619.7600097656</v>
      </c>
      <c r="F2" s="6">
        <f>IFERROR(E2/D2, 0)</f>
        <v>0</v>
      </c>
      <c r="G2" s="5">
        <f>SUM(G4:G51)</f>
        <v>0</v>
      </c>
      <c r="H2" s="7">
        <f>C2-G2</f>
        <v>10619.7600097656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10619.7600097656</v>
      </c>
      <c r="D4" s="41">
        <v>0</v>
      </c>
      <c r="E4" s="11">
        <f>IF(AND(ISNUMBER(C4),ISNUMBER(D4)), C4-D4, "")</f>
        <v>10619.7600097656</v>
      </c>
      <c r="F4" s="34" t="str">
        <f>IFERROR(E4/D4, "")</f>
        <v/>
      </c>
      <c r="G4" s="13">
        <v>0</v>
      </c>
      <c r="H4" s="13">
        <f>IF(AND(ISNUMBER(C4),ISNUMBER(G4)), C4-G4, "")</f>
        <v>10619.7600097656</v>
      </c>
      <c r="I4" s="14" t="str">
        <f>IFERROR(H4/G4, "")</f>
        <v/>
      </c>
      <c r="J4" s="42" t="s">
        <v>22</v>
      </c>
      <c r="K4" s="42" t="s">
        <v>23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94"/>
  <sheetViews>
    <sheetView workbookViewId="0">
      <pane xSplit="2" ySplit="3" topLeftCell="C4" activePane="bottomRight" state="frozen"/>
      <selection pane="bottomRight" activeCell="K4" sqref="K4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30895</v>
      </c>
      <c r="D2" s="5">
        <f>SUM(D4:D52)</f>
        <v>0</v>
      </c>
      <c r="E2" s="5">
        <f>C2-D2</f>
        <v>30895</v>
      </c>
      <c r="F2" s="6">
        <f>IFERROR(E2/D2, 0)</f>
        <v>0</v>
      </c>
      <c r="G2" s="5">
        <f>SUM(G4:G52)</f>
        <v>0</v>
      </c>
      <c r="H2" s="7">
        <f>C2-G2</f>
        <v>30895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39" t="str" cm="1">
        <f t="array" ref="A4">Sites[Site]</f>
        <v>MA: Canton - Canton Ice House</v>
      </c>
      <c r="B4" s="22" t="str" cm="1">
        <f t="array" ref="B4">Sites[State]</f>
        <v>MA</v>
      </c>
      <c r="C4" s="18">
        <v>30895</v>
      </c>
      <c r="D4" s="11">
        <v>0</v>
      </c>
      <c r="E4" s="11">
        <f>IF(AND(ISNUMBER(C4),ISNUMBER(D4)), C4-D4, "")</f>
        <v>30895</v>
      </c>
      <c r="F4" s="12" t="str">
        <f>IFERROR(E4/D4, "")</f>
        <v/>
      </c>
      <c r="G4" s="13">
        <v>0</v>
      </c>
      <c r="H4" s="13">
        <f>IF(AND(ISNUMBER(C4),ISNUMBER(G4)), C4-G4, "")</f>
        <v>30895</v>
      </c>
      <c r="I4" s="14" t="str">
        <f>IFERROR(H4/G4, "")</f>
        <v/>
      </c>
      <c r="J4" s="43" t="s">
        <v>26</v>
      </c>
      <c r="K4" s="43" t="s">
        <v>27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294"/>
  <sheetViews>
    <sheetView workbookViewId="0">
      <pane xSplit="2" ySplit="3" topLeftCell="C4" activePane="bottomRight" state="frozen"/>
      <selection pane="bottomRight" activeCell="J11" sqref="J11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12238.527</v>
      </c>
      <c r="D2" s="5">
        <f>SUM(D4:D52)</f>
        <v>0</v>
      </c>
      <c r="E2" s="5">
        <f>C2-D2</f>
        <v>12238.527</v>
      </c>
      <c r="F2" s="6">
        <f>IFERROR(E2/D2, 0)</f>
        <v>0</v>
      </c>
      <c r="G2" s="5">
        <f>SUM(G4:G52)</f>
        <v>0</v>
      </c>
      <c r="H2" s="7">
        <f>C2-G2</f>
        <v>12238.527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30.75">
      <c r="A4" s="23" t="str" cm="1">
        <f t="array" ref="A4">Sites[Site]</f>
        <v>MA: Canton - Canton Ice House</v>
      </c>
      <c r="B4" s="22" t="str" cm="1">
        <f t="array" ref="B4">Sites[State]</f>
        <v>MA</v>
      </c>
      <c r="C4" s="44">
        <v>12238.527</v>
      </c>
      <c r="D4" s="11">
        <v>0</v>
      </c>
      <c r="E4" s="11">
        <f>IF(AND(ISNUMBER(C4),ISNUMBER(D4)), C4-D4, "")</f>
        <v>12238.527</v>
      </c>
      <c r="F4" s="12" t="str">
        <f>IFERROR(E4/D4, "")</f>
        <v/>
      </c>
      <c r="G4" s="13">
        <v>0</v>
      </c>
      <c r="H4" s="13">
        <f>IF(AND(ISNUMBER(C4),ISNUMBER(G4)), C4-G4, "")</f>
        <v>12238.527</v>
      </c>
      <c r="I4" s="14" t="str">
        <f>IFERROR(H4/G4, "")</f>
        <v/>
      </c>
      <c r="J4" s="32" t="s">
        <v>30</v>
      </c>
      <c r="K4" s="32" t="s">
        <v>31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294"/>
  <sheetViews>
    <sheetView workbookViewId="0">
      <pane xSplit="2" ySplit="3" topLeftCell="C20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294"/>
  <sheetViews>
    <sheetView workbookViewId="0">
      <pane xSplit="2" ySplit="3" topLeftCell="C4" activePane="bottomRight" state="frozen"/>
      <selection pane="bottomRight" activeCell="B20" sqref="B20"/>
      <selection pane="bottomLeft" activeCell="B20" sqref="B20"/>
      <selection pane="topRight" activeCell="B20" sqref="B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Canton Ice House</v>
      </c>
      <c r="B1" s="46"/>
      <c r="C1" s="46"/>
      <c r="D1" s="47" t="s">
        <v>48</v>
      </c>
      <c r="E1" s="47"/>
      <c r="F1" s="47"/>
      <c r="G1" s="45" t="s">
        <v>49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SUM(C4:C52)</f>
        <v>0</v>
      </c>
      <c r="D2" s="5">
        <f>SUM(D4:D52)</f>
        <v>0</v>
      </c>
      <c r="E2" s="5">
        <f>C2-D2</f>
        <v>0</v>
      </c>
      <c r="F2" s="6">
        <f>IFERROR(E2/D2, 0)</f>
        <v>0</v>
      </c>
      <c r="G2" s="5">
        <f>SUM(G4:G52)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1" sqref="E1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50</v>
      </c>
      <c r="B1" t="s">
        <v>51</v>
      </c>
    </row>
    <row r="3" spans="1:12" ht="13.15">
      <c r="A3" t="s">
        <v>52</v>
      </c>
      <c r="B3" t="s">
        <v>3</v>
      </c>
      <c r="C3" t="s">
        <v>4</v>
      </c>
      <c r="D3" t="s">
        <v>53</v>
      </c>
      <c r="E3" s="2" t="s">
        <v>54</v>
      </c>
    </row>
    <row r="4" spans="1:12" ht="14.45">
      <c r="A4" s="38" t="s">
        <v>51</v>
      </c>
      <c r="B4" t="s">
        <v>55</v>
      </c>
      <c r="C4" s="36" t="s">
        <v>56</v>
      </c>
      <c r="D4" s="35" t="s">
        <v>57</v>
      </c>
      <c r="E4" t="s">
        <v>58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BF5C6359-7763-4C37-8EAF-2BC4698CB285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2024-04-15T20:21:28Z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