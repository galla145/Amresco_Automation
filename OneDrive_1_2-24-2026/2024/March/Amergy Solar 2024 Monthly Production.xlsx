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East\"/>
    </mc:Choice>
  </mc:AlternateContent>
  <xr:revisionPtr revIDLastSave="0" documentId="13_ncr:1_{3CC90B3E-5FBC-4436-A039-279BA1A125F7}" xr6:coauthVersionLast="47" xr6:coauthVersionMax="47" xr10:uidLastSave="{00000000-0000-0000-0000-000000000000}"/>
  <bookViews>
    <workbookView xWindow="-93" yWindow="-93" windowWidth="19386" windowHeight="1146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4" l="1"/>
  <c r="G4" i="34"/>
  <c r="G2" i="34" s="1"/>
  <c r="D5" i="34"/>
  <c r="C5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H6" i="4"/>
  <c r="I6" i="4" s="1"/>
  <c r="E6" i="4"/>
  <c r="F6" i="4" s="1"/>
  <c r="E6" i="3"/>
  <c r="F6" i="3"/>
  <c r="H6" i="3"/>
  <c r="I6" i="3" s="1"/>
  <c r="E6" i="72"/>
  <c r="F6" i="72"/>
  <c r="H6" i="72"/>
  <c r="I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G5" i="1"/>
  <c r="G4" i="1"/>
  <c r="B4" i="34" a="1"/>
  <c r="B4" i="34" s="1"/>
  <c r="A4" i="34" a="1"/>
  <c r="A4" i="34" s="1"/>
  <c r="A1" i="34" a="1"/>
  <c r="A1" i="34" s="1"/>
  <c r="D5" i="30"/>
  <c r="C5" i="30"/>
  <c r="E5" i="30" s="1"/>
  <c r="F5" i="30" s="1"/>
  <c r="D4" i="30"/>
  <c r="C4" i="30"/>
  <c r="E4" i="30" s="1"/>
  <c r="F4" i="30" s="1"/>
  <c r="D5" i="29"/>
  <c r="C5" i="29"/>
  <c r="D4" i="29"/>
  <c r="C4" i="29"/>
  <c r="D5" i="18"/>
  <c r="C5" i="18"/>
  <c r="E5" i="18" s="1"/>
  <c r="F5" i="18" s="1"/>
  <c r="D4" i="18"/>
  <c r="D2" i="18" s="1"/>
  <c r="C4" i="18"/>
  <c r="E4" i="18" s="1"/>
  <c r="F4" i="18" s="1"/>
  <c r="D2" i="30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D2" i="29" l="1"/>
  <c r="E5" i="29"/>
  <c r="F5" i="29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D2" i="34"/>
  <c r="E5" i="1"/>
  <c r="F5" i="1" s="1"/>
  <c r="H4" i="30"/>
  <c r="I4" i="30" s="1"/>
  <c r="H5" i="30"/>
  <c r="I5" i="30" s="1"/>
  <c r="I6" i="26"/>
  <c r="I9" i="26"/>
  <c r="I12" i="26"/>
  <c r="I15" i="26"/>
  <c r="H4" i="29"/>
  <c r="I4" i="29" s="1"/>
  <c r="H5" i="29"/>
  <c r="I5" i="29" s="1"/>
  <c r="I7" i="26"/>
  <c r="H4" i="18"/>
  <c r="I4" i="18" s="1"/>
  <c r="C4" i="34"/>
  <c r="E4" i="34" s="1"/>
  <c r="F4" i="34" s="1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<sst xmlns="http://schemas.openxmlformats.org/spreadsheetml/2006/main" count="249" uniqueCount="60">
  <si>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</si>
  <si>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</si>
  <si>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</si>
  <si>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</si>
  <si>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</si>
  <si>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</si>
  <si>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</si>
  <si>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</si>
  <si>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</si>
  <si>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</si>
  <si>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</si>
  <si>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</si>
  <si>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</si>
  <si>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</si>
  <si>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</si>
  <si>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</si>
  <si>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</si>
  <si>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</si>
  <si>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</si>
  <si>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</si>
  <si>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</si>
  <si>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</si>
  <si>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</si>
  <si>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</si>
  <si>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1. Inverter 14 tripped offline on 02/21 at 12:50 and back online on 02/22 at 14:45</t>
  </si>
  <si>
    <t>1. SR081176</t>
  </si>
  <si>
    <t>March Actual v. Expected</t>
  </si>
  <si>
    <t>March Actual v. Forecasted</t>
  </si>
  <si>
    <t>1. Inverter 15 was offline on 03/01 between 09:15 to 11:45. Inverter again tripped offline on 03/3 at 09:47 and back online on 03/04
2. Inverter 6 was offline on 03/10 between 11:00 to 13:30
3. Inverter 15 tripped offline on 03/19 at 14:15 and back online on 03/22
4. Inverter 12 tripped offline on 03/21 at 14:35 and back online on 03/22
5. Inverter 3 was offline on 03/31 between 08:15 and back online at 14:20</t>
  </si>
  <si>
    <t>1. SR081489
2. SR081728
3. SR082200
4. SR082289
5. SR082944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</si>
  <si>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</si>
  <si>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</si>
  <si>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</si>
  <si>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</si>
  <si>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</si>
  <si>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</si>
  <si>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</si>
  <si>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</si>
  <si>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</si>
  <si>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</si>
  <si>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</si>
  <si>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</si>
  <si>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</si>
  <si>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</si>
  <si>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</si>
  <si>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</si>
  <si>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</si>
  <si>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</si>
  <si>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</si>
  <si>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Amergy Solar</t>
  </si>
  <si>
    <t>Site DAS Name</t>
  </si>
  <si>
    <t>Update</t>
  </si>
  <si>
    <t>DAS</t>
  </si>
  <si>
    <t>Howell Ice Arena</t>
  </si>
  <si>
    <t>Farmingdale - Howell Ice Arena</t>
  </si>
  <si>
    <t>NJ</t>
  </si>
  <si>
    <t>AEF</t>
  </si>
  <si>
    <t>PowerTrack</t>
  </si>
  <si>
    <t>Igloo</t>
  </si>
  <si>
    <t>Mount Laurel - Igloo Ice 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</si>
</sst>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34" fillId="46" borderId="12" xfId="0" applyFont="1" applyFill="1" applyBorder="1"/>
    <xf numFmtId="0" fontId="34" fillId="0" borderId="0" xfId="0" applyFont="1"/>
    <xf numFmtId="0" fontId="34" fillId="0" borderId="12" xfId="0" applyFont="1" applyBorder="1"/>
    <xf numFmtId="0" fontId="35" fillId="46" borderId="0" xfId="0" applyFont="1" applyFill="1"/>
    <xf numFmtId="0" fontId="35" fillId="0" borderId="0" xfId="0" applyFont="1"/>
    <xf numFmtId="164" fontId="27" fillId="47" borderId="0" xfId="1" applyNumberFormat="1" applyFont="1" applyFill="1" applyBorder="1" applyAlignment="1">
      <alignment horizontal="center" vertical="center"/>
    </xf>
    <xf numFmtId="3" fontId="29" fillId="48" borderId="0" xfId="0" applyNumberFormat="1" applyFont="1" applyFill="1" applyAlignment="1">
      <alignment horizontal="right" vertical="center"/>
    </xf>
    <xf numFmtId="3" fontId="29" fillId="48" borderId="0" xfId="1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0"/>
  <sheetViews>
    <sheetView workbookViewId="0">
      <pane xSplit="2" ySplit="3" topLeftCell="C4" activePane="bottomRight" state="frozen"/>
      <selection pane="bottomRight" activeCell="G12" sqref="G12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Amergy Solar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5">
        <f>SUM(C4:C88)</f>
        <v>295596</v>
      </c>
      <c r="D2" s="5">
        <f>SUM(D4:D88)</f>
        <v>333524</v>
      </c>
      <c r="E2" s="5">
        <f>C2-D2</f>
        <v>-37928</v>
      </c>
      <c r="F2" s="6">
        <f>IFERROR(E2/D2, 0)</f>
        <v>-0.11371895275902184</v>
      </c>
      <c r="G2" s="5">
        <f>SUM(G4:G88)</f>
        <v>349521</v>
      </c>
      <c r="H2" s="7">
        <f>C2-G2</f>
        <v>-53925</v>
      </c>
      <c r="I2" s="6">
        <f>IFERROR(H2/G2, 0)</f>
        <v>-0.15428257529590497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SUM('1st Qtr'!C4, '2nd Qtr'!C4, '3rd Qtr'!C4, '4th Qtr'!C4)</f>
        <v>121256</v>
      </c>
      <c r="D4" s="13">
        <f>SUM('1st Qtr'!D4, '2nd Qtr'!D4, '3rd Qtr'!D4, '4th Qtr'!D4)</f>
        <v>129357</v>
      </c>
      <c r="E4" s="13">
        <f>IF(AND(ISNUMBER(C4),ISNUMBER(D4)), C4-D4, "")</f>
        <v>-8101</v>
      </c>
      <c r="F4" s="14">
        <f>IFERROR(E4/D4, "")</f>
        <v>-6.2625138183476731E-2</v>
      </c>
      <c r="G4" s="15">
        <f>SUM('1st Qtr'!G4+'2nd Qtr'!G4+'3rd Qtr'!G4+'4th Qtr'!G4)</f>
        <v>185061</v>
      </c>
      <c r="H4" s="15">
        <f>SUM('1st Qtr'!H4, '2nd Qtr'!H4, '3rd Qtr'!H4, '4th Qtr'!H4)</f>
        <v>-63805</v>
      </c>
      <c r="I4" s="16">
        <f>IFERROR(H4/G4, "")</f>
        <v>-0.34477820826646349</v>
      </c>
    </row>
    <row r="5" spans="1:9" ht="15.75">
      <c r="A5" s="17" t="str">
        <v>Mount Laurel - Igloo Ice Rink</v>
      </c>
      <c r="B5" s="10" t="str">
        <v>NJ</v>
      </c>
      <c r="C5" s="49">
        <f>SUM('1st Qtr'!C5, '2nd Qtr'!C5, '3rd Qtr'!C5, '4th Qtr'!C5)</f>
        <v>174340</v>
      </c>
      <c r="D5" s="50">
        <f>SUM('1st Qtr'!D5, '2nd Qtr'!D5, '3rd Qtr'!D5, '4th Qtr'!D5)</f>
        <v>204167</v>
      </c>
      <c r="E5" s="18">
        <f t="shared" ref="E5" si="0">IF(AND(ISNUMBER(C5),ISNUMBER(D5)), C5-D5, "")</f>
        <v>-29827</v>
      </c>
      <c r="F5" s="19">
        <f>IFERROR(E5/D5, "")</f>
        <v>-0.14609119005519991</v>
      </c>
      <c r="G5" s="51">
        <f>SUM('1st Qtr'!G5+'2nd Qtr'!G5+'3rd Qtr'!G5+'4th Qtr'!G5)</f>
        <v>164460</v>
      </c>
      <c r="H5" s="20">
        <f>SUM(Jan!H5, Feb!H5, Mar!H5)</f>
        <v>9880</v>
      </c>
      <c r="I5" s="19">
        <f>IFERROR(H5/G5, "")</f>
        <v>6.0075398273136328E-2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2.95">
      <c r="A7" s="21"/>
      <c r="B7" s="21"/>
      <c r="C7" s="21"/>
      <c r="D7" s="21"/>
      <c r="E7" s="21"/>
      <c r="F7" s="21"/>
      <c r="G7" s="21"/>
      <c r="H7" s="21"/>
      <c r="I7" s="21"/>
    </row>
    <row r="8" spans="1:9" ht="12.95">
      <c r="A8" s="21"/>
      <c r="B8" s="21"/>
      <c r="C8" s="21"/>
      <c r="D8" s="21"/>
      <c r="E8" s="21"/>
      <c r="F8" s="21"/>
      <c r="G8" s="21"/>
      <c r="H8" s="21"/>
      <c r="I8" s="21"/>
    </row>
    <row r="9" spans="1:9" ht="12.95">
      <c r="A9" s="21"/>
      <c r="B9" s="21"/>
      <c r="C9" s="21"/>
      <c r="D9" s="21"/>
      <c r="E9" s="21"/>
      <c r="F9" s="21"/>
      <c r="G9" s="21"/>
      <c r="H9" s="21"/>
      <c r="I9" s="21"/>
    </row>
    <row r="10" spans="1:9" ht="12.95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2.95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2.9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2.95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2.95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2.95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2.95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2.95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2.95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2.95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2.95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2.9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2.9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2.9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2.9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2.9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2.9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2.9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2.9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2.9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2.9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2.9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2.9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8 I4:I88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xSplit="2" ySplit="3" topLeftCell="C4" activePane="bottomRight" state="frozen"/>
      <selection pane="bottomRight" activeCell="G5" sqref="G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Amergy Solar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5">
        <f>SUM(C4:C88)</f>
        <v>295596</v>
      </c>
      <c r="D2" s="5">
        <f>SUM(D4:D88)</f>
        <v>333524</v>
      </c>
      <c r="E2" s="5">
        <f>C2-D2</f>
        <v>-37928</v>
      </c>
      <c r="F2" s="6">
        <f>IFERROR(E2/D2, 0)</f>
        <v>-0.11371895275902184</v>
      </c>
      <c r="G2" s="5">
        <f>SUM(G4:G88)</f>
        <v>349521</v>
      </c>
      <c r="H2" s="7">
        <f>C2-G2</f>
        <v>-53925</v>
      </c>
      <c r="I2" s="6">
        <f>IFERROR(H2/G2, 0)</f>
        <v>-0.15428257529590497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SUM(Jan!C4, Feb!C4, Mar!C4)</f>
        <v>121256</v>
      </c>
      <c r="D4" s="13">
        <f>SUM(Jan!D4, Feb!D4, Mar!D4)</f>
        <v>129357</v>
      </c>
      <c r="E4" s="13">
        <f>IF(AND(ISNUMBER(C4),ISNUMBER(D4)), C4-D4, "")</f>
        <v>-8101</v>
      </c>
      <c r="F4" s="14">
        <f>IFERROR(E4/D4, "")</f>
        <v>-6.2625138183476731E-2</v>
      </c>
      <c r="G4" s="15">
        <f>SUM(Jan!G4, Feb!G4, Mar!G4)</f>
        <v>185061</v>
      </c>
      <c r="H4" s="15">
        <f>SUM(Jan!H4, Feb!H4, Mar!H4)</f>
        <v>-63805</v>
      </c>
      <c r="I4" s="16">
        <f>IFERROR(H4/G4, "")</f>
        <v>-0.34477820826646349</v>
      </c>
    </row>
    <row r="5" spans="1:9" ht="15.75">
      <c r="A5" s="17" t="str">
        <v>Mount Laurel - Igloo Ice Rink</v>
      </c>
      <c r="B5" s="10" t="str">
        <v>NJ</v>
      </c>
      <c r="C5" s="11">
        <f>SUM(Jan!C5, Feb!C5, Mar!C5)</f>
        <v>174340</v>
      </c>
      <c r="D5" s="18">
        <f>SUM(Jan!D5, Feb!D5, Mar!D5)</f>
        <v>204167</v>
      </c>
      <c r="E5" s="18">
        <f t="shared" ref="E5" si="0">IF(AND(ISNUMBER(C5),ISNUMBER(D5)), C5-D5, "")</f>
        <v>-29827</v>
      </c>
      <c r="F5" s="19">
        <f>IFERROR(E5/D5, "")</f>
        <v>-0.14609119005519991</v>
      </c>
      <c r="G5" s="20">
        <f>SUM(Jan!G5, Feb!G5, Mar!G5)</f>
        <v>164460</v>
      </c>
      <c r="H5" s="20">
        <f>SUM(Jan!H5, Feb!H5, Mar!H5)</f>
        <v>9880</v>
      </c>
      <c r="I5" s="19">
        <f>IFERROR(H5/G5, "")</f>
        <v>6.0075398273136328E-2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2.95">
      <c r="A7" s="21"/>
      <c r="B7" s="21"/>
      <c r="C7" s="21"/>
      <c r="D7" s="21"/>
      <c r="E7" s="21"/>
      <c r="F7" s="21"/>
      <c r="G7" s="21"/>
      <c r="H7" s="21"/>
      <c r="I7" s="21"/>
    </row>
    <row r="8" spans="1:9" ht="12.95">
      <c r="A8" s="21"/>
      <c r="B8" s="21"/>
      <c r="C8" s="21"/>
      <c r="D8" s="21"/>
      <c r="E8" s="21"/>
      <c r="F8" s="21"/>
      <c r="G8" s="21"/>
      <c r="H8" s="21"/>
      <c r="I8" s="21"/>
    </row>
    <row r="9" spans="1:9" ht="12.95">
      <c r="A9" s="21"/>
      <c r="B9" s="21"/>
      <c r="C9" s="21"/>
      <c r="D9" s="21"/>
      <c r="E9" s="21"/>
      <c r="F9" s="21"/>
      <c r="G9" s="21"/>
      <c r="H9" s="21"/>
      <c r="I9" s="21"/>
    </row>
    <row r="10" spans="1:9" ht="12.95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2.95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2.9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2.95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2.95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2.95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2.95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2.95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2.95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2.95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2.95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2.9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2.9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2.9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2.9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2.9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2.9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2.9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2.9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2.9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2.9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2.9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2.9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xSplit="2" ySplit="3" topLeftCell="C4" activePane="bottomRight" state="frozen"/>
      <selection pane="bottomRight" activeCell="D24" sqref="D2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Amergy Solar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75">
      <c r="A5" s="17" t="str">
        <v>Mount Laurel - Igloo Ice Rink</v>
      </c>
      <c r="B5" s="10" t="str">
        <v>NJ</v>
      </c>
      <c r="C5" s="11">
        <f>SUM(Apr!C5, May!C5, Jun!C5)</f>
        <v>0</v>
      </c>
      <c r="D5" s="18">
        <f>SUM(Apr!D5, May!D5, Jun!D5)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2.95">
      <c r="A7" s="21"/>
      <c r="B7" s="21"/>
      <c r="C7" s="21"/>
      <c r="D7" s="21"/>
      <c r="E7" s="21"/>
      <c r="F7" s="21"/>
      <c r="G7" s="21"/>
      <c r="H7" s="21"/>
      <c r="I7" s="21"/>
    </row>
    <row r="8" spans="1:9" ht="12.95">
      <c r="A8" s="21"/>
      <c r="B8" s="21"/>
      <c r="C8" s="21"/>
      <c r="D8" s="21"/>
      <c r="E8" s="21"/>
      <c r="F8" s="21"/>
      <c r="G8" s="21"/>
      <c r="H8" s="21"/>
      <c r="I8" s="21"/>
    </row>
    <row r="9" spans="1:9" ht="12.95">
      <c r="A9" s="21"/>
      <c r="B9" s="21"/>
      <c r="C9" s="21"/>
      <c r="D9" s="21"/>
      <c r="E9" s="21"/>
      <c r="F9" s="21"/>
      <c r="G9" s="21"/>
      <c r="H9" s="21"/>
      <c r="I9" s="21"/>
    </row>
    <row r="10" spans="1:9" ht="12.95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2.95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2.9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2.95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2.95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2.95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2.95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2.95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2.95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2.95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2.95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2.9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2.9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2.9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2.9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2.9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2.9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2.9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2.9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2.9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2.9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2.9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2.9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B22" sqref="B22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Amergy Solar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5">
        <f>SUM(C4:C87)</f>
        <v>0</v>
      </c>
      <c r="D2" s="5">
        <f>SUM(D4:D87)</f>
        <v>0</v>
      </c>
      <c r="E2" s="5">
        <f>C2-D2</f>
        <v>0</v>
      </c>
      <c r="F2" s="6">
        <f>IFERROR(E2/D2, 0)</f>
        <v>0</v>
      </c>
      <c r="G2" s="5">
        <f>SUM(G4:G87)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17" t="str">
        <v>Mount Laurel - Igloo Ice Rink</v>
      </c>
      <c r="B5" s="10" t="str">
        <v>NJ</v>
      </c>
      <c r="C5" s="11">
        <f>SUM(Jul!C5, Aug!C5, Sep!C5)</f>
        <v>0</v>
      </c>
      <c r="D5" s="18">
        <f>SUM(Jul!D5, Aug!D5, Sep!D5)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2.95">
      <c r="A6" s="21"/>
      <c r="B6" s="21"/>
      <c r="C6" s="21"/>
      <c r="D6" s="21"/>
      <c r="E6" s="21"/>
      <c r="F6" s="21"/>
      <c r="G6" s="21"/>
      <c r="H6" s="21"/>
      <c r="I6" s="21"/>
    </row>
    <row r="7" spans="1:9" ht="12.95">
      <c r="A7" s="21"/>
      <c r="B7" s="21"/>
      <c r="C7" s="21"/>
      <c r="D7" s="21"/>
      <c r="E7" s="21"/>
      <c r="F7" s="21"/>
      <c r="G7" s="21"/>
      <c r="H7" s="21"/>
      <c r="I7" s="21"/>
    </row>
    <row r="8" spans="1:9" ht="12.95">
      <c r="A8" s="21"/>
      <c r="B8" s="21"/>
      <c r="C8" s="21"/>
      <c r="D8" s="21"/>
      <c r="E8" s="21"/>
      <c r="F8" s="21"/>
      <c r="G8" s="21"/>
      <c r="H8" s="21"/>
      <c r="I8" s="21"/>
    </row>
    <row r="9" spans="1:9" ht="12.95">
      <c r="A9" s="21"/>
      <c r="B9" s="21"/>
      <c r="C9" s="21"/>
      <c r="D9" s="21"/>
      <c r="E9" s="21"/>
      <c r="F9" s="21"/>
      <c r="G9" s="21"/>
      <c r="H9" s="21"/>
      <c r="I9" s="21"/>
    </row>
    <row r="10" spans="1:9" ht="12.95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2.95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2.9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2.95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2.95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2.95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2.95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2.95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2.95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2.95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2.9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2.9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2.9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2.9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2.9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2.9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2.9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2.9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2.9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2.9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2.9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2.9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2.9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</sheetData>
  <mergeCells count="4">
    <mergeCell ref="G1:I1"/>
    <mergeCell ref="A1:C1"/>
    <mergeCell ref="D1:F1"/>
    <mergeCell ref="A2:B2"/>
  </mergeCells>
  <conditionalFormatting sqref="F2 I2 F4:F87 I4:I87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4" activePane="bottomRight" state="frozen"/>
      <selection pane="bottomRight" activeCell="C24" sqref="B24:C2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Amergy Solar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17" t="str">
        <v>Mount Laurel - Igloo Ice Rink</v>
      </c>
      <c r="B5" s="10" t="str">
        <v>NJ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2.95">
      <c r="A6" s="21"/>
      <c r="B6" s="21"/>
      <c r="C6" s="21"/>
      <c r="D6" s="21"/>
      <c r="E6" s="21"/>
      <c r="F6" s="21"/>
      <c r="G6" s="21"/>
      <c r="H6" s="21"/>
      <c r="I6" s="21"/>
    </row>
    <row r="7" spans="1:9" ht="12.95">
      <c r="A7" s="21"/>
      <c r="B7" s="21"/>
      <c r="C7" s="21"/>
      <c r="D7" s="21"/>
      <c r="E7" s="21"/>
      <c r="F7" s="21"/>
      <c r="G7" s="21"/>
      <c r="H7" s="21"/>
      <c r="I7" s="21"/>
    </row>
    <row r="8" spans="1:9" ht="12.95">
      <c r="A8" s="21"/>
      <c r="B8" s="21"/>
      <c r="C8" s="21"/>
      <c r="D8" s="21"/>
      <c r="E8" s="21"/>
      <c r="F8" s="21"/>
      <c r="G8" s="21"/>
      <c r="H8" s="21"/>
      <c r="I8" s="21"/>
    </row>
    <row r="9" spans="1:9" ht="12.95">
      <c r="A9" s="21"/>
      <c r="B9" s="21"/>
      <c r="C9" s="21"/>
      <c r="D9" s="21"/>
      <c r="E9" s="21"/>
      <c r="F9" s="21"/>
      <c r="G9" s="21"/>
      <c r="H9" s="21"/>
      <c r="I9" s="21"/>
    </row>
    <row r="10" spans="1:9" ht="12.95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2.95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2.9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2.95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2.95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2.95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2.95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2.95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2.95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2.9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2.9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2.9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2.9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2.9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2.9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2.9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2.9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2.9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2.9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2.9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2.9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2.9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2.9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0"/>
  <sheetViews>
    <sheetView workbookViewId="0">
      <pane xSplit="2" ySplit="3" topLeftCell="C4" activePane="bottomRight" state="frozen"/>
      <selection pane="bottomRight" activeCell="I13" sqref="I13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Amergy Solar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SUM(C4:C88)</f>
        <v>42875</v>
      </c>
      <c r="D2" s="5">
        <f>SUM(D4:D88)</f>
        <v>60849</v>
      </c>
      <c r="E2" s="5">
        <f>C2-D2</f>
        <v>-17974</v>
      </c>
      <c r="F2" s="6">
        <f>IFERROR(E2/D2, 0)</f>
        <v>-0.29538694144521682</v>
      </c>
      <c r="G2" s="5">
        <f>SUM(G4:G88)</f>
        <v>83738</v>
      </c>
      <c r="H2" s="7">
        <f>C2-G2</f>
        <v>-40863</v>
      </c>
      <c r="I2" s="6">
        <f>IFERROR(H2/G2, 0)</f>
        <v>-0.48798633834101601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>
        <v>17773</v>
      </c>
      <c r="D4" s="13">
        <v>22778</v>
      </c>
      <c r="E4" s="13">
        <f>IF(AND(ISNUMBER(C4),ISNUMBER(D4)), C4-D4, "")</f>
        <v>-5005</v>
      </c>
      <c r="F4" s="14">
        <f>IFERROR(E4/D4, "")</f>
        <v>-0.21972956361401352</v>
      </c>
      <c r="G4" s="15">
        <v>48244</v>
      </c>
      <c r="H4" s="15">
        <f>IF(AND(ISNUMBER(C4),ISNUMBER(G4)), C4-G4, "")</f>
        <v>-30471</v>
      </c>
      <c r="I4" s="16">
        <f>IFERROR(H4/G4, "")</f>
        <v>-0.631601857225769</v>
      </c>
      <c r="J4" s="41"/>
      <c r="K4" s="41"/>
    </row>
    <row r="5" spans="1:11" ht="15.75">
      <c r="A5" s="30" t="str">
        <v>Mount Laurel - Igloo Ice Rink</v>
      </c>
      <c r="B5" s="31" t="str">
        <v>NJ</v>
      </c>
      <c r="C5" s="11">
        <v>25102</v>
      </c>
      <c r="D5" s="18">
        <v>38071</v>
      </c>
      <c r="E5" s="18">
        <f t="shared" ref="E5" si="0">IF(AND(ISNUMBER(C5),ISNUMBER(D5)), C5-D5, "")</f>
        <v>-12969</v>
      </c>
      <c r="F5" s="19">
        <f>IFERROR(E5/D5, "")</f>
        <v>-0.34065299046518349</v>
      </c>
      <c r="G5" s="20">
        <v>35494</v>
      </c>
      <c r="H5" s="20">
        <f t="shared" ref="H5" si="1">IF(AND(ISNUMBER(C5),ISNUMBER(G5)), C5-G5, "")</f>
        <v>-10392</v>
      </c>
      <c r="I5" s="19">
        <f t="shared" ref="I5" si="2">IFERROR(H5/G5, "")</f>
        <v>-0.29278187862737365</v>
      </c>
      <c r="J5" s="42"/>
      <c r="K5" s="42"/>
    </row>
    <row r="6" spans="1:11" ht="15.75">
      <c r="A6" s="30"/>
      <c r="B6" s="31"/>
      <c r="C6" s="11"/>
      <c r="D6" s="18"/>
      <c r="E6" s="18" t="str">
        <f t="shared" ref="E6" si="3">IF(AND(ISNUMBER(C6),ISNUMBER(D6)), C6-D6, "")</f>
        <v/>
      </c>
      <c r="F6" s="19" t="str">
        <f t="shared" ref="F6" si="4">IFERROR(E6/D6, "")</f>
        <v/>
      </c>
      <c r="G6" s="20"/>
      <c r="H6" s="20" t="str">
        <f t="shared" ref="H6" si="5">IF(AND(ISNUMBER(C6),ISNUMBER(G6)), C6-G6, "")</f>
        <v/>
      </c>
      <c r="I6" s="19" t="str">
        <f t="shared" ref="I6" si="6">IFERROR(H6/G6, "")</f>
        <v/>
      </c>
      <c r="J6" s="42"/>
      <c r="K6" s="43"/>
    </row>
    <row r="7" spans="1:11" ht="14.45">
      <c r="A7" s="21"/>
      <c r="B7" s="33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3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3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3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3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3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3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3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3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3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3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D1:F1"/>
    <mergeCell ref="A1:C1"/>
    <mergeCell ref="G1:I1"/>
    <mergeCell ref="A2:B2"/>
  </mergeCells>
  <conditionalFormatting sqref="F2 I2 F4:F88 I4:I88">
    <cfRule type="cellIs" dxfId="44" priority="4" stopIfTrue="1" operator="lessThanOrEqual">
      <formula>-0.1</formula>
    </cfRule>
    <cfRule type="expression" dxfId="43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workbookViewId="0">
      <pane xSplit="2" ySplit="3" topLeftCell="C4" activePane="bottomRight" state="frozen"/>
      <selection pane="bottomRight" activeCell="K5" sqref="K5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Amergy Solar</v>
      </c>
      <c r="B1" s="53"/>
      <c r="C1" s="53"/>
      <c r="D1" s="54" t="s">
        <v>22</v>
      </c>
      <c r="E1" s="54"/>
      <c r="F1" s="54"/>
      <c r="G1" s="52" t="s">
        <v>23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SUM(C4:C89)</f>
        <v>105722</v>
      </c>
      <c r="D2" s="5">
        <f>SUM(D4:D89)</f>
        <v>117230</v>
      </c>
      <c r="E2" s="5">
        <f>C2-D2</f>
        <v>-11508</v>
      </c>
      <c r="F2" s="6">
        <f>IFERROR(E2/D2, 0)</f>
        <v>-9.8165998464556856E-2</v>
      </c>
      <c r="G2" s="5">
        <f>SUM(G4:G89)</f>
        <v>108237</v>
      </c>
      <c r="H2" s="7">
        <f>C2-G2</f>
        <v>-2515</v>
      </c>
      <c r="I2" s="6">
        <f>IFERROR(H2/G2, 0)</f>
        <v>-2.323604682317507E-2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>
        <v>42119</v>
      </c>
      <c r="D4" s="13">
        <v>44694</v>
      </c>
      <c r="E4" s="13">
        <f>IF(AND(ISNUMBER(C4),ISNUMBER(D4)), C4-D4, "")</f>
        <v>-2575</v>
      </c>
      <c r="F4" s="14">
        <f>IFERROR(E4/D4, "")</f>
        <v>-5.7613997404573319E-2</v>
      </c>
      <c r="G4" s="15">
        <v>59297</v>
      </c>
      <c r="H4" s="15">
        <f>IF(AND(ISNUMBER(C4),ISNUMBER(G4)), C4-G4, "")</f>
        <v>-17178</v>
      </c>
      <c r="I4" s="16">
        <f>IFERROR(H4/G4, "")</f>
        <v>-0.28969425097391099</v>
      </c>
      <c r="J4" s="41"/>
      <c r="K4" s="41"/>
    </row>
    <row r="5" spans="1:11" ht="15.75">
      <c r="A5" s="30" t="str">
        <v>Mount Laurel - Igloo Ice Rink</v>
      </c>
      <c r="B5" s="31" t="str">
        <v>NJ</v>
      </c>
      <c r="C5" s="11">
        <v>63603</v>
      </c>
      <c r="D5" s="18">
        <v>72536</v>
      </c>
      <c r="E5" s="18">
        <f t="shared" ref="E5" si="0">IF(AND(ISNUMBER(C5),ISNUMBER(D5)), C5-D5, "")</f>
        <v>-8933</v>
      </c>
      <c r="F5" s="19">
        <f>IFERROR(E5/D5, "")</f>
        <v>-0.12315264144700562</v>
      </c>
      <c r="G5" s="20">
        <v>48940</v>
      </c>
      <c r="H5" s="20">
        <f t="shared" ref="H5" si="1">IF(AND(ISNUMBER(C5),ISNUMBER(G5)), C5-G5, "")</f>
        <v>14663</v>
      </c>
      <c r="I5" s="19">
        <f t="shared" ref="I5" si="2">IFERROR(H5/G5, "")</f>
        <v>0.29961176951369023</v>
      </c>
      <c r="J5" s="42" t="s">
        <v>24</v>
      </c>
      <c r="K5" s="42" t="s">
        <v>25</v>
      </c>
    </row>
    <row r="6" spans="1:11" ht="15.75">
      <c r="A6" s="30"/>
      <c r="B6" s="31"/>
      <c r="C6" s="11"/>
      <c r="D6" s="18"/>
      <c r="E6" s="18" t="str">
        <f t="shared" ref="E6" si="3">IF(AND(ISNUMBER(C6),ISNUMBER(D6)), C6-D6, "")</f>
        <v/>
      </c>
      <c r="F6" s="19" t="str">
        <f t="shared" ref="F6" si="4">IFERROR(E6/D6, "")</f>
        <v/>
      </c>
      <c r="G6" s="20"/>
      <c r="H6" s="20" t="str">
        <f t="shared" ref="H6" si="5">IF(AND(ISNUMBER(C6),ISNUMBER(G6)), C6-G6, "")</f>
        <v/>
      </c>
      <c r="I6" s="19" t="str">
        <f t="shared" ref="I6" si="6">IFERROR(H6/G6, "")</f>
        <v/>
      </c>
      <c r="J6" s="42"/>
      <c r="K6" s="43"/>
    </row>
    <row r="7" spans="1:11" ht="12.75" customHeight="1">
      <c r="A7" s="21"/>
      <c r="B7" s="33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3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3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3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3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3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3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3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3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3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3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1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1"/>
  <sheetViews>
    <sheetView tabSelected="1" workbookViewId="0">
      <pane xSplit="2" ySplit="3" topLeftCell="G4" activePane="bottomRight" state="frozen"/>
      <selection pane="bottomRight" activeCell="F5" sqref="F5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Amergy Solar</v>
      </c>
      <c r="B1" s="53"/>
      <c r="C1" s="53"/>
      <c r="D1" s="54" t="s">
        <v>26</v>
      </c>
      <c r="E1" s="54"/>
      <c r="F1" s="54"/>
      <c r="G1" s="52" t="s">
        <v>27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SUM(C4:C89)</f>
        <v>146999</v>
      </c>
      <c r="D2" s="5">
        <f>SUM(D4:D89)</f>
        <v>155445</v>
      </c>
      <c r="E2" s="5">
        <f>C2-D2</f>
        <v>-8446</v>
      </c>
      <c r="F2" s="6">
        <f>IFERROR(E2/D2, 0)</f>
        <v>-5.4334330470584453E-2</v>
      </c>
      <c r="G2" s="5">
        <f>SUM(G4:G89)</f>
        <v>157546</v>
      </c>
      <c r="H2" s="7">
        <f>C2-G2</f>
        <v>-10547</v>
      </c>
      <c r="I2" s="6">
        <f>IFERROR(H2/G2, 0)</f>
        <v>-6.6945527020679671E-2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>
        <v>61364</v>
      </c>
      <c r="D4" s="13">
        <v>61885</v>
      </c>
      <c r="E4" s="13">
        <f>IF(AND(ISNUMBER(C4),ISNUMBER(D4)), C4-D4, "")</f>
        <v>-521</v>
      </c>
      <c r="F4" s="14">
        <f>IFERROR(E4/D4, "")</f>
        <v>-8.4188413993697992E-3</v>
      </c>
      <c r="G4" s="15">
        <v>77520</v>
      </c>
      <c r="H4" s="15">
        <f>IF(AND(ISNUMBER(C4),ISNUMBER(G4)), C4-G4, "")</f>
        <v>-16156</v>
      </c>
      <c r="I4" s="16">
        <f>IFERROR(H4/G4, "")</f>
        <v>-0.20841073271413829</v>
      </c>
      <c r="J4" s="41"/>
      <c r="K4" s="41"/>
    </row>
    <row r="5" spans="1:11" ht="86.1">
      <c r="A5" s="30" t="str">
        <v>Mount Laurel - Igloo Ice Rink</v>
      </c>
      <c r="B5" s="31" t="str">
        <v>NJ</v>
      </c>
      <c r="C5" s="11">
        <v>85635</v>
      </c>
      <c r="D5" s="18">
        <v>93560</v>
      </c>
      <c r="E5" s="18">
        <f t="shared" ref="E5:E6" si="0">IF(AND(ISNUMBER(C5),ISNUMBER(D5)), C5-D5, "")</f>
        <v>-7925</v>
      </c>
      <c r="F5" s="19">
        <f>IFERROR(E5/D5, "")</f>
        <v>-8.4705002137665672E-2</v>
      </c>
      <c r="G5" s="20">
        <v>80026</v>
      </c>
      <c r="H5" s="20">
        <f t="shared" ref="H5:H6" si="1">IF(AND(ISNUMBER(C5),ISNUMBER(G5)), C5-G5, "")</f>
        <v>5609</v>
      </c>
      <c r="I5" s="19">
        <f t="shared" ref="I5:I6" si="2">IFERROR(H5/G5, "")</f>
        <v>7.008972084072676E-2</v>
      </c>
      <c r="J5" s="42" t="s">
        <v>28</v>
      </c>
      <c r="K5" s="42" t="s">
        <v>29</v>
      </c>
    </row>
    <row r="6" spans="1:11" ht="15.75">
      <c r="A6" s="30"/>
      <c r="B6" s="31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2"/>
      <c r="K6" s="43"/>
    </row>
    <row r="7" spans="1:11" ht="12.75" customHeight="1">
      <c r="A7" s="21"/>
      <c r="B7" s="33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3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3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3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3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3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3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3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3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3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3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1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4" activePane="bottomRight" state="frozen"/>
      <selection pane="bottomRight" activeCell="J18" sqref="J18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Amergy Solar</v>
      </c>
      <c r="B1" s="53"/>
      <c r="C1" s="53"/>
      <c r="D1" s="54" t="s">
        <v>30</v>
      </c>
      <c r="E1" s="54"/>
      <c r="F1" s="54"/>
      <c r="G1" s="52" t="s">
        <v>31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Mount Laurel - Igloo Ice Rink</v>
      </c>
      <c r="B5" s="31" t="str">
        <v>NJ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/>
      <c r="B6" s="29"/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/>
      <c r="B7" s="31"/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/>
      <c r="B8" s="29"/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/>
      <c r="B9" s="31"/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/>
      <c r="B10" s="29"/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/>
      <c r="B11" s="31"/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/>
      <c r="B12" s="29"/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/>
      <c r="B13" s="31"/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/>
      <c r="B14" s="29"/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/>
      <c r="B15" s="31"/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/>
      <c r="B16" s="29"/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/>
      <c r="B17" s="31"/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100 I4:I100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Amergy Solar</v>
      </c>
      <c r="B1" s="53"/>
      <c r="C1" s="53"/>
      <c r="D1" s="54" t="s">
        <v>32</v>
      </c>
      <c r="E1" s="54"/>
      <c r="F1" s="54"/>
      <c r="G1" s="52" t="s">
        <v>33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Mount Laurel - Igloo Ice Rink</v>
      </c>
      <c r="B5" s="31" t="str">
        <v>NJ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/>
      <c r="B6" s="29"/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/>
      <c r="B7" s="31"/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/>
      <c r="B8" s="29"/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/>
      <c r="B9" s="31"/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/>
      <c r="B10" s="29"/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/>
      <c r="B11" s="31"/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/>
      <c r="B12" s="29"/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/>
      <c r="B13" s="31"/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/>
      <c r="B14" s="29"/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/>
      <c r="B15" s="31"/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/>
      <c r="B16" s="29"/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/>
      <c r="B17" s="31"/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100 I4:I100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Amergy Solar</v>
      </c>
      <c r="B1" s="53"/>
      <c r="C1" s="53"/>
      <c r="D1" s="54" t="s">
        <v>34</v>
      </c>
      <c r="E1" s="54"/>
      <c r="F1" s="54"/>
      <c r="G1" s="52" t="s">
        <v>35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Mount Laurel - Igloo Ice Rink</v>
      </c>
      <c r="B5" s="31" t="str">
        <v>NJ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/>
      <c r="B6" s="29"/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/>
      <c r="B7" s="31"/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/>
      <c r="B8" s="29"/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/>
      <c r="B9" s="31"/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/>
      <c r="B10" s="29"/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/>
      <c r="B11" s="31"/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/>
      <c r="B12" s="29"/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/>
      <c r="B13" s="31"/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/>
      <c r="B14" s="29"/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/>
      <c r="B15" s="31"/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/>
      <c r="B16" s="29"/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/>
      <c r="B17" s="31"/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100 I4:I10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Amergy Solar</v>
      </c>
      <c r="B1" s="53"/>
      <c r="C1" s="53"/>
      <c r="D1" s="54" t="s">
        <v>36</v>
      </c>
      <c r="E1" s="54"/>
      <c r="F1" s="54"/>
      <c r="G1" s="52" t="s">
        <v>37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Mount Laurel - Igloo Ice Rink</v>
      </c>
      <c r="B5" s="31" t="str">
        <v>NJ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/>
      <c r="B6" s="29"/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/>
      <c r="B7" s="31"/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/>
      <c r="B8" s="29"/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/>
      <c r="B9" s="31"/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/>
      <c r="B10" s="29"/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/>
      <c r="B11" s="31"/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/>
      <c r="B12" s="29"/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/>
      <c r="B13" s="31"/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/>
      <c r="B14" s="29"/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/>
      <c r="B15" s="31"/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/>
      <c r="B16" s="29"/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/>
      <c r="B17" s="31"/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100 I4:I10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Amergy Solar</v>
      </c>
      <c r="B1" s="53"/>
      <c r="C1" s="53"/>
      <c r="D1" s="54" t="s">
        <v>38</v>
      </c>
      <c r="E1" s="54"/>
      <c r="F1" s="54"/>
      <c r="G1" s="52" t="s">
        <v>39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Mount Laurel - Igloo Ice Rink</v>
      </c>
      <c r="B5" s="31" t="str">
        <v>NJ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/>
      <c r="B6" s="29"/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/>
      <c r="B7" s="31"/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/>
      <c r="B8" s="29"/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/>
      <c r="B9" s="31"/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/>
      <c r="B10" s="29"/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/>
      <c r="B11" s="31"/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/>
      <c r="B12" s="29"/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/>
      <c r="B13" s="31"/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/>
      <c r="B14" s="29"/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/>
      <c r="B15" s="31"/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/>
      <c r="B16" s="29"/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/>
      <c r="B17" s="31"/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Amergy Solar</v>
      </c>
      <c r="B1" s="53"/>
      <c r="C1" s="53"/>
      <c r="D1" s="54" t="s">
        <v>40</v>
      </c>
      <c r="E1" s="54"/>
      <c r="F1" s="54"/>
      <c r="G1" s="52" t="s">
        <v>41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Mount Laurel - Igloo Ice Rink</v>
      </c>
      <c r="B5" s="31" t="str">
        <v>NJ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/>
      <c r="B6" s="29"/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/>
      <c r="B7" s="31"/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/>
      <c r="B8" s="29"/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/>
      <c r="B9" s="31"/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/>
      <c r="B10" s="29"/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/>
      <c r="B11" s="31"/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/>
      <c r="B12" s="29"/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/>
      <c r="B13" s="31"/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/>
      <c r="B14" s="29"/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/>
      <c r="B15" s="31"/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/>
      <c r="B16" s="29"/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/>
      <c r="B17" s="31"/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100 I4:I10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Amergy Solar</v>
      </c>
      <c r="B1" s="53"/>
      <c r="C1" s="53"/>
      <c r="D1" s="54" t="s">
        <v>42</v>
      </c>
      <c r="E1" s="54"/>
      <c r="F1" s="54"/>
      <c r="G1" s="52" t="s">
        <v>43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Mount Laurel - Igloo Ice Rink</v>
      </c>
      <c r="B5" s="31" t="str">
        <v>NJ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/>
      <c r="B6" s="29"/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/>
      <c r="B7" s="31"/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/>
      <c r="B8" s="29"/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/>
      <c r="B9" s="31"/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/>
      <c r="B10" s="29"/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/>
      <c r="B11" s="31"/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/>
      <c r="B12" s="29"/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/>
      <c r="B13" s="31"/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/>
      <c r="B14" s="29"/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/>
      <c r="B15" s="31"/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/>
      <c r="B16" s="29"/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/>
      <c r="B17" s="31"/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Amergy Solar</v>
      </c>
      <c r="B1" s="53"/>
      <c r="C1" s="53"/>
      <c r="D1" s="54" t="s">
        <v>44</v>
      </c>
      <c r="E1" s="54"/>
      <c r="F1" s="54"/>
      <c r="G1" s="52" t="s">
        <v>45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Mount Laurel - Igloo Ice Rink</v>
      </c>
      <c r="B5" s="31" t="str">
        <v>NJ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/>
      <c r="B6" s="29"/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/>
      <c r="B7" s="31"/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/>
      <c r="B8" s="29"/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/>
      <c r="B9" s="31"/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/>
      <c r="B10" s="29"/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/>
      <c r="B11" s="31"/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/>
      <c r="B12" s="29"/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/>
      <c r="B13" s="31"/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/>
      <c r="B14" s="29"/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/>
      <c r="B15" s="31"/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/>
      <c r="B16" s="29"/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/>
      <c r="B17" s="31"/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Amergy Solar</v>
      </c>
      <c r="B1" s="53"/>
      <c r="C1" s="53"/>
      <c r="D1" s="54" t="s">
        <v>46</v>
      </c>
      <c r="E1" s="54"/>
      <c r="F1" s="54"/>
      <c r="G1" s="52" t="s">
        <v>47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Mount Laurel - Igloo Ice Rink</v>
      </c>
      <c r="B5" s="31" t="str">
        <v>NJ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/>
      <c r="B6" s="29"/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/>
      <c r="B7" s="31"/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/>
      <c r="B8" s="29"/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/>
      <c r="B9" s="31"/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/>
      <c r="B10" s="29"/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/>
      <c r="B11" s="31"/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/>
      <c r="B12" s="29"/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/>
      <c r="B13" s="31"/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/>
      <c r="B14" s="29"/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/>
      <c r="B15" s="31"/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/>
      <c r="B16" s="29"/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/>
      <c r="B17" s="31"/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B2" sqref="B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48</v>
      </c>
      <c r="B1" t="s">
        <v>49</v>
      </c>
    </row>
    <row r="3" spans="1:7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7" ht="14.45">
      <c r="A4" s="44" t="s">
        <v>53</v>
      </c>
      <c r="B4" s="44" t="s">
        <v>54</v>
      </c>
      <c r="C4" s="44" t="s">
        <v>55</v>
      </c>
      <c r="D4" s="47" t="s">
        <v>56</v>
      </c>
      <c r="E4" t="s">
        <v>57</v>
      </c>
      <c r="G4" s="3"/>
    </row>
    <row r="5" spans="1:7" ht="14.45">
      <c r="A5" s="45" t="s">
        <v>58</v>
      </c>
      <c r="B5" s="45" t="s">
        <v>59</v>
      </c>
      <c r="C5" s="46" t="s">
        <v>55</v>
      </c>
      <c r="D5" s="48" t="s">
        <v>56</v>
      </c>
      <c r="E5" t="s">
        <v>57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2024-04-10T18:46:01Z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