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C2D21D59-9CDC-44C4-A1C9-431A499C247D}" xr6:coauthVersionLast="47" xr6:coauthVersionMax="47" xr10:uidLastSave="{00000000-0000-0000-0000-000000000000}"/>
  <bookViews>
    <workbookView xWindow="-93" yWindow="-93" windowWidth="19386" windowHeight="1146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C4" i="29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<sst xmlns="http://schemas.openxmlformats.org/spreadsheetml/2006/main" count="245" uniqueCount="59">
  <si>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</si>
  <si>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</si>
  <si>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</si>
  <si>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</si>
  <si>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</si>
  <si>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</si>
  <si>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</si>
  <si>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</si>
  <si>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</si>
  <si>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</si>
  <si>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</si>
  <si>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</si>
  <si>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</si>
  <si>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</si>
  <si>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</si>
  <si>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</si>
  <si>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</si>
  <si>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</si>
  <si>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</si>
  <si>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</si>
  <si>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</si>
  <si>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</si>
  <si>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2.3(old 22) was offline from 01/16
2. Inverter 1.17 was offline from 01/23 and back online on 01/26 at 10:00am</t>
  </si>
  <si>
    <t>1. SR080257
2. SR080410</t>
  </si>
  <si>
    <t>February Actual v. Expected</t>
  </si>
  <si>
    <t>February Actual v. Forecasted</t>
  </si>
  <si>
    <t>1. Inverter 2.3(old 22) was offline for entire month</t>
  </si>
  <si>
    <t>1. SR080257</t>
  </si>
  <si>
    <t>March Actual v. Expected</t>
  </si>
  <si>
    <t>March Actual v. Forecasted</t>
  </si>
  <si>
    <t xml:space="preserve">1. Inverter 2.3(old 22) was offline for entire month. Inverter being RMA'd
2. Inverter 1.15 was offline from offline on 03/21 </t>
  </si>
  <si>
    <t>1. SR080257
2. SR082315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</si>
  <si>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</si>
  <si>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</si>
  <si>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</si>
  <si>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</si>
  <si>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</si>
  <si>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</si>
  <si>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</si>
  <si>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</si>
  <si>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</si>
  <si>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</si>
  <si>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</si>
  <si>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</si>
  <si>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</si>
  <si>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</si>
  <si>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</si>
  <si>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</si>
  <si>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</si>
  <si>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</si>
  <si>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</si>
  <si>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MAC Phase I</t>
  </si>
  <si>
    <t>Site DAS Name</t>
  </si>
  <si>
    <t>Update</t>
  </si>
  <si>
    <t>DAS</t>
  </si>
  <si>
    <t>MAC</t>
  </si>
  <si>
    <t>MAC - Phase 1</t>
  </si>
  <si>
    <t>MN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</si>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</sst>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B19" sqref="B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SUM(C4:C89)</f>
        <v>529169</v>
      </c>
      <c r="D2" s="6">
        <f>SUM(D4:D89)</f>
        <v>195387</v>
      </c>
      <c r="E2" s="6">
        <f>C2-D2</f>
        <v>333782</v>
      </c>
      <c r="F2" s="7">
        <f>IFERROR(E2/D2, 0)</f>
        <v>1.7083122213862745</v>
      </c>
      <c r="G2" s="6">
        <f>SUM(G4:G89)</f>
        <v>266160</v>
      </c>
      <c r="H2" s="8">
        <f>C2-G2</f>
        <v>263009</v>
      </c>
      <c r="I2" s="7">
        <f>IFERROR(H2/G2, 0)</f>
        <v>0.98816125638713559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SUM('1st Qtr'!C4, '2nd Qtr'!C4, '3rd Qtr'!C4, '4th Qtr'!C4)</f>
        <v>529169</v>
      </c>
      <c r="D4" s="14">
        <f>SUM('1st Qtr'!D4, '2nd Qtr'!D4, '3rd Qtr'!D4, '4th Qtr'!D4)</f>
        <v>195387</v>
      </c>
      <c r="E4" s="14">
        <f>IF(AND(ISNUMBER(C4),ISNUMBER(D4)), C4-D4, "")</f>
        <v>333782</v>
      </c>
      <c r="F4" s="15">
        <f>IFERROR(E4/D4, 0)</f>
        <v>1.7083122213862745</v>
      </c>
      <c r="G4" s="16">
        <f>SUM('1st Qtr'!G4,'2nd Qtr'!G4,'3rd Qtr'!G4,'4th Qtr'!G4)</f>
        <v>266160</v>
      </c>
      <c r="H4" s="16">
        <f>SUM('1st Qtr'!H4, '2nd Qtr'!H4, '3rd Qtr'!H4, '4th Qtr'!H4)</f>
        <v>263009</v>
      </c>
      <c r="I4" s="17">
        <f>IFERROR(H4/G4, 0)</f>
        <v>0.98816125638713559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sqref="A1:C1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SUM(C4:C89)</f>
        <v>529169</v>
      </c>
      <c r="D2" s="6">
        <f>SUM(D4:D89)</f>
        <v>195387</v>
      </c>
      <c r="E2" s="6">
        <f>C2-D2</f>
        <v>333782</v>
      </c>
      <c r="F2" s="7">
        <f>IFERROR(E2/D2, 0)</f>
        <v>1.7083122213862745</v>
      </c>
      <c r="G2" s="6">
        <f>SUM(G4:G89)</f>
        <v>266160</v>
      </c>
      <c r="H2" s="8">
        <f>C2-G2</f>
        <v>263009</v>
      </c>
      <c r="I2" s="7">
        <f>IFERROR(H2/G2, 0)</f>
        <v>0.98816125638713559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SUM(Jan!C4, Feb!C4, Mar!C4)</f>
        <v>529169</v>
      </c>
      <c r="D4" s="14">
        <f>SUM(Jan!D4, Feb!D4, Mar!D4)</f>
        <v>195387</v>
      </c>
      <c r="E4" s="14">
        <f>IF(AND(ISNUMBER(C4),ISNUMBER(D4)), C4-D4, "")</f>
        <v>333782</v>
      </c>
      <c r="F4" s="15">
        <f>IFERROR(E4/D4, 0)</f>
        <v>1.7083122213862745</v>
      </c>
      <c r="G4" s="16">
        <f>SUM(Jan!G4, Feb!G4, Mar!G4)</f>
        <v>266160</v>
      </c>
      <c r="H4" s="16">
        <f>SUM(Jan!H4, Feb!H4, Mar!H4)</f>
        <v>263009</v>
      </c>
      <c r="I4" s="17">
        <f>IFERROR(H4/G4, 0)</f>
        <v>0.98816125638713559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4" sqref="K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91599</v>
      </c>
      <c r="D2" s="6">
        <f>SUM(D4:D89)</f>
        <v>30865</v>
      </c>
      <c r="E2" s="6">
        <f>C2-D2</f>
        <v>60734</v>
      </c>
      <c r="F2" s="7">
        <f>IFERROR(E2/D2, 0)</f>
        <v>1.9677304390085857</v>
      </c>
      <c r="G2" s="6">
        <f>SUM(G4:G89)</f>
        <v>62234</v>
      </c>
      <c r="H2" s="8">
        <f>C2-G2</f>
        <v>29365</v>
      </c>
      <c r="I2" s="7">
        <f>IFERROR(H2/G2, 0)</f>
        <v>0.47184818587910143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7">
      <c r="A4" s="33" t="str" cm="1">
        <f t="array" ref="A4">Sites[Site]</f>
        <v>MAC - Phase 1</v>
      </c>
      <c r="B4" s="30" t="str" cm="1">
        <f t="array" ref="B4">Sites[State]</f>
        <v>MN</v>
      </c>
      <c r="C4" s="26">
        <v>91599</v>
      </c>
      <c r="D4" s="14">
        <v>30865</v>
      </c>
      <c r="E4" s="14">
        <f>IF(AND(ISNUMBER(C4),ISNUMBER(D4)), C4-D4, "")</f>
        <v>60734</v>
      </c>
      <c r="F4" s="15">
        <f>IFERROR(E4/D4, 0)</f>
        <v>1.9677304390085857</v>
      </c>
      <c r="G4" s="16">
        <v>62234</v>
      </c>
      <c r="H4" s="16">
        <f>IF(AND(ISNUMBER(C4),ISNUMBER(G4)), C4-G4, "")</f>
        <v>29365</v>
      </c>
      <c r="I4" s="17">
        <f>IFERROR(H4/G4, 0)</f>
        <v>0.47184818587910143</v>
      </c>
      <c r="J4" s="18" t="s">
        <v>22</v>
      </c>
      <c r="K4" s="18" t="s">
        <v>23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tabSelected="1" workbookViewId="0">
      <pane ySplit="2" topLeftCell="A3" activePane="bottomLeft" state="frozen"/>
      <selection pane="bottomLeft" activeCell="E19" sqref="E19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171585</v>
      </c>
      <c r="D2" s="6">
        <f>SUM(D4:D90)</f>
        <v>63395</v>
      </c>
      <c r="E2" s="6">
        <f>C2-D2</f>
        <v>108190</v>
      </c>
      <c r="F2" s="7">
        <f>IFERROR(E2/D2, 0)</f>
        <v>1.706601466992665</v>
      </c>
      <c r="G2" s="6">
        <f>SUM(G4:G90)</f>
        <v>84292</v>
      </c>
      <c r="H2" s="8">
        <f>C2-G2</f>
        <v>87293</v>
      </c>
      <c r="I2" s="7">
        <f>IFERROR(H2/G2, 0)</f>
        <v>1.0356024296493143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171585</v>
      </c>
      <c r="D4" s="14">
        <v>63395</v>
      </c>
      <c r="E4" s="14">
        <f>IF(AND(ISNUMBER(C4),ISNUMBER(D4)), C4-D4, "")</f>
        <v>108190</v>
      </c>
      <c r="F4" s="15">
        <f>IFERROR(E4/D4, "")</f>
        <v>1.706601466992665</v>
      </c>
      <c r="G4" s="16">
        <v>84292</v>
      </c>
      <c r="H4" s="16">
        <f>IF(AND(ISNUMBER(C4),ISNUMBER(G4)), C4-G4, "")</f>
        <v>87293</v>
      </c>
      <c r="I4" s="17">
        <f>IFERROR(H4/G4, "")</f>
        <v>1.0356024296493143</v>
      </c>
      <c r="J4" s="18" t="s">
        <v>26</v>
      </c>
      <c r="K4" s="18" t="s">
        <v>27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11" sqref="J11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265985</v>
      </c>
      <c r="D2" s="6">
        <f>SUM(D4:D90)</f>
        <v>101127</v>
      </c>
      <c r="E2" s="6">
        <f>C2-D2</f>
        <v>164858</v>
      </c>
      <c r="F2" s="7">
        <f>IFERROR(E2/D2, 0)</f>
        <v>1.6302075607898978</v>
      </c>
      <c r="G2" s="6">
        <f>SUM(G4:G90)</f>
        <v>119634</v>
      </c>
      <c r="H2" s="8">
        <f>C2-G2</f>
        <v>146351</v>
      </c>
      <c r="I2" s="7">
        <f>IFERROR(H2/G2, 0)</f>
        <v>1.2233228012103583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7">
      <c r="A4" s="33" t="str" cm="1">
        <f t="array" ref="A4">Sites[Site]</f>
        <v>MAC - Phase 1</v>
      </c>
      <c r="B4" s="30" t="str" cm="1">
        <f t="array" ref="B4">Sites[State]</f>
        <v>MN</v>
      </c>
      <c r="C4" s="26">
        <v>265985</v>
      </c>
      <c r="D4" s="14">
        <v>101127</v>
      </c>
      <c r="E4" s="14">
        <f>IF(AND(ISNUMBER(C4),ISNUMBER(D4)), C4-D4, "")</f>
        <v>164858</v>
      </c>
      <c r="F4" s="15">
        <f>IFERROR(E4/D4, "")</f>
        <v>1.6302075607898978</v>
      </c>
      <c r="G4" s="16">
        <v>119634</v>
      </c>
      <c r="H4" s="16">
        <f>IF(AND(ISNUMBER(C4),ISNUMBER(G4)), C4-G4, "")</f>
        <v>146351</v>
      </c>
      <c r="I4" s="17">
        <f>IFERROR(H4/G4, "")</f>
        <v>1.2233228012103583</v>
      </c>
      <c r="J4" s="18" t="s">
        <v>30</v>
      </c>
      <c r="K4" s="18" t="s">
        <v>31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46</v>
      </c>
      <c r="E1" s="45"/>
      <c r="F1" s="45"/>
      <c r="G1" s="43" t="s">
        <v>47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48</v>
      </c>
      <c r="E1" s="45"/>
      <c r="F1" s="45"/>
      <c r="G1" s="43" t="s">
        <v>49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50</v>
      </c>
      <c r="B1" s="36" t="s">
        <v>51</v>
      </c>
    </row>
    <row r="3" spans="1:7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7" ht="14.45">
      <c r="A4" t="s">
        <v>55</v>
      </c>
      <c r="B4" t="s">
        <v>56</v>
      </c>
      <c r="C4" s="4" t="s">
        <v>57</v>
      </c>
      <c r="E4" t="s">
        <v>58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2024-07-09T06:25:24Z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