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"/>
    </mc:Choice>
  </mc:AlternateContent>
  <xr:revisionPtr revIDLastSave="66" documentId="13_ncr:1_{D97DC873-B662-4E7E-8008-A0A2D66581C4}" xr6:coauthVersionLast="47" xr6:coauthVersionMax="47" xr10:uidLastSave="{610941F9-BE60-4F51-B08F-CC6174F0DF77}"/>
  <bookViews>
    <workbookView xWindow="2900" yWindow="5600" windowWidth="15533" windowHeight="7073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2" l="1"/>
  <c r="I11" i="72"/>
  <c r="F9" i="72"/>
  <c r="F10" i="72"/>
  <c r="F11" i="72"/>
  <c r="B4" i="33" a="1"/>
  <c r="B4" i="33" s="1"/>
  <c r="B4" i="32" a="1"/>
  <c r="B4" i="32" s="1"/>
  <c r="B4" i="31" a="1"/>
  <c r="B4" i="31" s="1"/>
  <c r="B4" i="19" a="1"/>
  <c r="B4" i="19" s="1"/>
  <c r="B4" i="20" a="1"/>
  <c r="B4" i="20" s="1"/>
  <c r="B4" i="21" a="1"/>
  <c r="B4" i="21" s="1"/>
  <c r="B4" i="4" a="1"/>
  <c r="B4" i="4" s="1"/>
  <c r="B4" i="3" a="1"/>
  <c r="B4" i="3" s="1"/>
  <c r="B4" i="27" a="1"/>
  <c r="B4" i="27" s="1"/>
  <c r="B4" i="26" a="1"/>
  <c r="B4" i="26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5" i="1"/>
  <c r="G5" i="34" s="1"/>
  <c r="G4" i="1"/>
  <c r="G4" i="34" s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1" i="34" a="1"/>
  <c r="A1" i="34" s="1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E5" i="29" s="1"/>
  <c r="F5" i="29" s="1"/>
  <c r="D4" i="29"/>
  <c r="C4" i="29"/>
  <c r="D12" i="18"/>
  <c r="C12" i="18"/>
  <c r="D11" i="18"/>
  <c r="C11" i="18"/>
  <c r="E11" i="18" s="1"/>
  <c r="F11" i="18" s="1"/>
  <c r="D10" i="18"/>
  <c r="C10" i="18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G2" i="29"/>
  <c r="A1" i="29" a="1"/>
  <c r="A1" i="29" s="1"/>
  <c r="B4" i="18" a="1"/>
  <c r="B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J2" i="28" s="1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H2" i="20" s="1"/>
  <c r="I2" i="20" s="1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E10" i="72"/>
  <c r="E11" i="72"/>
  <c r="E12" i="72"/>
  <c r="F12" i="72" s="1"/>
  <c r="H6" i="72"/>
  <c r="I6" i="72" s="1"/>
  <c r="H7" i="72"/>
  <c r="I7" i="72" s="1"/>
  <c r="H8" i="72"/>
  <c r="I8" i="72" s="1"/>
  <c r="H9" i="72"/>
  <c r="I9" i="72" s="1"/>
  <c r="H10" i="72"/>
  <c r="H11" i="72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2" i="34" l="1"/>
  <c r="D2" i="18"/>
  <c r="H2" i="19"/>
  <c r="I2" i="19" s="1"/>
  <c r="H7" i="29"/>
  <c r="I7" i="29" s="1"/>
  <c r="E11" i="29"/>
  <c r="F11" i="29" s="1"/>
  <c r="D2" i="30"/>
  <c r="H6" i="30"/>
  <c r="I6" i="30" s="1"/>
  <c r="H2" i="21"/>
  <c r="I2" i="21" s="1"/>
  <c r="H2" i="31"/>
  <c r="I2" i="31" s="1"/>
  <c r="H2" i="32"/>
  <c r="I2" i="32" s="1"/>
  <c r="J2" i="31"/>
  <c r="H12" i="29"/>
  <c r="I12" i="29" s="1"/>
  <c r="H10" i="29"/>
  <c r="I10" i="29" s="1"/>
  <c r="E4" i="18"/>
  <c r="F4" i="18" s="1"/>
  <c r="E8" i="18"/>
  <c r="F8" i="18" s="1"/>
  <c r="E12" i="18"/>
  <c r="F12" i="18" s="1"/>
  <c r="E6" i="29"/>
  <c r="F6" i="29" s="1"/>
  <c r="E10" i="29"/>
  <c r="F10" i="29" s="1"/>
  <c r="E4" i="30"/>
  <c r="F4" i="30" s="1"/>
  <c r="J2" i="32"/>
  <c r="D4" i="34"/>
  <c r="D2" i="34" s="1"/>
  <c r="E2" i="20"/>
  <c r="F2" i="20" s="1"/>
  <c r="I10" i="27"/>
  <c r="E8" i="30"/>
  <c r="F8" i="30" s="1"/>
  <c r="E12" i="30"/>
  <c r="F12" i="30" s="1"/>
  <c r="J2" i="21"/>
  <c r="H9" i="29"/>
  <c r="I9" i="29" s="1"/>
  <c r="H2" i="28"/>
  <c r="I2" i="28" s="1"/>
  <c r="J2" i="20"/>
  <c r="D2" i="29"/>
  <c r="H2" i="4"/>
  <c r="I2" i="4" s="1"/>
  <c r="E9" i="30"/>
  <c r="F9" i="30" s="1"/>
  <c r="J2" i="19"/>
  <c r="H2" i="26"/>
  <c r="I2" i="26" s="1"/>
  <c r="H6" i="29"/>
  <c r="I6" i="29" s="1"/>
  <c r="H2" i="27"/>
  <c r="I2" i="27" s="1"/>
  <c r="E2" i="28"/>
  <c r="F2" i="28" s="1"/>
  <c r="E6" i="18"/>
  <c r="F6" i="18" s="1"/>
  <c r="E10" i="18"/>
  <c r="F10" i="18" s="1"/>
  <c r="E8" i="29"/>
  <c r="F8" i="29" s="1"/>
  <c r="E12" i="29"/>
  <c r="F12" i="29" s="1"/>
  <c r="E6" i="30"/>
  <c r="F6" i="30" s="1"/>
  <c r="J2" i="26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<sst xmlns="http://schemas.openxmlformats.org/spreadsheetml/2006/main" count="427" uniqueCount="80">
  <si>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</si>
  <si>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</si>
  <si>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</si>
  <si>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</si>
  <si>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</si>
  <si>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</si>
  <si>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</si>
  <si>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</si>
  <si>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</si>
  <si>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</si>
  <si>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AZ: Marana - Degrazia ES</t>
  </si>
  <si>
    <t>AZ: Marana - Gladden Farms Ph 2</t>
  </si>
  <si>
    <t>AZ: Marana - Marana High School</t>
  </si>
  <si>
    <t>AZ: Marana - Mountain View HS Exp.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</si>
  <si>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</si>
  <si>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</si>
  <si>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</si>
  <si>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</si>
  <si>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</si>
  <si>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</si>
  <si>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</si>
  <si>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</si>
  <si>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</si>
  <si>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</si>
  <si>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</si>
  <si>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</si>
  <si>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</si>
  <si>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</si>
  <si>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</si>
  <si>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</si>
  <si>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</si>
  <si>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C2 was offline for whole month and the inverter RMA'd 
2. Inverter A1 was offline for whole month</t>
  </si>
  <si>
    <t>1. SR077925
2. SR079708</t>
  </si>
  <si>
    <t xml:space="preserve">1. Array A and C are running but not communicating, and Array B and G are offline due to Structure damage </t>
  </si>
  <si>
    <t>1. SR075233, SR075779</t>
  </si>
  <si>
    <t>1. Site was offline due to fire accident from May 2023 and back online on 01/18/2024</t>
  </si>
  <si>
    <t>1. SR071245</t>
  </si>
  <si>
    <t>1. Inverter A2 was offline on 01/22 and 1/23 due to ground faults</t>
  </si>
  <si>
    <t>1. SR078885</t>
  </si>
  <si>
    <t>1. Inverter C2 was back online from 01/23</t>
  </si>
  <si>
    <t>1. SRO75975</t>
  </si>
  <si>
    <t>February Actual v. Expected</t>
  </si>
  <si>
    <t>February Actual v. Forecasted</t>
  </si>
  <si>
    <t>1. Inverter C2 was offline for whole month 
2. Inverter A1 was offline from 01/09 replaced on 02/28</t>
  </si>
  <si>
    <t>1.Inverter A3 tripped offline at 10:15 on 02/15 &amp; back online at 02/20 at 15:00</t>
  </si>
  <si>
    <t>1.SR081030</t>
  </si>
  <si>
    <t>March Actual v. Expected</t>
  </si>
  <si>
    <t>March Actual v. Forecasted</t>
  </si>
  <si>
    <t>1. Inverter C2 was replaced on 03/19</t>
  </si>
  <si>
    <t>1. SR077925</t>
  </si>
  <si>
    <t>1. Inverter A5 replaced on 03/18 but not communicating in AP
2. Inverter C1 replaced on 03/12 but not communicating in AP
3. Inverter A2 replaced on 03/19 but not communicating in AP</t>
  </si>
  <si>
    <t>1. SR081612
2. SR081791
3. SR081996</t>
  </si>
  <si>
    <t>1. Inverter A4 is tripped offline mid of the day from 03/04 almost through out the month</t>
  </si>
  <si>
    <t>1. SR082498</t>
  </si>
  <si>
    <t xml:space="preserve">1. Meter is capturing around 80% production of inverters </t>
  </si>
  <si>
    <t>1. SR082837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</si>
  <si>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</si>
  <si>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</si>
  <si>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</si>
  <si>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</si>
  <si>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</si>
  <si>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</si>
  <si>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</si>
  <si>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</si>
  <si>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</si>
  <si>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</si>
  <si>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</si>
  <si>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</si>
  <si>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</si>
  <si>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</si>
  <si>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</si>
  <si>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</si>
  <si>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</si>
  <si>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</si>
  <si>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</si>
  <si>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Marana USD</t>
  </si>
  <si>
    <t>Site DAS Name</t>
  </si>
  <si>
    <t>Update</t>
  </si>
  <si>
    <t>DAS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</si>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</sst>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2" fillId="40" borderId="12" xfId="43" applyFont="1" applyFill="1" applyBorder="1"/>
    <xf numFmtId="0" fontId="22" fillId="0" borderId="12" xfId="43" applyFont="1" applyBorder="1"/>
    <xf numFmtId="9" fontId="30" fillId="3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4" borderId="0" xfId="2" applyFont="1" applyFill="1" applyBorder="1" applyAlignment="1">
      <alignment horizontal="center" vertical="center"/>
    </xf>
    <xf numFmtId="0" fontId="30" fillId="37" borderId="0" xfId="2" applyNumberFormat="1" applyFont="1" applyFill="1" applyBorder="1" applyAlignment="1">
      <alignment horizontal="right" vertical="center"/>
    </xf>
    <xf numFmtId="0" fontId="30" fillId="0" borderId="0" xfId="2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22" fillId="40" borderId="12" xfId="0" applyFont="1" applyFill="1" applyBorder="1"/>
    <xf numFmtId="0" fontId="22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D12" totalsRowShown="0">
  <autoFilter ref="A3:D12" xr:uid="{C9C95D9E-67ED-41E0-9F41-9C3DA4ACF4CD}"/>
  <sortState xmlns:xlrd2="http://schemas.microsoft.com/office/spreadsheetml/2017/richdata2" ref="A4:C6">
    <sortCondition ref="B3:B6"/>
  </sortState>
  <tableColumns count="4">
    <tableColumn id="3" xr3:uid="{3FB6FBC9-911C-415A-89D1-91E602B41CD0}" name="Site DAS Nam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8"/>
  <sheetViews>
    <sheetView workbookViewId="0">
      <pane ySplit="2" topLeftCell="A3" activePane="bottomLeft" state="frozen"/>
      <selection pane="bottomLeft" activeCell="D20" sqref="D20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6">
        <f>SUM(C4:C96)</f>
        <v>857250</v>
      </c>
      <c r="D2" s="6">
        <f>SUM(D4:D96)</f>
        <v>0</v>
      </c>
      <c r="E2" s="6">
        <f>C2-D2</f>
        <v>857250</v>
      </c>
      <c r="F2" s="7">
        <f>IFERROR(E2/D2, 0)</f>
        <v>0</v>
      </c>
      <c r="G2" s="6">
        <f>SUM(G4:G96)</f>
        <v>0</v>
      </c>
      <c r="H2" s="8">
        <f>C2-G2</f>
        <v>857250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SUM('1st Qtr'!C4, '2nd Qtr'!C4, '3rd Qtr'!C4, '4th Qtr'!C4)</f>
        <v>54234</v>
      </c>
      <c r="D4" s="13">
        <f>SUM('1st Qtr'!D4, '2nd Qtr'!D4, '3rd Qtr'!D4, '4th Qtr'!D4)</f>
        <v>0</v>
      </c>
      <c r="E4" s="13">
        <f>IF(AND(ISNUMBER(C4),ISNUMBER(D4)), C4-D4, "")</f>
        <v>54234</v>
      </c>
      <c r="F4" s="44">
        <f>IFERROR(E4/D4, 0)</f>
        <v>0</v>
      </c>
      <c r="G4" s="47">
        <f>SUM('1st Qtr'!G4,'2nd Qtr'!G4,'3rd Qtr'!G4,'4th Qtr'!G4)</f>
        <v>0</v>
      </c>
      <c r="H4" s="15">
        <f>SUM('1st Qtr'!H4, '2nd Qtr'!H4, '3rd Qtr'!H4, '4th Qtr'!H4)</f>
        <v>54234</v>
      </c>
      <c r="I4" s="16">
        <f>IFERROR(H4/G4, 0)</f>
        <v>0</v>
      </c>
    </row>
    <row r="5" spans="1:9" ht="14.45">
      <c r="A5" s="53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5">
        <f t="shared" ref="F5:F12" si="1">IFERROR(E5/D5, 0)</f>
        <v>0</v>
      </c>
      <c r="G5" s="48">
        <f>SUM('1st Qtr'!G5,'2nd Qtr'!G5,'3rd Qtr'!G5,'4th Qtr'!G5)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45">
      <c r="A6" s="52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4">
        <f t="shared" si="1"/>
        <v>0</v>
      </c>
      <c r="G6" s="47">
        <f>SUM('1st Qtr'!G6,'2nd Qtr'!G6,'3rd Qtr'!G6,'4th Qtr'!G6)</f>
        <v>0</v>
      </c>
      <c r="H6" s="15">
        <f>SUM(Jan!H6, Feb!H6, Mar!H6)</f>
        <v>92114</v>
      </c>
      <c r="I6" s="16">
        <f t="shared" si="2"/>
        <v>0</v>
      </c>
    </row>
    <row r="7" spans="1:9" ht="14.45">
      <c r="A7" s="53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5">
        <f t="shared" si="1"/>
        <v>0</v>
      </c>
      <c r="G7" s="48">
        <f>SUM('1st Qtr'!G7,'2nd Qtr'!G7,'3rd Qtr'!G7,'4th Qtr'!G7)</f>
        <v>0</v>
      </c>
      <c r="H7" s="21">
        <f>SUM(Jan!H7, Feb!H7, Mar!H7)</f>
        <v>340237</v>
      </c>
      <c r="I7" s="20">
        <f t="shared" si="2"/>
        <v>0</v>
      </c>
    </row>
    <row r="8" spans="1:9" ht="14.45">
      <c r="A8" s="42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4">
        <f t="shared" si="1"/>
        <v>0</v>
      </c>
      <c r="G8" s="47">
        <f>SUM('1st Qtr'!G8,'2nd Qtr'!G8,'3rd Qtr'!G8,'4th Qtr'!G8)</f>
        <v>0</v>
      </c>
      <c r="H8" s="15">
        <f>SUM(Jan!H8, Feb!H8, Mar!H8)</f>
        <v>42567</v>
      </c>
      <c r="I8" s="16">
        <f t="shared" si="2"/>
        <v>0</v>
      </c>
    </row>
    <row r="9" spans="1:9" ht="14.45">
      <c r="A9" s="43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5">
        <f t="shared" si="1"/>
        <v>0</v>
      </c>
      <c r="G9" s="48">
        <f>SUM('1st Qtr'!G9,'2nd Qtr'!G9,'3rd Qtr'!G9,'4th Qtr'!G9)</f>
        <v>0</v>
      </c>
      <c r="H9" s="21">
        <f>SUM(Jan!H9, Feb!H9, Mar!H9)</f>
        <v>50827</v>
      </c>
      <c r="I9" s="20">
        <f t="shared" si="2"/>
        <v>0</v>
      </c>
    </row>
    <row r="10" spans="1:9" ht="14.45">
      <c r="A10" s="42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4">
        <f t="shared" si="1"/>
        <v>0</v>
      </c>
      <c r="G10" s="47">
        <f>SUM('1st Qtr'!G10,'2nd Qtr'!G10,'3rd Qtr'!G10,'4th Qtr'!G10)</f>
        <v>0</v>
      </c>
      <c r="H10" s="15">
        <f>SUM(Jan!H10, Feb!H10, Mar!H10)</f>
        <v>36998</v>
      </c>
      <c r="I10" s="16">
        <f t="shared" si="2"/>
        <v>0</v>
      </c>
    </row>
    <row r="11" spans="1:9" ht="14.45">
      <c r="A11" s="43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5">
        <f t="shared" si="1"/>
        <v>0</v>
      </c>
      <c r="G11" s="48">
        <f>SUM('1st Qtr'!G11,'2nd Qtr'!G11,'3rd Qtr'!G11,'4th Qtr'!G11)</f>
        <v>0</v>
      </c>
      <c r="H11" s="21">
        <f>SUM(Jan!H11, Feb!H11, Mar!H11)</f>
        <v>104614</v>
      </c>
      <c r="I11" s="20">
        <f t="shared" si="2"/>
        <v>0</v>
      </c>
    </row>
    <row r="12" spans="1:9" ht="14.45">
      <c r="A12" s="42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4">
        <f t="shared" si="1"/>
        <v>0</v>
      </c>
      <c r="G12" s="47">
        <f>SUM('1st Qtr'!G12,'2nd Qtr'!G12,'3rd Qtr'!G12,'4th Qtr'!G12)</f>
        <v>0</v>
      </c>
      <c r="H12" s="15">
        <f>SUM(Jan!H12, Feb!H12, Mar!H12)</f>
        <v>85946</v>
      </c>
      <c r="I12" s="16">
        <f t="shared" si="2"/>
        <v>0</v>
      </c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13:F96">
    <cfRule type="cellIs" dxfId="39" priority="5" stopIfTrue="1" operator="lessThanOrEqual">
      <formula>-0.1</formula>
    </cfRule>
    <cfRule type="expression" dxfId="38" priority="6">
      <formula>AND(ISNUMBER(F2), F2&gt;=0.1)</formula>
    </cfRule>
  </conditionalFormatting>
  <conditionalFormatting sqref="G4:G12">
    <cfRule type="cellIs" dxfId="37" priority="3" stopIfTrue="1" operator="lessThanOrEqual">
      <formula>-0.1</formula>
    </cfRule>
    <cfRule type="expression" dxfId="36" priority="4">
      <formula>AND(ISNUMBER(G4), G4&gt;=0.1)</formula>
    </cfRule>
  </conditionalFormatting>
  <conditionalFormatting sqref="I4:I96">
    <cfRule type="cellIs" dxfId="35" priority="1" stopIfTrue="1" operator="lessThanOrEqual">
      <formula>-0.1</formula>
    </cfRule>
    <cfRule type="expression" dxfId="34" priority="2">
      <formula>AND(ISNUMBER(I4), I4&gt;=0.1)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G19" sqref="G19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19</v>
      </c>
      <c r="E1" s="57"/>
      <c r="F1" s="57"/>
      <c r="G1" s="55" t="s">
        <v>20</v>
      </c>
      <c r="H1" s="55"/>
      <c r="I1" s="55"/>
    </row>
    <row r="2" spans="1:9" ht="19.5" customHeight="1">
      <c r="A2" s="58" t="s">
        <v>2</v>
      </c>
      <c r="B2" s="58"/>
      <c r="C2" s="6">
        <f>SUM(C4:C96)</f>
        <v>857250</v>
      </c>
      <c r="D2" s="6">
        <f>SUM(D4:D96)</f>
        <v>0</v>
      </c>
      <c r="E2" s="6">
        <f>C2-D2</f>
        <v>857250</v>
      </c>
      <c r="F2" s="7">
        <f>IFERROR(E2/D2, 0)</f>
        <v>0</v>
      </c>
      <c r="G2" s="6">
        <f>SUM(G4:G96)</f>
        <v>0</v>
      </c>
      <c r="H2" s="8">
        <f>C2-G2</f>
        <v>857250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SUM(Jan!C4, Feb!C4, Mar!C4)</f>
        <v>54234</v>
      </c>
      <c r="D4" s="13">
        <f>SUM(Jan!D4, Feb!D4, Mar!D4)</f>
        <v>0</v>
      </c>
      <c r="E4" s="13">
        <f>IF(AND(ISNUMBER(C4),ISNUMBER(D4)), C4-D4, "")</f>
        <v>54234</v>
      </c>
      <c r="F4" s="44">
        <f>IFERROR(E4/D4, 0)</f>
        <v>0</v>
      </c>
      <c r="G4" s="15">
        <f>SUM(Jan!G4, Feb!G4, Mar!G4)</f>
        <v>0</v>
      </c>
      <c r="H4" s="15">
        <f>SUM(Jan!H4, Feb!H4, Mar!H4)</f>
        <v>54234</v>
      </c>
      <c r="I4" s="46">
        <f>IFERROR(H4/G4, 0)</f>
        <v>0</v>
      </c>
    </row>
    <row r="5" spans="1:9" ht="14.45">
      <c r="A5" s="53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5">
        <f t="shared" ref="F5:F12" si="1">IFERROR(E5/D5, 0)</f>
        <v>0</v>
      </c>
      <c r="G5" s="21">
        <f>SUM(Jan!G5, Feb!G5, Mar!G5)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45">
      <c r="A6" s="52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4">
        <f t="shared" si="1"/>
        <v>0</v>
      </c>
      <c r="G6" s="15">
        <f>SUM(Jan!G6, Feb!G6, Mar!G6)</f>
        <v>0</v>
      </c>
      <c r="H6" s="15">
        <f>SUM(Jan!H6, Feb!H6, Mar!H6)</f>
        <v>92114</v>
      </c>
      <c r="I6" s="46">
        <f t="shared" si="2"/>
        <v>0</v>
      </c>
    </row>
    <row r="7" spans="1:9" ht="14.45">
      <c r="A7" s="53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5">
        <f t="shared" si="1"/>
        <v>0</v>
      </c>
      <c r="G7" s="21">
        <f>SUM(Jan!G7, Feb!G7, Mar!G7)</f>
        <v>0</v>
      </c>
      <c r="H7" s="21">
        <f>SUM(Jan!H7, Feb!H7, Mar!H7)</f>
        <v>340237</v>
      </c>
      <c r="I7" s="20">
        <f t="shared" si="2"/>
        <v>0</v>
      </c>
    </row>
    <row r="8" spans="1:9" ht="14.45">
      <c r="A8" s="42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4">
        <f t="shared" si="1"/>
        <v>0</v>
      </c>
      <c r="G8" s="15">
        <f>SUM(Jan!G8, Feb!G8, Mar!G8)</f>
        <v>0</v>
      </c>
      <c r="H8" s="15">
        <f>SUM(Jan!H8, Feb!H8, Mar!H8)</f>
        <v>42567</v>
      </c>
      <c r="I8" s="46">
        <f t="shared" si="2"/>
        <v>0</v>
      </c>
    </row>
    <row r="9" spans="1:9" ht="14.45">
      <c r="A9" s="43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5">
        <f t="shared" si="1"/>
        <v>0</v>
      </c>
      <c r="G9" s="21">
        <f>SUM(Jan!G9, Feb!G9, Mar!G9)</f>
        <v>0</v>
      </c>
      <c r="H9" s="21">
        <f>SUM(Jan!H9, Feb!H9, Mar!H9)</f>
        <v>50827</v>
      </c>
      <c r="I9" s="20">
        <f t="shared" si="2"/>
        <v>0</v>
      </c>
    </row>
    <row r="10" spans="1:9" ht="14.45">
      <c r="A10" s="42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4">
        <f t="shared" si="1"/>
        <v>0</v>
      </c>
      <c r="G10" s="15">
        <f>SUM(Jan!G10, Feb!G10, Mar!G10)</f>
        <v>0</v>
      </c>
      <c r="H10" s="15">
        <f>SUM(Jan!H10, Feb!H10, Mar!H10)</f>
        <v>36998</v>
      </c>
      <c r="I10" s="46">
        <f t="shared" si="2"/>
        <v>0</v>
      </c>
    </row>
    <row r="11" spans="1:9" ht="14.45">
      <c r="A11" s="43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5">
        <f t="shared" si="1"/>
        <v>0</v>
      </c>
      <c r="G11" s="21">
        <f>SUM(Jan!G11, Feb!G11, Mar!G11)</f>
        <v>0</v>
      </c>
      <c r="H11" s="21">
        <f>SUM(Jan!H11, Feb!H11, Mar!H11)</f>
        <v>104614</v>
      </c>
      <c r="I11" s="20">
        <f t="shared" si="2"/>
        <v>0</v>
      </c>
    </row>
    <row r="12" spans="1:9" ht="14.45">
      <c r="A12" s="42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4">
        <f t="shared" si="1"/>
        <v>0</v>
      </c>
      <c r="G12" s="15">
        <f>SUM(Jan!G12, Feb!G12, Mar!G12)</f>
        <v>0</v>
      </c>
      <c r="H12" s="15">
        <f>SUM(Jan!H12, Feb!H12, Mar!H12)</f>
        <v>85946</v>
      </c>
      <c r="I12" s="46">
        <f t="shared" si="2"/>
        <v>0</v>
      </c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13:F96 I13:I96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8"/>
  <sheetViews>
    <sheetView workbookViewId="0">
      <pane ySplit="2" topLeftCell="A3" activePane="bottomLeft" state="frozen"/>
      <selection pane="bottomLeft" activeCell="G25" sqref="G25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21</v>
      </c>
      <c r="E1" s="57"/>
      <c r="F1" s="57"/>
      <c r="G1" s="55" t="s">
        <v>22</v>
      </c>
      <c r="H1" s="55"/>
      <c r="I1" s="55"/>
    </row>
    <row r="2" spans="1:9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4.45">
      <c r="A5" s="53" t="s">
        <v>11</v>
      </c>
      <c r="B5" s="11" t="str">
        <v>AZ</v>
      </c>
      <c r="C5" s="12">
        <f>SUM(Apr!C5, May!C5, Jun!C5)</f>
        <v>0</v>
      </c>
      <c r="D5" s="19">
        <f>SUM(Apr!D5, May!D5, Jun!D5)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4.45">
      <c r="A6" s="52" t="s">
        <v>12</v>
      </c>
      <c r="B6" s="10" t="str">
        <v>AZ</v>
      </c>
      <c r="C6" s="25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SUM(Apr!H6, May!H6, Jun!H6)</f>
        <v>0</v>
      </c>
      <c r="I6" s="16" t="str">
        <f t="shared" ref="I6:I12" si="2">IFERROR(H6/G6, "")</f>
        <v/>
      </c>
    </row>
    <row r="7" spans="1:9" ht="14.45">
      <c r="A7" s="53" t="s">
        <v>13</v>
      </c>
      <c r="B7" s="11" t="str">
        <v>AZ</v>
      </c>
      <c r="C7" s="12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4.45">
      <c r="A8" s="42" t="s">
        <v>14</v>
      </c>
      <c r="B8" s="10" t="str">
        <v>AZ</v>
      </c>
      <c r="C8" s="25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4.45">
      <c r="A9" s="43" t="s">
        <v>15</v>
      </c>
      <c r="B9" s="11" t="str">
        <v>AZ</v>
      </c>
      <c r="C9" s="12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4.45">
      <c r="A10" s="42" t="s">
        <v>16</v>
      </c>
      <c r="B10" s="10" t="str">
        <v>AZ</v>
      </c>
      <c r="C10" s="25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4.45">
      <c r="A11" s="43" t="s">
        <v>17</v>
      </c>
      <c r="B11" s="11" t="str">
        <v>AZ</v>
      </c>
      <c r="C11" s="12">
        <f>SUM(Apr!C11, May!C11, Jun!C11)</f>
        <v>0</v>
      </c>
      <c r="D11" s="19">
        <f>SUM(Apr!D11, May!D11, Jun!D11)</f>
        <v>0</v>
      </c>
      <c r="E11" s="19">
        <f t="shared" si="0"/>
        <v>0</v>
      </c>
      <c r="F11" s="20" t="str">
        <f t="shared" si="1"/>
        <v/>
      </c>
      <c r="G11" s="21"/>
      <c r="H11" s="21">
        <f>SUM(Apr!H11, May!H11, Jun!H11)</f>
        <v>0</v>
      </c>
      <c r="I11" s="20" t="str">
        <f t="shared" si="2"/>
        <v/>
      </c>
    </row>
    <row r="12" spans="1:9" ht="14.45">
      <c r="A12" s="42" t="s">
        <v>18</v>
      </c>
      <c r="B12" s="10" t="str">
        <v>AZ</v>
      </c>
      <c r="C12" s="25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6 I4:I96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8"/>
  <sheetViews>
    <sheetView workbookViewId="0">
      <pane ySplit="2" topLeftCell="A3" activePane="bottomLeft" state="frozen"/>
      <selection pane="bottomLeft" activeCell="I28" sqref="I28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23</v>
      </c>
      <c r="E1" s="57"/>
      <c r="F1" s="57"/>
      <c r="G1" s="55" t="s">
        <v>24</v>
      </c>
      <c r="H1" s="55"/>
      <c r="I1" s="55"/>
    </row>
    <row r="2" spans="1:9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4.45">
      <c r="A5" s="53" t="s">
        <v>11</v>
      </c>
      <c r="B5" s="11" t="str">
        <v>AZ</v>
      </c>
      <c r="C5" s="12">
        <f>SUM(Jul!C5, Aug!C5, Sep!C5)</f>
        <v>0</v>
      </c>
      <c r="D5" s="19">
        <f>SUM(Jul!D5, Aug!D5, Sep!D5)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4.45">
      <c r="A6" s="52" t="s">
        <v>12</v>
      </c>
      <c r="B6" s="10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SUM(Jul!H6, Aug!H6, Sep!H6)</f>
        <v>0</v>
      </c>
      <c r="I6" s="16" t="str">
        <f t="shared" ref="I6:I12" si="2">IFERROR(H6/G6, "")</f>
        <v/>
      </c>
    </row>
    <row r="7" spans="1:9" ht="14.45">
      <c r="A7" s="53" t="s">
        <v>13</v>
      </c>
      <c r="B7" s="11" t="str">
        <v>AZ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4.45">
      <c r="A8" s="42" t="s">
        <v>14</v>
      </c>
      <c r="B8" s="10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4.45">
      <c r="A9" s="43" t="s">
        <v>15</v>
      </c>
      <c r="B9" s="11" t="str">
        <v>AZ</v>
      </c>
      <c r="C9" s="12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4.45">
      <c r="A10" s="42" t="s">
        <v>16</v>
      </c>
      <c r="B10" s="10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4.45">
      <c r="A11" s="43" t="s">
        <v>17</v>
      </c>
      <c r="B11" s="11" t="str">
        <v>AZ</v>
      </c>
      <c r="C11" s="12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4.45">
      <c r="A12" s="42" t="s">
        <v>18</v>
      </c>
      <c r="B12" s="10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Marana USD</v>
      </c>
      <c r="B1" s="56"/>
      <c r="C1" s="56"/>
      <c r="D1" s="57" t="s">
        <v>25</v>
      </c>
      <c r="E1" s="57"/>
      <c r="F1" s="57"/>
      <c r="G1" s="55" t="s">
        <v>26</v>
      </c>
      <c r="H1" s="55"/>
      <c r="I1" s="55"/>
    </row>
    <row r="2" spans="1:9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4.45">
      <c r="A4" s="52" t="s">
        <v>10</v>
      </c>
      <c r="B4" s="10" t="str" cm="1">
        <f t="array" ref="B4:B12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4.45">
      <c r="A5" s="53" t="s">
        <v>11</v>
      </c>
      <c r="B5" s="11" t="str">
        <v>AZ</v>
      </c>
      <c r="C5" s="12">
        <f>SUM(Oct!C5, Nov!C5, Dec!C5)</f>
        <v>0</v>
      </c>
      <c r="D5" s="19">
        <f>SUM(Oct!D5, Nov!D5, Dec!D5)</f>
        <v>0</v>
      </c>
      <c r="E5" s="19">
        <f t="shared" ref="E5:E12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4.45">
      <c r="A6" s="52" t="s">
        <v>12</v>
      </c>
      <c r="B6" s="10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2" si="1">IFERROR(E6/D6, "")</f>
        <v/>
      </c>
      <c r="G6" s="15"/>
      <c r="H6" s="15">
        <f>SUM(Oct!H6, Nov!H6, Dec!H6)</f>
        <v>0</v>
      </c>
      <c r="I6" s="16" t="str">
        <f t="shared" ref="I6:I12" si="2">IFERROR(H6/G6, "")</f>
        <v/>
      </c>
    </row>
    <row r="7" spans="1:9" ht="14.45">
      <c r="A7" s="53" t="s">
        <v>13</v>
      </c>
      <c r="B7" s="11" t="str">
        <v>AZ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4.45">
      <c r="A8" s="42" t="s">
        <v>14</v>
      </c>
      <c r="B8" s="10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4.45">
      <c r="A9" s="43" t="s">
        <v>15</v>
      </c>
      <c r="B9" s="11" t="str">
        <v>AZ</v>
      </c>
      <c r="C9" s="12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4.45">
      <c r="A10" s="42" t="s">
        <v>16</v>
      </c>
      <c r="B10" s="10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4.45">
      <c r="A11" s="43" t="s">
        <v>17</v>
      </c>
      <c r="B11" s="11" t="str">
        <v>AZ</v>
      </c>
      <c r="C11" s="12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4.45">
      <c r="A12" s="42" t="s">
        <v>18</v>
      </c>
      <c r="B12" s="10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2.95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2.9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2.9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2.9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2.9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2.95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2.95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2.95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2.9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2.9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2.9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workbookViewId="0">
      <pane ySplit="3" topLeftCell="A4" activePane="bottomLeft" state="frozen"/>
      <selection pane="bottomLeft" activeCell="L27" sqref="L27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27</v>
      </c>
      <c r="E1" s="57"/>
      <c r="F1" s="57"/>
      <c r="G1" s="55" t="s">
        <v>28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SUM(C4:C94)</f>
        <v>240925</v>
      </c>
      <c r="D2" s="6">
        <f>SUM(D4:D94)</f>
        <v>0</v>
      </c>
      <c r="E2" s="6">
        <f>C2-D2</f>
        <v>240925</v>
      </c>
      <c r="F2" s="7">
        <f>IFERROR(E2/D2, 0)</f>
        <v>0</v>
      </c>
      <c r="G2" s="6">
        <f>SUM(G4:G94)</f>
        <v>0</v>
      </c>
      <c r="H2" s="8">
        <f>C2-G2</f>
        <v>240925</v>
      </c>
      <c r="I2" s="7">
        <f>IFERROR(H2/G2, 0)</f>
        <v>0</v>
      </c>
      <c r="J2" s="27" t="str">
        <f ca="1">IF(AND(TODAY()&gt;DATE(2024, 1,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15252</v>
      </c>
      <c r="D4" s="13">
        <v>0</v>
      </c>
      <c r="E4" s="13">
        <f>IF(AND(ISNUMBER(C4),ISNUMBER(D4)), C4-D4, "")</f>
        <v>15252</v>
      </c>
      <c r="F4" s="44">
        <f>IFERROR(E4/D4, 0)</f>
        <v>0</v>
      </c>
      <c r="G4" s="15">
        <v>0</v>
      </c>
      <c r="H4" s="15">
        <f>IF(AND(ISNUMBER(C4),ISNUMBER(G4)), C4-G4, "")</f>
        <v>15252</v>
      </c>
      <c r="I4" s="46">
        <f>IFERROR(H4/G4, 0)</f>
        <v>0</v>
      </c>
      <c r="J4" s="17"/>
      <c r="K4" s="17"/>
    </row>
    <row r="5" spans="1:11" ht="30.75">
      <c r="A5" s="53" t="s">
        <v>11</v>
      </c>
      <c r="B5" s="32" t="str">
        <v>AZ</v>
      </c>
      <c r="C5" s="12">
        <v>12109</v>
      </c>
      <c r="D5" s="19">
        <v>0</v>
      </c>
      <c r="E5" s="19">
        <f t="shared" ref="E5:E6" si="0">IF(AND(ISNUMBER(C5),ISNUMBER(D5)), C5-D5, "")</f>
        <v>12109</v>
      </c>
      <c r="F5" s="45">
        <f t="shared" ref="F5:F12" si="1">IFERROR(E5/D5, 0)</f>
        <v>0</v>
      </c>
      <c r="G5" s="21">
        <v>0</v>
      </c>
      <c r="H5" s="21">
        <f t="shared" ref="H5:H6" si="2">IF(AND(ISNUMBER(C5),ISNUMBER(G5)), C5-G5, "")</f>
        <v>12109</v>
      </c>
      <c r="I5" s="20">
        <f t="shared" ref="I5:I12" si="3">IFERROR(H5/G5, 0)</f>
        <v>0</v>
      </c>
      <c r="J5" s="49" t="s">
        <v>31</v>
      </c>
      <c r="K5" s="49" t="s">
        <v>32</v>
      </c>
    </row>
    <row r="6" spans="1:11" ht="30.75">
      <c r="A6" s="52" t="s">
        <v>12</v>
      </c>
      <c r="B6" s="30" t="str">
        <v>AZ</v>
      </c>
      <c r="C6" s="25">
        <v>23382</v>
      </c>
      <c r="D6" s="13">
        <v>0</v>
      </c>
      <c r="E6" s="13">
        <f t="shared" si="0"/>
        <v>23382</v>
      </c>
      <c r="F6" s="44">
        <f t="shared" si="1"/>
        <v>0</v>
      </c>
      <c r="G6" s="15">
        <v>0</v>
      </c>
      <c r="H6" s="15">
        <f t="shared" si="2"/>
        <v>23382</v>
      </c>
      <c r="I6" s="46">
        <f t="shared" si="3"/>
        <v>0</v>
      </c>
      <c r="J6" s="17" t="s">
        <v>33</v>
      </c>
      <c r="K6" s="17" t="s">
        <v>34</v>
      </c>
    </row>
    <row r="7" spans="1:11" ht="15.75">
      <c r="A7" s="53" t="s">
        <v>13</v>
      </c>
      <c r="B7" s="32" t="str">
        <v>AZ</v>
      </c>
      <c r="C7" s="12">
        <v>100460</v>
      </c>
      <c r="D7" s="19">
        <v>0</v>
      </c>
      <c r="E7" s="19">
        <f t="shared" ref="E7:E12" si="4">IF(AND(ISNUMBER(C7),ISNUMBER(D7)), C7-D7, "")</f>
        <v>100460</v>
      </c>
      <c r="F7" s="45">
        <f t="shared" si="1"/>
        <v>0</v>
      </c>
      <c r="G7" s="21">
        <v>0</v>
      </c>
      <c r="H7" s="21">
        <f t="shared" ref="H7:H12" si="5">IF(AND(ISNUMBER(C7),ISNUMBER(G7)), C7-G7, "")</f>
        <v>100460</v>
      </c>
      <c r="I7" s="20">
        <f t="shared" si="3"/>
        <v>0</v>
      </c>
      <c r="J7" s="11"/>
      <c r="K7" s="18"/>
    </row>
    <row r="8" spans="1:11" ht="14.45">
      <c r="A8" s="42" t="s">
        <v>14</v>
      </c>
      <c r="B8" s="30" t="str">
        <v>AZ</v>
      </c>
      <c r="C8" s="25">
        <v>4897</v>
      </c>
      <c r="D8" s="13">
        <v>0</v>
      </c>
      <c r="E8" s="13">
        <f t="shared" si="4"/>
        <v>4897</v>
      </c>
      <c r="F8" s="44">
        <f t="shared" si="1"/>
        <v>0</v>
      </c>
      <c r="G8" s="15">
        <v>0</v>
      </c>
      <c r="H8" s="15">
        <f t="shared" si="5"/>
        <v>4897</v>
      </c>
      <c r="I8" s="46">
        <f t="shared" si="3"/>
        <v>0</v>
      </c>
      <c r="J8" s="17" t="s">
        <v>35</v>
      </c>
      <c r="K8" s="17" t="s">
        <v>36</v>
      </c>
    </row>
    <row r="9" spans="1:11" ht="14.45">
      <c r="A9" s="43" t="s">
        <v>15</v>
      </c>
      <c r="B9" s="32" t="str">
        <v>AZ</v>
      </c>
      <c r="C9" s="12">
        <v>21507</v>
      </c>
      <c r="D9" s="19">
        <v>0</v>
      </c>
      <c r="E9" s="19">
        <f t="shared" si="4"/>
        <v>21507</v>
      </c>
      <c r="F9" s="45">
        <f t="shared" si="1"/>
        <v>0</v>
      </c>
      <c r="G9" s="21">
        <v>0</v>
      </c>
      <c r="H9" s="21">
        <f t="shared" si="5"/>
        <v>21507</v>
      </c>
      <c r="I9" s="20">
        <f t="shared" si="3"/>
        <v>0</v>
      </c>
      <c r="J9" s="50" t="s">
        <v>37</v>
      </c>
      <c r="K9" s="50" t="s">
        <v>38</v>
      </c>
    </row>
    <row r="10" spans="1:11" ht="14.45">
      <c r="A10" s="42" t="s">
        <v>16</v>
      </c>
      <c r="B10" s="30" t="str">
        <v>AZ</v>
      </c>
      <c r="C10" s="25">
        <v>10517</v>
      </c>
      <c r="D10" s="13">
        <v>0</v>
      </c>
      <c r="E10" s="13">
        <f t="shared" si="4"/>
        <v>10517</v>
      </c>
      <c r="F10" s="44">
        <f t="shared" si="1"/>
        <v>0</v>
      </c>
      <c r="G10" s="15">
        <v>0</v>
      </c>
      <c r="H10" s="15">
        <f t="shared" si="5"/>
        <v>10517</v>
      </c>
      <c r="I10" s="46">
        <f t="shared" si="3"/>
        <v>0</v>
      </c>
      <c r="J10" s="17"/>
      <c r="K10" s="17"/>
    </row>
    <row r="11" spans="1:11" ht="14.45">
      <c r="A11" s="43" t="s">
        <v>17</v>
      </c>
      <c r="B11" s="32" t="str">
        <v>AZ</v>
      </c>
      <c r="C11" s="12">
        <v>28275</v>
      </c>
      <c r="D11" s="19">
        <v>0</v>
      </c>
      <c r="E11" s="19">
        <f t="shared" si="4"/>
        <v>28275</v>
      </c>
      <c r="F11" s="45">
        <f t="shared" si="1"/>
        <v>0</v>
      </c>
      <c r="G11" s="21">
        <v>0</v>
      </c>
      <c r="H11" s="21">
        <f t="shared" si="5"/>
        <v>28275</v>
      </c>
      <c r="I11" s="20">
        <f t="shared" si="3"/>
        <v>0</v>
      </c>
      <c r="J11" s="51" t="s">
        <v>39</v>
      </c>
      <c r="K11" s="51" t="s">
        <v>40</v>
      </c>
    </row>
    <row r="12" spans="1:11" ht="14.45">
      <c r="A12" s="42" t="s">
        <v>18</v>
      </c>
      <c r="B12" s="30" t="str">
        <v>AZ</v>
      </c>
      <c r="C12" s="25">
        <v>24526</v>
      </c>
      <c r="D12" s="13">
        <v>0</v>
      </c>
      <c r="E12" s="13">
        <f t="shared" si="4"/>
        <v>24526</v>
      </c>
      <c r="F12" s="44">
        <f t="shared" si="1"/>
        <v>0</v>
      </c>
      <c r="G12" s="15">
        <v>0</v>
      </c>
      <c r="H12" s="15">
        <f t="shared" si="5"/>
        <v>24526</v>
      </c>
      <c r="I12" s="46">
        <f t="shared" si="3"/>
        <v>0</v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</sheetData>
  <mergeCells count="4">
    <mergeCell ref="D1:F1"/>
    <mergeCell ref="A1:C1"/>
    <mergeCell ref="G1:I1"/>
    <mergeCell ref="A2:B2"/>
  </mergeCells>
  <conditionalFormatting sqref="F2 I2 F13:F94 I13:I94">
    <cfRule type="cellIs" dxfId="25" priority="2" stopIfTrue="1" operator="lessThanOrEqual">
      <formula>-0.1</formula>
    </cfRule>
    <cfRule type="expression" dxfId="24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8"/>
  <sheetViews>
    <sheetView workbookViewId="0">
      <pane ySplit="2" topLeftCell="A3" activePane="bottomLeft" state="frozen"/>
      <selection pane="bottomLeft" activeCell="J15" sqref="J15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41</v>
      </c>
      <c r="E1" s="57"/>
      <c r="F1" s="57"/>
      <c r="G1" s="55" t="s">
        <v>42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264671</v>
      </c>
      <c r="D2" s="6">
        <f>SUM(D4:D96)</f>
        <v>0</v>
      </c>
      <c r="E2" s="6">
        <f>C2-D2</f>
        <v>264671</v>
      </c>
      <c r="F2" s="7">
        <f>IFERROR(E2/D2, 0)</f>
        <v>0</v>
      </c>
      <c r="G2" s="6">
        <f>SUM(G4:G96)</f>
        <v>0</v>
      </c>
      <c r="H2" s="8">
        <f>C2-G2</f>
        <v>264671</v>
      </c>
      <c r="I2" s="7">
        <f>IFERROR(H2/G2, 0)</f>
        <v>0</v>
      </c>
      <c r="J2" s="27" t="str">
        <f ca="1">IF(AND(TODAY()&gt;DATE(2024, 2,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16822</v>
      </c>
      <c r="D4" s="13">
        <v>0</v>
      </c>
      <c r="E4" s="13">
        <f>IF(AND(ISNUMBER(C4),ISNUMBER(D4)), C4-D4, "")</f>
        <v>16822</v>
      </c>
      <c r="F4" s="14" t="str">
        <f>IFERROR(E4/D4, "")</f>
        <v/>
      </c>
      <c r="G4" s="15">
        <v>0</v>
      </c>
      <c r="H4" s="15">
        <f>IF(AND(ISNUMBER(C4),ISNUMBER(G4)), C4-G4, "")</f>
        <v>16822</v>
      </c>
      <c r="I4" s="16" t="str">
        <f>IFERROR(H4/G4, "")</f>
        <v/>
      </c>
      <c r="J4" s="17"/>
      <c r="K4" s="17"/>
    </row>
    <row r="5" spans="1:11" ht="30.75">
      <c r="A5" s="53" t="s">
        <v>11</v>
      </c>
      <c r="B5" s="32" t="str">
        <v>AZ</v>
      </c>
      <c r="C5" s="12">
        <v>13631</v>
      </c>
      <c r="D5" s="19">
        <v>0</v>
      </c>
      <c r="E5" s="19">
        <f t="shared" ref="E5:E12" si="0">IF(AND(ISNUMBER(C5),ISNUMBER(D5)), C5-D5, "")</f>
        <v>13631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13631</v>
      </c>
      <c r="I5" s="20" t="str">
        <f t="shared" ref="I5:I12" si="2">IFERROR(H5/G5, "")</f>
        <v/>
      </c>
      <c r="J5" s="54" t="s">
        <v>43</v>
      </c>
      <c r="K5" s="54" t="s">
        <v>32</v>
      </c>
    </row>
    <row r="6" spans="1:11" ht="14.45">
      <c r="A6" s="52" t="s">
        <v>12</v>
      </c>
      <c r="B6" s="30" t="str">
        <v>AZ</v>
      </c>
      <c r="C6" s="25">
        <v>25498</v>
      </c>
      <c r="D6" s="13">
        <v>0</v>
      </c>
      <c r="E6" s="13">
        <f t="shared" si="0"/>
        <v>25498</v>
      </c>
      <c r="F6" s="14" t="str">
        <f t="shared" ref="F6:F12" si="3">IFERROR(E6/D6, "")</f>
        <v/>
      </c>
      <c r="G6" s="15">
        <v>0</v>
      </c>
      <c r="H6" s="15">
        <f t="shared" si="1"/>
        <v>25498</v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>
        <v>108379</v>
      </c>
      <c r="D7" s="19">
        <v>0</v>
      </c>
      <c r="E7" s="19">
        <f t="shared" si="0"/>
        <v>108379</v>
      </c>
      <c r="F7" s="20" t="str">
        <f t="shared" si="3"/>
        <v/>
      </c>
      <c r="G7" s="21">
        <v>0</v>
      </c>
      <c r="H7" s="21">
        <f t="shared" si="1"/>
        <v>108379</v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>
        <v>16195</v>
      </c>
      <c r="D8" s="13">
        <v>0</v>
      </c>
      <c r="E8" s="13">
        <f t="shared" si="0"/>
        <v>16195</v>
      </c>
      <c r="F8" s="14" t="str">
        <f t="shared" si="3"/>
        <v/>
      </c>
      <c r="G8" s="15">
        <v>0</v>
      </c>
      <c r="H8" s="15">
        <f t="shared" si="1"/>
        <v>16195</v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>
        <v>13863</v>
      </c>
      <c r="D9" s="19">
        <v>0</v>
      </c>
      <c r="E9" s="19">
        <f t="shared" si="0"/>
        <v>13863</v>
      </c>
      <c r="F9" s="20" t="str">
        <f t="shared" si="3"/>
        <v/>
      </c>
      <c r="G9" s="21">
        <v>0</v>
      </c>
      <c r="H9" s="21">
        <f t="shared" si="1"/>
        <v>13863</v>
      </c>
      <c r="I9" s="20" t="str">
        <f t="shared" si="2"/>
        <v/>
      </c>
      <c r="J9" s="11"/>
      <c r="K9" s="18"/>
    </row>
    <row r="10" spans="1:11" ht="15">
      <c r="A10" s="42" t="s">
        <v>16</v>
      </c>
      <c r="B10" s="30" t="str">
        <v>AZ</v>
      </c>
      <c r="C10" s="25">
        <v>9239</v>
      </c>
      <c r="D10" s="13">
        <v>0</v>
      </c>
      <c r="E10" s="13">
        <f t="shared" si="0"/>
        <v>9239</v>
      </c>
      <c r="F10" s="14" t="str">
        <f t="shared" si="3"/>
        <v/>
      </c>
      <c r="G10" s="15">
        <v>0</v>
      </c>
      <c r="H10" s="15">
        <f t="shared" si="1"/>
        <v>9239</v>
      </c>
      <c r="I10" s="16" t="str">
        <f t="shared" si="2"/>
        <v/>
      </c>
      <c r="J10" s="17" t="s">
        <v>44</v>
      </c>
      <c r="K10" s="17" t="s">
        <v>45</v>
      </c>
    </row>
    <row r="11" spans="1:11" ht="15.75">
      <c r="A11" s="43" t="s">
        <v>17</v>
      </c>
      <c r="B11" s="32" t="str">
        <v>AZ</v>
      </c>
      <c r="C11" s="12">
        <v>34032</v>
      </c>
      <c r="D11" s="19">
        <v>0</v>
      </c>
      <c r="E11" s="19">
        <f t="shared" si="0"/>
        <v>34032</v>
      </c>
      <c r="F11" s="20" t="str">
        <f t="shared" si="3"/>
        <v/>
      </c>
      <c r="G11" s="21">
        <v>0</v>
      </c>
      <c r="H11" s="21">
        <f t="shared" si="1"/>
        <v>34032</v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>
        <v>27012</v>
      </c>
      <c r="D12" s="13">
        <v>0</v>
      </c>
      <c r="E12" s="13">
        <f t="shared" si="0"/>
        <v>27012</v>
      </c>
      <c r="F12" s="14" t="str">
        <f t="shared" si="3"/>
        <v/>
      </c>
      <c r="G12" s="15">
        <v>0</v>
      </c>
      <c r="H12" s="15">
        <f t="shared" si="1"/>
        <v>27012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3" priority="1" stopIfTrue="1" operator="lessThanOrEqual">
      <formula>-0.1</formula>
    </cfRule>
    <cfRule type="expression" dxfId="2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8"/>
  <sheetViews>
    <sheetView tabSelected="1" workbookViewId="0">
      <pane ySplit="2" topLeftCell="A3" activePane="bottomLeft" state="frozen"/>
      <selection pane="bottomLeft" activeCell="J25" sqref="J25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46</v>
      </c>
      <c r="E1" s="57"/>
      <c r="F1" s="57"/>
      <c r="G1" s="55" t="s">
        <v>47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351654</v>
      </c>
      <c r="D2" s="6">
        <f>SUM(D4:D96)</f>
        <v>0</v>
      </c>
      <c r="E2" s="6">
        <f>C2-D2</f>
        <v>351654</v>
      </c>
      <c r="F2" s="7">
        <f>IFERROR(E2/D2, 0)</f>
        <v>0</v>
      </c>
      <c r="G2" s="6">
        <f>SUM(G4:G96)</f>
        <v>0</v>
      </c>
      <c r="H2" s="8">
        <f>C2-G2</f>
        <v>351654</v>
      </c>
      <c r="I2" s="7">
        <f>IFERROR(H2/G2, 0)</f>
        <v>0</v>
      </c>
      <c r="J2" s="27" t="str">
        <f ca="1">IF(AND(TODAY()&gt;DATE(2024, 3,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>
        <v>22160</v>
      </c>
      <c r="D4" s="13">
        <v>0</v>
      </c>
      <c r="E4" s="13">
        <f>IF(AND(ISNUMBER(C4),ISNUMBER(D4)), C4-D4, "")</f>
        <v>22160</v>
      </c>
      <c r="F4" s="14" t="str">
        <f>IFERROR(E4/D4, "")</f>
        <v/>
      </c>
      <c r="G4" s="15">
        <v>0</v>
      </c>
      <c r="H4" s="15">
        <f>IF(AND(ISNUMBER(C4),ISNUMBER(G4)), C4-G4, "")</f>
        <v>22160</v>
      </c>
      <c r="I4" s="16" t="str">
        <f>IFERROR(H4/G4, "")</f>
        <v/>
      </c>
      <c r="J4" s="17"/>
      <c r="K4" s="17"/>
    </row>
    <row r="5" spans="1:11" ht="15">
      <c r="A5" s="53" t="s">
        <v>11</v>
      </c>
      <c r="B5" s="32" t="str">
        <v>AZ</v>
      </c>
      <c r="C5" s="12">
        <v>23973</v>
      </c>
      <c r="D5" s="19">
        <v>0</v>
      </c>
      <c r="E5" s="19">
        <f t="shared" ref="E5:E12" si="0">IF(AND(ISNUMBER(C5),ISNUMBER(D5)), C5-D5, "")</f>
        <v>23973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23973</v>
      </c>
      <c r="I5" s="20" t="str">
        <f t="shared" ref="I5:I12" si="2">IFERROR(H5/G5, "")</f>
        <v/>
      </c>
      <c r="J5" s="50" t="s">
        <v>48</v>
      </c>
      <c r="K5" s="50" t="s">
        <v>49</v>
      </c>
    </row>
    <row r="6" spans="1:11" ht="45.75">
      <c r="A6" s="52" t="s">
        <v>12</v>
      </c>
      <c r="B6" s="30" t="str">
        <v>AZ</v>
      </c>
      <c r="C6" s="25">
        <v>43234</v>
      </c>
      <c r="D6" s="13">
        <v>0</v>
      </c>
      <c r="E6" s="13">
        <f t="shared" si="0"/>
        <v>43234</v>
      </c>
      <c r="F6" s="14" t="str">
        <f t="shared" ref="F6:F12" si="3">IFERROR(E6/D6, "")</f>
        <v/>
      </c>
      <c r="G6" s="15">
        <v>0</v>
      </c>
      <c r="H6" s="15">
        <f t="shared" si="1"/>
        <v>43234</v>
      </c>
      <c r="I6" s="16" t="str">
        <f t="shared" si="2"/>
        <v/>
      </c>
      <c r="J6" s="17" t="s">
        <v>50</v>
      </c>
      <c r="K6" s="17" t="s">
        <v>51</v>
      </c>
    </row>
    <row r="7" spans="1:11" ht="30.75">
      <c r="A7" s="53" t="s">
        <v>13</v>
      </c>
      <c r="B7" s="32" t="str">
        <v>AZ</v>
      </c>
      <c r="C7" s="12">
        <v>131398</v>
      </c>
      <c r="D7" s="19">
        <v>0</v>
      </c>
      <c r="E7" s="19">
        <f t="shared" si="0"/>
        <v>131398</v>
      </c>
      <c r="F7" s="20" t="str">
        <f t="shared" si="3"/>
        <v/>
      </c>
      <c r="G7" s="21">
        <v>0</v>
      </c>
      <c r="H7" s="21">
        <f t="shared" si="1"/>
        <v>131398</v>
      </c>
      <c r="I7" s="20" t="str">
        <f t="shared" si="2"/>
        <v/>
      </c>
      <c r="J7" s="54" t="s">
        <v>52</v>
      </c>
      <c r="K7" s="50" t="s">
        <v>53</v>
      </c>
    </row>
    <row r="8" spans="1:11" ht="15">
      <c r="A8" s="42" t="s">
        <v>14</v>
      </c>
      <c r="B8" s="30" t="str">
        <v>AZ</v>
      </c>
      <c r="C8" s="25">
        <v>21475</v>
      </c>
      <c r="D8" s="13">
        <v>0</v>
      </c>
      <c r="E8" s="13">
        <f t="shared" si="0"/>
        <v>21475</v>
      </c>
      <c r="F8" s="14" t="str">
        <f t="shared" si="3"/>
        <v/>
      </c>
      <c r="G8" s="15">
        <v>0</v>
      </c>
      <c r="H8" s="15">
        <f t="shared" si="1"/>
        <v>21475</v>
      </c>
      <c r="I8" s="16" t="str">
        <f t="shared" si="2"/>
        <v/>
      </c>
      <c r="J8" s="17"/>
      <c r="K8" s="17"/>
    </row>
    <row r="9" spans="1:11" ht="15">
      <c r="A9" s="43" t="s">
        <v>15</v>
      </c>
      <c r="B9" s="32" t="str">
        <v>AZ</v>
      </c>
      <c r="C9" s="12">
        <v>15457</v>
      </c>
      <c r="D9" s="19">
        <v>0</v>
      </c>
      <c r="E9" s="19">
        <f t="shared" si="0"/>
        <v>15457</v>
      </c>
      <c r="F9" s="20" t="str">
        <f t="shared" si="3"/>
        <v/>
      </c>
      <c r="G9" s="21">
        <v>0</v>
      </c>
      <c r="H9" s="21">
        <f t="shared" si="1"/>
        <v>15457</v>
      </c>
      <c r="I9" s="20" t="str">
        <f t="shared" si="2"/>
        <v/>
      </c>
      <c r="J9" s="11"/>
      <c r="K9" s="11"/>
    </row>
    <row r="10" spans="1:11" ht="15">
      <c r="A10" s="42" t="s">
        <v>16</v>
      </c>
      <c r="B10" s="30" t="str">
        <v>AZ</v>
      </c>
      <c r="C10" s="25">
        <v>17242</v>
      </c>
      <c r="D10" s="13">
        <v>0</v>
      </c>
      <c r="E10" s="13">
        <f t="shared" si="0"/>
        <v>17242</v>
      </c>
      <c r="F10" s="14" t="str">
        <f t="shared" si="3"/>
        <v/>
      </c>
      <c r="G10" s="15">
        <v>0</v>
      </c>
      <c r="H10" s="15">
        <f t="shared" si="1"/>
        <v>17242</v>
      </c>
      <c r="I10" s="16" t="str">
        <f t="shared" si="2"/>
        <v/>
      </c>
      <c r="J10" s="17"/>
      <c r="K10" s="17"/>
    </row>
    <row r="11" spans="1:11" ht="15">
      <c r="A11" s="43" t="s">
        <v>17</v>
      </c>
      <c r="B11" s="32" t="str">
        <v>AZ</v>
      </c>
      <c r="C11" s="12">
        <v>42307</v>
      </c>
      <c r="D11" s="19">
        <v>0</v>
      </c>
      <c r="E11" s="19">
        <f t="shared" si="0"/>
        <v>42307</v>
      </c>
      <c r="F11" s="20" t="str">
        <f t="shared" si="3"/>
        <v/>
      </c>
      <c r="G11" s="21">
        <v>0</v>
      </c>
      <c r="H11" s="21">
        <f t="shared" si="1"/>
        <v>42307</v>
      </c>
      <c r="I11" s="20" t="str">
        <f t="shared" si="2"/>
        <v/>
      </c>
      <c r="J11" s="50" t="s">
        <v>54</v>
      </c>
      <c r="K11" s="50" t="s">
        <v>55</v>
      </c>
    </row>
    <row r="12" spans="1:11" ht="15">
      <c r="A12" s="42" t="s">
        <v>18</v>
      </c>
      <c r="B12" s="30" t="str">
        <v>AZ</v>
      </c>
      <c r="C12" s="25">
        <v>34408</v>
      </c>
      <c r="D12" s="13">
        <v>0</v>
      </c>
      <c r="E12" s="13">
        <f t="shared" si="0"/>
        <v>34408</v>
      </c>
      <c r="F12" s="14" t="str">
        <f t="shared" si="3"/>
        <v/>
      </c>
      <c r="G12" s="15">
        <v>0</v>
      </c>
      <c r="H12" s="15">
        <f t="shared" si="1"/>
        <v>34408</v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8"/>
  <sheetViews>
    <sheetView workbookViewId="0">
      <pane ySplit="2" topLeftCell="C17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56</v>
      </c>
      <c r="E1" s="57"/>
      <c r="F1" s="57"/>
      <c r="G1" s="55" t="s">
        <v>57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4,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8"/>
  <sheetViews>
    <sheetView workbookViewId="0">
      <pane ySplit="2" topLeftCell="C17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58</v>
      </c>
      <c r="E1" s="57"/>
      <c r="F1" s="57"/>
      <c r="G1" s="55" t="s">
        <v>59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60</v>
      </c>
      <c r="E1" s="57"/>
      <c r="F1" s="57"/>
      <c r="G1" s="55" t="s">
        <v>61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62</v>
      </c>
      <c r="E1" s="57"/>
      <c r="F1" s="57"/>
      <c r="G1" s="55" t="s">
        <v>63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6 I4:I96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64</v>
      </c>
      <c r="E1" s="57"/>
      <c r="F1" s="57"/>
      <c r="G1" s="55" t="s">
        <v>65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66</v>
      </c>
      <c r="E1" s="57"/>
      <c r="F1" s="57"/>
      <c r="G1" s="55" t="s">
        <v>67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68</v>
      </c>
      <c r="E1" s="57"/>
      <c r="F1" s="57"/>
      <c r="G1" s="55" t="s">
        <v>69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8"/>
  <sheetViews>
    <sheetView workbookViewId="0">
      <pane ySplit="2" topLeftCell="A3" activePane="bottomLeft" state="frozen"/>
      <selection pane="bottomLeft" activeCell="D18" sqref="D18"/>
      <selection activeCell="D18" sqref="D18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70</v>
      </c>
      <c r="E1" s="57"/>
      <c r="F1" s="57"/>
      <c r="G1" s="55" t="s">
        <v>71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SUM(C4:C96)</f>
        <v>0</v>
      </c>
      <c r="D2" s="6">
        <f>SUM(D4:D96)</f>
        <v>0</v>
      </c>
      <c r="E2" s="6">
        <f>C2-D2</f>
        <v>0</v>
      </c>
      <c r="F2" s="7">
        <f>IFERROR(E2/D2, 0)</f>
        <v>0</v>
      </c>
      <c r="G2" s="6">
        <f>SUM(G4:G96)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12" si="1">IF(AND(ISNUMBER(C5),ISNUMBER(G5)), C5-G5, "")</f>
        <v/>
      </c>
      <c r="I5" s="20" t="str">
        <f t="shared" ref="I5:I12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2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4.45">
      <c r="A13" s="22"/>
      <c r="B13" s="33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1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4" sqref="A4:A12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Marana USD</v>
      </c>
      <c r="B1" s="56"/>
      <c r="C1" s="56"/>
      <c r="D1" s="57" t="s">
        <v>72</v>
      </c>
      <c r="E1" s="57"/>
      <c r="F1" s="57"/>
      <c r="G1" s="55" t="s">
        <v>73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COUNTA(#REF!)&lt;&gt;(COUNT(C:C)-1)),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29</v>
      </c>
      <c r="K3" s="26" t="s">
        <v>30</v>
      </c>
    </row>
    <row r="4" spans="1:11" ht="14.45">
      <c r="A4" s="52" t="s">
        <v>10</v>
      </c>
      <c r="B4" s="30" t="str" cm="1">
        <f t="array" ref="B4:B12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53" t="s">
        <v>11</v>
      </c>
      <c r="B5" s="32" t="str">
        <v>AZ</v>
      </c>
      <c r="C5" s="12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1"/>
      <c r="K5" s="18"/>
    </row>
    <row r="6" spans="1:11" ht="14.45">
      <c r="A6" s="52" t="s">
        <v>12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53" t="s">
        <v>13</v>
      </c>
      <c r="B7" s="32" t="str">
        <v>AZ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1"/>
      <c r="K7" s="18"/>
    </row>
    <row r="8" spans="1:11" ht="14.45">
      <c r="A8" s="42" t="s">
        <v>14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43" t="s">
        <v>15</v>
      </c>
      <c r="B9" s="32" t="str">
        <v>AZ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1"/>
      <c r="K9" s="18"/>
    </row>
    <row r="10" spans="1:11" ht="14.45">
      <c r="A10" s="42" t="s">
        <v>16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43" t="s">
        <v>17</v>
      </c>
      <c r="B11" s="32" t="str">
        <v>AZ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1"/>
      <c r="K11" s="18"/>
    </row>
    <row r="12" spans="1:11" ht="14.45">
      <c r="A12" s="42" t="s">
        <v>18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/>
      <c r="B13" s="32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1"/>
      <c r="K13" s="18"/>
    </row>
    <row r="14" spans="1:11" ht="15.75">
      <c r="A14" s="29"/>
      <c r="B14" s="30"/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75">
      <c r="A15" s="31"/>
      <c r="B15" s="32"/>
      <c r="C15" s="12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1"/>
      <c r="K15" s="18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12"/>
  <sheetViews>
    <sheetView workbookViewId="0">
      <pane ySplit="3" topLeftCell="A4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6" ht="12.75" customHeight="1">
      <c r="A1" t="s">
        <v>74</v>
      </c>
      <c r="B1" s="35" t="s">
        <v>75</v>
      </c>
    </row>
    <row r="3" spans="1:6">
      <c r="A3" t="s">
        <v>76</v>
      </c>
      <c r="B3" t="s">
        <v>4</v>
      </c>
      <c r="C3" t="s">
        <v>77</v>
      </c>
      <c r="D3" s="2" t="s">
        <v>78</v>
      </c>
    </row>
    <row r="4" spans="1:6" ht="14.45">
      <c r="A4" t="s">
        <v>10</v>
      </c>
      <c r="B4" s="4" t="s">
        <v>79</v>
      </c>
      <c r="F4" s="3"/>
    </row>
    <row r="5" spans="1:6" ht="14.45">
      <c r="A5" t="s">
        <v>11</v>
      </c>
      <c r="B5" s="4" t="s">
        <v>79</v>
      </c>
      <c r="F5" s="3"/>
    </row>
    <row r="6" spans="1:6" ht="14.45">
      <c r="A6" t="s">
        <v>12</v>
      </c>
      <c r="B6" s="4" t="s">
        <v>79</v>
      </c>
      <c r="F6" s="3"/>
    </row>
    <row r="7" spans="1:6" ht="12.75" customHeight="1">
      <c r="A7" t="s">
        <v>13</v>
      </c>
      <c r="B7" s="4" t="s">
        <v>79</v>
      </c>
    </row>
    <row r="8" spans="1:6" ht="12.75" customHeight="1">
      <c r="A8" s="4" t="s">
        <v>14</v>
      </c>
      <c r="B8" s="4" t="s">
        <v>79</v>
      </c>
    </row>
    <row r="9" spans="1:6" ht="12.75" customHeight="1">
      <c r="A9" s="4" t="s">
        <v>15</v>
      </c>
      <c r="B9" s="4" t="s">
        <v>79</v>
      </c>
    </row>
    <row r="10" spans="1:6" ht="12.75" customHeight="1">
      <c r="A10" s="4" t="s">
        <v>16</v>
      </c>
      <c r="B10" s="4" t="s">
        <v>79</v>
      </c>
    </row>
    <row r="11" spans="1:6" ht="12.75" customHeight="1">
      <c r="A11" s="4" t="s">
        <v>17</v>
      </c>
      <c r="B11" s="4" t="s">
        <v>79</v>
      </c>
    </row>
    <row r="12" spans="1:6" ht="12.75" customHeight="1">
      <c r="A12" s="4" t="s">
        <v>18</v>
      </c>
      <c r="B12" s="4" t="s">
        <v>79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2024-07-08T09:16:45Z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