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OneDrive - Libsys IT Services Private Limited\Documents\Monthly report files\Mar-24\East\"/>
    </mc:Choice>
  </mc:AlternateContent>
  <xr:revisionPtr revIDLastSave="0" documentId="13_ncr:1_{1E1393E3-D9F3-40DC-957E-A04887C53863}" xr6:coauthVersionLast="47" xr6:coauthVersionMax="47" xr10:uidLastSave="{00000000-0000-0000-0000-000000000000}"/>
  <bookViews>
    <workbookView xWindow="-93" yWindow="-93" windowWidth="19386" windowHeight="11466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G4" i="34" s="1"/>
  <c r="G2" i="34" s="1"/>
  <c r="B4" i="34" a="1"/>
  <c r="B4" i="34" s="1"/>
  <c r="A4" i="34" a="1"/>
  <c r="A4" i="34" s="1"/>
  <c r="A1" i="34" a="1"/>
  <c r="A1" i="34" s="1"/>
  <c r="D4" i="30"/>
  <c r="D2" i="30" s="1"/>
  <c r="C4" i="30"/>
  <c r="D4" i="29"/>
  <c r="C4" i="29"/>
  <c r="D4" i="18"/>
  <c r="D2" i="18" s="1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J2" i="4" l="1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<sst xmlns="http://schemas.openxmlformats.org/spreadsheetml/2006/main" count="242" uniqueCount="56">
  <si>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</si>
  <si>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</si>
  <si>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</si>
  <si>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</si>
  <si>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</si>
  <si>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</si>
  <si>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</si>
  <si>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</si>
  <si>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</si>
  <si>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</si>
  <si>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</si>
  <si>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</si>
  <si>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</si>
  <si>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</si>
  <si>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</si>
  <si>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</si>
  <si>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</si>
  <si>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</si>
  <si>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</si>
  <si>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</si>
  <si>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</si>
  <si>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</si>
  <si>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Inverters 9 and 10 are offline on 01/21 at 9:15 AM and self resolved next day.</t>
  </si>
  <si>
    <t>1. SR080379</t>
  </si>
  <si>
    <t>February Actual v. Expected</t>
  </si>
  <si>
    <t>February Actual v. Forecasted</t>
  </si>
  <si>
    <t>March Actual v. Expected</t>
  </si>
  <si>
    <t>March Actual v. Forecasted</t>
  </si>
  <si>
    <t xml:space="preserve">1. Inverters 7 -10 tripped offline on 0/07 at 11:30 &amp; back online at 03/04. </t>
  </si>
  <si>
    <t>1.SR081642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</si>
  <si>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</si>
  <si>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</si>
  <si>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</si>
  <si>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</si>
  <si>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</si>
  <si>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</si>
  <si>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</si>
  <si>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</si>
  <si>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</si>
  <si>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</si>
  <si>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</si>
  <si>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</si>
  <si>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</si>
  <si>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</si>
  <si>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</si>
  <si>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</si>
  <si>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</si>
  <si>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</si>
  <si>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</si>
  <si>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City of Phoenix</t>
  </si>
  <si>
    <t>Site DAS Name</t>
  </si>
  <si>
    <t>Update</t>
  </si>
  <si>
    <t>DAS</t>
  </si>
  <si>
    <t>SKY HARBOR AIRPORT PV PROJECT 1 COB ADMIN BUILDING</t>
  </si>
  <si>
    <t>AZ: Sky Harbor COB Admin Building</t>
  </si>
  <si>
    <t>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</si>
</sst>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A20" sqref="A20"/>
      <selection activeCell="A6" sqref="A6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City of Phoenix</v>
      </c>
      <c r="B1" s="43"/>
      <c r="C1" s="43"/>
      <c r="D1" s="44" t="s">
        <v>0</v>
      </c>
      <c r="E1" s="44"/>
      <c r="F1" s="44"/>
      <c r="G1" s="42" t="s">
        <v>1</v>
      </c>
      <c r="H1" s="42"/>
      <c r="I1" s="42"/>
    </row>
    <row r="2" spans="1:9" ht="19.5" customHeight="1">
      <c r="A2" s="45" t="s">
        <v>2</v>
      </c>
      <c r="B2" s="45"/>
      <c r="C2" s="6">
        <f>SUM(C4:C60)</f>
        <v>168125.75</v>
      </c>
      <c r="D2" s="6">
        <f>SUM(D4:D60)</f>
        <v>188107.85</v>
      </c>
      <c r="E2" s="6">
        <f>C2-D2</f>
        <v>-19982.100000000006</v>
      </c>
      <c r="F2" s="7">
        <f>IFERROR(E2/D2, 0)</f>
        <v>-0.10622682679112012</v>
      </c>
      <c r="G2" s="6">
        <f>SUM(G4:G60)</f>
        <v>191038.45</v>
      </c>
      <c r="H2" s="8">
        <f>C2-G2</f>
        <v>-22912.700000000012</v>
      </c>
      <c r="I2" s="7">
        <f>IFERROR(H2/G2, 0)</f>
        <v>-0.11993763559115984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AZ: Sky Harbor COB Admin Building</v>
      </c>
      <c r="B4" s="10" t="str" cm="1">
        <f t="array" ref="B4">Sites[State]</f>
        <v>AZ</v>
      </c>
      <c r="C4" s="26">
        <f>SUM('1st Qtr'!C4, '2nd Qtr'!C4, '3rd Qtr'!C4, '4th Qtr'!C4)</f>
        <v>168125.75</v>
      </c>
      <c r="D4" s="14">
        <f>SUM('1st Qtr'!D4, '2nd Qtr'!D4, '3rd Qtr'!D4, '4th Qtr'!D4)</f>
        <v>188107.85</v>
      </c>
      <c r="E4" s="14">
        <f>IF(AND(ISNUMBER(C4),ISNUMBER(D4)), C4-D4, "")</f>
        <v>-19982.100000000006</v>
      </c>
      <c r="F4" s="15">
        <f>IFERROR(E4/D4, "")</f>
        <v>-0.10622682679112012</v>
      </c>
      <c r="G4" s="16">
        <f>SUM('1st Qtr'!G4,'2nd Qtr'!G4,'3rd Qtr'!G4,'4th Qtr'!G4)</f>
        <v>191038.45</v>
      </c>
      <c r="H4" s="16">
        <f>SUM('1st Qtr'!H4, '2nd Qtr'!H4, '3rd Qtr'!H4, '4th Qtr'!H4)</f>
        <v>-22912.699999999997</v>
      </c>
      <c r="I4" s="17">
        <f>IFERROR(H4/G4, "")</f>
        <v>-0.11993763559115976</v>
      </c>
    </row>
    <row r="5" spans="1:9" ht="12.95">
      <c r="A5" s="23"/>
      <c r="B5" s="23"/>
      <c r="C5" s="23"/>
      <c r="D5" s="23"/>
      <c r="E5" s="23"/>
      <c r="F5" s="24"/>
      <c r="G5" s="23"/>
      <c r="H5" s="23"/>
      <c r="I5" s="24"/>
    </row>
    <row r="6" spans="1:9" ht="12.95">
      <c r="A6" s="23"/>
      <c r="B6" s="23"/>
      <c r="C6" s="23"/>
      <c r="D6" s="23"/>
      <c r="E6" s="23"/>
      <c r="F6" s="24"/>
      <c r="G6" s="23"/>
      <c r="H6" s="23"/>
      <c r="I6" s="24"/>
    </row>
    <row r="7" spans="1:9" ht="12.95">
      <c r="A7" s="23"/>
      <c r="B7" s="23"/>
      <c r="C7" s="23"/>
      <c r="D7" s="23"/>
      <c r="E7" s="23"/>
      <c r="F7" s="24"/>
      <c r="G7" s="23"/>
      <c r="H7" s="23"/>
      <c r="I7" s="24"/>
    </row>
    <row r="8" spans="1:9" ht="12.95">
      <c r="A8" s="23"/>
      <c r="B8" s="23"/>
      <c r="C8" s="23"/>
      <c r="D8" s="23"/>
      <c r="E8" s="23"/>
      <c r="F8" s="24"/>
      <c r="G8" s="23"/>
      <c r="H8" s="23"/>
      <c r="I8" s="24"/>
    </row>
    <row r="9" spans="1:9" ht="12.95">
      <c r="A9" s="23"/>
      <c r="B9" s="23"/>
      <c r="C9" s="23"/>
      <c r="D9" s="23"/>
      <c r="E9" s="23"/>
      <c r="F9" s="24"/>
      <c r="G9" s="23"/>
      <c r="H9" s="23"/>
      <c r="I9" s="24"/>
    </row>
    <row r="10" spans="1:9" ht="12.95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2.95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2.95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2.95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2.95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2.95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2.95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2.95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2.9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2.9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2.9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2.9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2.9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2.9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2.9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2.9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C34" sqref="C34"/>
      <selection activeCell="A16" sqref="A16:XFD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City of Phoenix</v>
      </c>
      <c r="B1" s="43"/>
      <c r="C1" s="43"/>
      <c r="D1" s="44" t="s">
        <v>10</v>
      </c>
      <c r="E1" s="44"/>
      <c r="F1" s="44"/>
      <c r="G1" s="42" t="s">
        <v>11</v>
      </c>
      <c r="H1" s="42"/>
      <c r="I1" s="42"/>
    </row>
    <row r="2" spans="1:9" ht="19.5" customHeight="1">
      <c r="A2" s="45" t="s">
        <v>2</v>
      </c>
      <c r="B2" s="45"/>
      <c r="C2" s="6">
        <f>SUM(C4:C68)</f>
        <v>168125.75</v>
      </c>
      <c r="D2" s="6">
        <f>SUM(D4:D68)</f>
        <v>188107.85</v>
      </c>
      <c r="E2" s="6">
        <f>C2-D2</f>
        <v>-19982.100000000006</v>
      </c>
      <c r="F2" s="7">
        <f>IFERROR(E2/D2, 0)</f>
        <v>-0.10622682679112012</v>
      </c>
      <c r="G2" s="6">
        <f>SUM(G4:G68)</f>
        <v>191038.45</v>
      </c>
      <c r="H2" s="8">
        <f>C2-G2</f>
        <v>-22912.700000000012</v>
      </c>
      <c r="I2" s="7">
        <f>IFERROR(H2/G2, 0)</f>
        <v>-0.11993763559115984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AZ: Sky Harbor COB Admin Building</v>
      </c>
      <c r="B4" s="10" t="str" cm="1">
        <f t="array" ref="B4">Sites[State]</f>
        <v>AZ</v>
      </c>
      <c r="C4" s="26">
        <f>SUM(Jan!C4, Feb!C4, Mar!C4)</f>
        <v>168125.75</v>
      </c>
      <c r="D4" s="14">
        <f>SUM(Jan!D4, Feb!D4, Mar!D4)</f>
        <v>188107.85</v>
      </c>
      <c r="E4" s="14">
        <f>IF(AND(ISNUMBER(C4),ISNUMBER(D4)), C4-D4, "")</f>
        <v>-19982.100000000006</v>
      </c>
      <c r="F4" s="15">
        <f>IFERROR(E4/D4, "")</f>
        <v>-0.10622682679112012</v>
      </c>
      <c r="G4" s="16">
        <f>SUM(Jan!G4, Feb!G4, Mar!G4)</f>
        <v>191038.45</v>
      </c>
      <c r="H4" s="16">
        <f>SUM(Jan!H4, Feb!H4, Mar!H4)</f>
        <v>-22912.699999999997</v>
      </c>
      <c r="I4" s="17">
        <f>IFERROR(H4/G4, "")</f>
        <v>-0.11993763559115976</v>
      </c>
    </row>
    <row r="5" spans="1:9" ht="12.95">
      <c r="A5" s="23"/>
      <c r="B5" s="23"/>
      <c r="C5" s="23"/>
      <c r="D5" s="23"/>
      <c r="E5" s="23"/>
      <c r="F5" s="24"/>
      <c r="G5" s="23"/>
      <c r="H5" s="23"/>
      <c r="I5" s="24"/>
    </row>
    <row r="6" spans="1:9" ht="12.95">
      <c r="A6" s="23"/>
      <c r="B6" s="23"/>
      <c r="C6" s="23"/>
      <c r="D6" s="23"/>
      <c r="E6" s="23"/>
      <c r="F6" s="24"/>
      <c r="G6" s="23"/>
      <c r="H6" s="23"/>
      <c r="I6" s="24"/>
    </row>
    <row r="7" spans="1:9" ht="12.95">
      <c r="A7" s="23"/>
      <c r="B7" s="23"/>
      <c r="C7" s="23"/>
      <c r="D7" s="23"/>
      <c r="E7" s="23"/>
      <c r="F7" s="24"/>
      <c r="G7" s="23"/>
      <c r="H7" s="23"/>
      <c r="I7" s="24"/>
    </row>
    <row r="8" spans="1:9" ht="12.95">
      <c r="A8" s="23"/>
      <c r="B8" s="23"/>
      <c r="C8" s="23"/>
      <c r="D8" s="23"/>
      <c r="E8" s="23"/>
      <c r="F8" s="24"/>
      <c r="G8" s="23"/>
      <c r="H8" s="23"/>
      <c r="I8" s="24"/>
    </row>
    <row r="9" spans="1:9" ht="12.95">
      <c r="A9" s="23"/>
      <c r="B9" s="23"/>
      <c r="C9" s="23"/>
      <c r="D9" s="23"/>
      <c r="E9" s="23"/>
      <c r="F9" s="24"/>
      <c r="G9" s="23"/>
      <c r="H9" s="23"/>
      <c r="I9" s="24"/>
    </row>
    <row r="10" spans="1:9" ht="12.95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2.95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2.95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2.95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2.95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2.95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2.95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2.95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2.9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2.9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2.9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2.9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2.9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2.9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2.9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2.9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F28" sqref="F28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City of Phoenix</v>
      </c>
      <c r="B1" s="43"/>
      <c r="C1" s="43"/>
      <c r="D1" s="44" t="s">
        <v>12</v>
      </c>
      <c r="E1" s="44"/>
      <c r="F1" s="44"/>
      <c r="G1" s="42" t="s">
        <v>13</v>
      </c>
      <c r="H1" s="42"/>
      <c r="I1" s="42"/>
    </row>
    <row r="2" spans="1:9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AZ: Sky Harbor COB Admin Building</v>
      </c>
      <c r="B4" s="10" t="str" cm="1">
        <f t="array" ref="B4">Sites[State]</f>
        <v>AZ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SUM(Apr!H4, May!H4, Jun!H4)</f>
        <v>0</v>
      </c>
      <c r="I4" s="17" t="str">
        <f>IFERROR(H4/G4, "")</f>
        <v/>
      </c>
    </row>
    <row r="5" spans="1:9" ht="15.75">
      <c r="A5" s="19"/>
      <c r="B5" s="11"/>
      <c r="C5" s="12"/>
      <c r="D5" s="20"/>
      <c r="E5" s="20"/>
      <c r="F5" s="21"/>
      <c r="G5" s="22"/>
      <c r="H5" s="22"/>
      <c r="I5" s="21"/>
    </row>
    <row r="6" spans="1:9" ht="12.95">
      <c r="A6" s="23"/>
      <c r="B6" s="23"/>
      <c r="C6" s="23"/>
      <c r="D6" s="23"/>
      <c r="E6" s="23"/>
      <c r="F6" s="23"/>
      <c r="G6" s="23"/>
      <c r="H6" s="23"/>
      <c r="I6" s="23"/>
    </row>
    <row r="7" spans="1:9" ht="12.9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2.95">
      <c r="A9" s="23"/>
      <c r="B9" s="23"/>
      <c r="C9" s="23"/>
      <c r="D9" s="23"/>
      <c r="E9" s="23"/>
      <c r="F9" s="23"/>
      <c r="G9" s="23"/>
      <c r="H9" s="23"/>
      <c r="I9" s="23"/>
    </row>
    <row r="10" spans="1:9" ht="12.9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9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2.9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9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9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2.9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2.9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2.9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2.9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2.95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E17" sqref="E17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City of Phoenix</v>
      </c>
      <c r="B1" s="43"/>
      <c r="C1" s="43"/>
      <c r="D1" s="44" t="s">
        <v>14</v>
      </c>
      <c r="E1" s="44"/>
      <c r="F1" s="44"/>
      <c r="G1" s="42" t="s">
        <v>15</v>
      </c>
      <c r="H1" s="42"/>
      <c r="I1" s="42"/>
    </row>
    <row r="2" spans="1:9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AZ: Sky Harbor COB Admin Building</v>
      </c>
      <c r="B4" s="10" t="str" cm="1">
        <f t="array" ref="B4">Sites[State]</f>
        <v>AZ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2.95">
      <c r="A5" s="23"/>
      <c r="B5" s="23"/>
      <c r="C5" s="23"/>
      <c r="D5" s="23"/>
      <c r="E5" s="23"/>
      <c r="F5" s="23"/>
      <c r="G5" s="23"/>
      <c r="H5" s="23"/>
      <c r="I5" s="23"/>
    </row>
    <row r="6" spans="1:9" ht="12.9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2.95">
      <c r="A8" s="23"/>
      <c r="B8" s="23"/>
      <c r="C8" s="23"/>
      <c r="D8" s="23"/>
      <c r="E8" s="23"/>
      <c r="F8" s="23"/>
      <c r="G8" s="23"/>
      <c r="H8" s="23"/>
      <c r="I8" s="23"/>
    </row>
    <row r="9" spans="1:9" ht="12.95">
      <c r="A9" s="23"/>
      <c r="B9" s="23"/>
      <c r="C9" s="23"/>
      <c r="D9" s="23"/>
      <c r="E9" s="23"/>
      <c r="F9" s="23"/>
      <c r="G9" s="23"/>
      <c r="H9" s="23"/>
      <c r="I9" s="23"/>
    </row>
    <row r="10" spans="1:9" ht="12.9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9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2.9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9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9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2.9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2.9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2.9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2.9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E29" sqref="E29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City of Phoenix</v>
      </c>
      <c r="B1" s="43"/>
      <c r="C1" s="43"/>
      <c r="D1" s="44" t="s">
        <v>16</v>
      </c>
      <c r="E1" s="44"/>
      <c r="F1" s="44"/>
      <c r="G1" s="42" t="s">
        <v>17</v>
      </c>
      <c r="H1" s="42"/>
      <c r="I1" s="42"/>
    </row>
    <row r="2" spans="1:9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AZ: Sky Harbor COB Admin Building</v>
      </c>
      <c r="B4" s="10" t="str" cm="1">
        <f t="array" ref="B4">Sites[State]</f>
        <v>AZ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2.95">
      <c r="A5" s="23"/>
      <c r="B5" s="23"/>
      <c r="C5" s="23"/>
      <c r="D5" s="23"/>
      <c r="E5" s="23"/>
      <c r="F5" s="23"/>
      <c r="G5" s="23"/>
      <c r="H5" s="23"/>
      <c r="I5" s="23"/>
    </row>
    <row r="6" spans="1:9" ht="12.9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2.95">
      <c r="A8" s="23"/>
      <c r="B8" s="23"/>
      <c r="C8" s="23"/>
      <c r="D8" s="23"/>
      <c r="E8" s="23"/>
      <c r="F8" s="23"/>
      <c r="G8" s="23"/>
      <c r="H8" s="23"/>
      <c r="I8" s="23"/>
    </row>
    <row r="9" spans="1:9" ht="12.95">
      <c r="A9" s="23"/>
      <c r="B9" s="23"/>
      <c r="C9" s="23"/>
      <c r="D9" s="23"/>
      <c r="E9" s="23"/>
      <c r="F9" s="23"/>
      <c r="G9" s="23"/>
      <c r="H9" s="23"/>
      <c r="I9" s="23"/>
    </row>
    <row r="10" spans="1:9" ht="12.9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9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2.9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9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9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2.9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2.9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2.9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2.9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J20" sqref="J20"/>
      <selection activeCell="J20" sqref="J20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Phoenix</v>
      </c>
      <c r="B1" s="43"/>
      <c r="C1" s="43"/>
      <c r="D1" s="44" t="s">
        <v>18</v>
      </c>
      <c r="E1" s="44"/>
      <c r="F1" s="44"/>
      <c r="G1" s="42" t="s">
        <v>19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SUM(C4:C89)</f>
        <v>40996.75</v>
      </c>
      <c r="D2" s="6">
        <f>SUM(D4:D89)</f>
        <v>47627.85</v>
      </c>
      <c r="E2" s="6">
        <f>C2-D2</f>
        <v>-6631.0999999999985</v>
      </c>
      <c r="F2" s="7">
        <f>IFERROR(E2/D2, 0)</f>
        <v>-0.13922736382179751</v>
      </c>
      <c r="G2" s="6">
        <f>SUM(G4:G89)</f>
        <v>54968.45</v>
      </c>
      <c r="H2" s="8">
        <f>C2-G2</f>
        <v>-13971.699999999997</v>
      </c>
      <c r="I2" s="7">
        <f>IFERROR(H2/G2, 0)</f>
        <v>-0.25417671409690462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>
        <v>40996.75</v>
      </c>
      <c r="D4" s="14">
        <v>47627.85</v>
      </c>
      <c r="E4" s="14">
        <f>IF(AND(ISNUMBER(C4),ISNUMBER(D4)), C4-D4, "")</f>
        <v>-6631.0999999999985</v>
      </c>
      <c r="F4" s="15">
        <f>IFERROR(E4/D4, "")</f>
        <v>-0.13922736382179751</v>
      </c>
      <c r="G4" s="16">
        <v>54968.45</v>
      </c>
      <c r="H4" s="16">
        <f>IF(AND(ISNUMBER(C4),ISNUMBER(G4)), C4-G4, "")</f>
        <v>-13971.699999999997</v>
      </c>
      <c r="I4" s="17">
        <f>IFERROR(H4/G4, "")</f>
        <v>-0.25417671409690462</v>
      </c>
      <c r="J4" s="18" t="s">
        <v>22</v>
      </c>
      <c r="K4" s="18" t="s">
        <v>23</v>
      </c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pane="bottomLeft" activeCell="G9" sqref="G9"/>
      <selection activeCell="J20" sqref="J20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Phoenix</v>
      </c>
      <c r="B1" s="43"/>
      <c r="C1" s="43"/>
      <c r="D1" s="44" t="s">
        <v>24</v>
      </c>
      <c r="E1" s="44"/>
      <c r="F1" s="44"/>
      <c r="G1" s="42" t="s">
        <v>25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SUM(C4:C85)</f>
        <v>52699</v>
      </c>
      <c r="D2" s="6">
        <f>SUM(D4:D85)</f>
        <v>58562</v>
      </c>
      <c r="E2" s="6">
        <f>C2-D2</f>
        <v>-5863</v>
      </c>
      <c r="F2" s="7">
        <f>IFERROR(E2/D2, 0)</f>
        <v>-0.10011611625286021</v>
      </c>
      <c r="G2" s="6">
        <f>SUM(G4:G85)</f>
        <v>59097</v>
      </c>
      <c r="H2" s="8">
        <f>C2-G2</f>
        <v>-6398</v>
      </c>
      <c r="I2" s="7">
        <f>IFERROR(H2/G2, 0)</f>
        <v>-0.10826268676920994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>
        <v>52699</v>
      </c>
      <c r="D4" s="14">
        <v>58562</v>
      </c>
      <c r="E4" s="14">
        <f>IF(AND(ISNUMBER(C4),ISNUMBER(D4)), C4-D4, "")</f>
        <v>-5863</v>
      </c>
      <c r="F4" s="15">
        <f>IFERROR(E4/D4, "")</f>
        <v>-0.10011611625286021</v>
      </c>
      <c r="G4" s="16">
        <v>59097</v>
      </c>
      <c r="H4" s="16">
        <f>IF(AND(ISNUMBER(C4),ISNUMBER(G4)), C4-G4, "")</f>
        <v>-6398</v>
      </c>
      <c r="I4" s="17">
        <f>IFERROR(H4/G4, "")</f>
        <v>-0.10826268676920994</v>
      </c>
      <c r="J4" s="18"/>
      <c r="K4" s="18"/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1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tabSelected="1" workbookViewId="0">
      <pane ySplit="2" topLeftCell="A3" activePane="bottomLeft" state="frozen"/>
      <selection pane="bottomLeft" activeCell="J4" sqref="J4"/>
      <selection activeCell="J20" sqref="J20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Phoenix</v>
      </c>
      <c r="B1" s="43"/>
      <c r="C1" s="43"/>
      <c r="D1" s="44" t="s">
        <v>26</v>
      </c>
      <c r="E1" s="44"/>
      <c r="F1" s="44"/>
      <c r="G1" s="42" t="s">
        <v>27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74430</v>
      </c>
      <c r="D2" s="6">
        <f>SUM(D4:D90)</f>
        <v>81918</v>
      </c>
      <c r="E2" s="6">
        <f>C2-D2</f>
        <v>-7488</v>
      </c>
      <c r="F2" s="7">
        <f>IFERROR(E2/D2, 0)</f>
        <v>-9.1408481652384091E-2</v>
      </c>
      <c r="G2" s="6">
        <f>SUM(G4:G90)</f>
        <v>76973</v>
      </c>
      <c r="H2" s="8">
        <f>C2-G2</f>
        <v>-2543</v>
      </c>
      <c r="I2" s="7">
        <f>IFERROR(H2/G2, 0)</f>
        <v>-3.3037558624452727E-2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>
        <v>74430</v>
      </c>
      <c r="D4" s="14">
        <v>81918</v>
      </c>
      <c r="E4" s="14">
        <f>IF(AND(ISNUMBER(C4),ISNUMBER(D4)), C4-D4, "")</f>
        <v>-7488</v>
      </c>
      <c r="F4" s="15">
        <f>IFERROR(E4/D4, "")</f>
        <v>-9.1408481652384091E-2</v>
      </c>
      <c r="G4" s="16">
        <v>76973</v>
      </c>
      <c r="H4" s="16">
        <f>IF(AND(ISNUMBER(C4),ISNUMBER(G4)), C4-G4, "")</f>
        <v>-2543</v>
      </c>
      <c r="I4" s="17">
        <f>IFERROR(H4/G4, "")</f>
        <v>-3.3037558624452727E-2</v>
      </c>
      <c r="J4" s="18" t="s">
        <v>28</v>
      </c>
      <c r="K4" s="18" t="s">
        <v>29</v>
      </c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Phoenix</v>
      </c>
      <c r="B1" s="43"/>
      <c r="C1" s="43"/>
      <c r="D1" s="44" t="s">
        <v>30</v>
      </c>
      <c r="E1" s="44"/>
      <c r="F1" s="44"/>
      <c r="G1" s="42" t="s">
        <v>31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F28" sqref="F28"/>
      <selection activeCell="J20" sqref="J20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Phoenix</v>
      </c>
      <c r="B1" s="43"/>
      <c r="C1" s="43"/>
      <c r="D1" s="44" t="s">
        <v>32</v>
      </c>
      <c r="E1" s="44"/>
      <c r="F1" s="44"/>
      <c r="G1" s="42" t="s">
        <v>33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Phoenix</v>
      </c>
      <c r="B1" s="43"/>
      <c r="C1" s="43"/>
      <c r="D1" s="44" t="s">
        <v>34</v>
      </c>
      <c r="E1" s="44"/>
      <c r="F1" s="44"/>
      <c r="G1" s="42" t="s">
        <v>35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Phoenix</v>
      </c>
      <c r="B1" s="43"/>
      <c r="C1" s="43"/>
      <c r="D1" s="44" t="s">
        <v>36</v>
      </c>
      <c r="E1" s="44"/>
      <c r="F1" s="44"/>
      <c r="G1" s="42" t="s">
        <v>37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1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19" activePane="bottomLeft" state="frozen"/>
      <selection pane="bottomLeft" activeCell="J20" sqref="J20"/>
      <selection activeCell="J20" sqref="J20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Phoenix</v>
      </c>
      <c r="B1" s="43"/>
      <c r="C1" s="43"/>
      <c r="D1" s="44" t="s">
        <v>38</v>
      </c>
      <c r="E1" s="44"/>
      <c r="F1" s="44"/>
      <c r="G1" s="42" t="s">
        <v>39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SUM(C4:C30)</f>
        <v>0</v>
      </c>
      <c r="D2" s="6">
        <f>SUM(D4:D30)</f>
        <v>0</v>
      </c>
      <c r="E2" s="6">
        <f>C2-D2</f>
        <v>0</v>
      </c>
      <c r="F2" s="7">
        <f>IFERROR(E2/D2, 0)</f>
        <v>0</v>
      </c>
      <c r="G2" s="6">
        <f>SUM(G4:G30)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1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Phoenix</v>
      </c>
      <c r="B1" s="43"/>
      <c r="C1" s="43"/>
      <c r="D1" s="44" t="s">
        <v>40</v>
      </c>
      <c r="E1" s="44"/>
      <c r="F1" s="44"/>
      <c r="G1" s="42" t="s">
        <v>41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Phoenix</v>
      </c>
      <c r="B1" s="43"/>
      <c r="C1" s="43"/>
      <c r="D1" s="44" t="s">
        <v>42</v>
      </c>
      <c r="E1" s="44"/>
      <c r="F1" s="44"/>
      <c r="G1" s="42" t="s">
        <v>43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Phoenix</v>
      </c>
      <c r="B1" s="43"/>
      <c r="C1" s="43"/>
      <c r="D1" s="44" t="s">
        <v>44</v>
      </c>
      <c r="E1" s="44"/>
      <c r="F1" s="44"/>
      <c r="G1" s="42" t="s">
        <v>45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Phoenix</v>
      </c>
      <c r="B1" s="43"/>
      <c r="C1" s="43"/>
      <c r="D1" s="44" t="s">
        <v>46</v>
      </c>
      <c r="E1" s="44"/>
      <c r="F1" s="44"/>
      <c r="G1" s="42" t="s">
        <v>47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C31" sqref="C31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48</v>
      </c>
      <c r="B1" t="s">
        <v>49</v>
      </c>
    </row>
    <row r="3" spans="1:7">
      <c r="A3" t="s">
        <v>50</v>
      </c>
      <c r="B3" t="s">
        <v>3</v>
      </c>
      <c r="C3" t="s">
        <v>4</v>
      </c>
      <c r="D3" t="s">
        <v>51</v>
      </c>
      <c r="E3" s="2" t="s">
        <v>52</v>
      </c>
    </row>
    <row r="4" spans="1:7" ht="14.45">
      <c r="A4" t="s">
        <v>53</v>
      </c>
      <c r="B4" t="s">
        <v>54</v>
      </c>
      <c r="C4" s="4" t="s">
        <v>55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4.xml>��
</file>

<file path=customXml/item5.xml>��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66B09F59-6532-46F8-924A-9A02417E070D}"/>
</file>

<file path=customXml/itemProps2.xml><?xml version="1.0" encoding="utf-8"?>
<ds:datastoreItem xmlns:ds="http://schemas.openxmlformats.org/officeDocument/2006/customXml" ds:itemID="{D3A7101F-9A85-4235-8B03-415370C100B2}"/>
</file>

<file path=customXml/itemProps3.xml><?xml version="1.0" encoding="utf-8"?>
<ds:datastoreItem xmlns:ds="http://schemas.openxmlformats.org/officeDocument/2006/customXml" ds:itemID="{8D732231-4216-4543-A665-18A2886B0EB7}"/>
</file>

<file path=customXml/itemProps4.xml><?xml version="1.0" encoding="utf-8"?>
<ds:datastoreItem xmlns:ds="http://schemas.openxmlformats.org/officeDocument/2006/customXml" ds:itemID="{98A113BB-8B7A-453C-8BD4-8EFC67FC2D3F}"/>
</file>

<file path=customXml/itemProps5.xml><?xml version="1.0" encoding="utf-8"?>
<ds:datastoreItem xmlns:ds="http://schemas.openxmlformats.org/officeDocument/2006/customXml" ds:itemID="{89CF5C07-45EB-4100-9AFB-2C6AF77FA787}"/>
</file>

<file path=customXml/itemProps6.xml><?xml version="1.0" encoding="utf-8"?>
<ds:datastoreItem xmlns:ds="http://schemas.openxmlformats.org/officeDocument/2006/customXml" ds:itemID="{C0BCDC1E-6052-4E48-9BAF-94A40814E7C2}"/>
</file>

<file path=customXml/itemProps7.xml><?xml version="1.0" encoding="utf-8"?>
<ds:datastoreItem xmlns:ds="http://schemas.openxmlformats.org/officeDocument/2006/customXml" ds:itemID="{0389C43E-394D-44C0-87DC-4780FCFCFB40}"/>
</file>

<file path=customXml/itemProps8.xml><?xml version="1.0" encoding="utf-8"?>
<ds:datastoreItem xmlns:ds="http://schemas.openxmlformats.org/officeDocument/2006/customXml" ds:itemID="{F6B2B1A1-1C4B-4AC9-9A7D-7A102DD1C942}"/>
</file>

<file path=customXml/itemProps9.xml><?xml version="1.0" encoding="utf-8"?>
<ds:datastoreItem xmlns:ds="http://schemas.openxmlformats.org/officeDocument/2006/customXml" ds:itemID="{BF5C6359-7763-4C37-8EAF-2BC4698CB285}"/>
</file>

<file path=customXml/itemProps10.xml><?xml version="1.0" encoding="utf-8"?>
<ds:datastoreItem xmlns:ds="http://schemas.openxmlformats.org/officeDocument/2006/customXml" ds:itemID="{E3716282-BFD2-4ED2-BA47-BFA1123827F0}"/>
</file>

<file path=customXml/itemProps11.xml><?xml version="1.0" encoding="utf-8"?>
<ds:datastoreItem xmlns:ds="http://schemas.openxmlformats.org/officeDocument/2006/customXml" ds:itemID="{2BC74AAC-D69B-4AF1-9649-B21EF3C1C463}"/>
</file>

<file path=customXml/itemProps12.xml><?xml version="1.0" encoding="utf-8"?>
<ds:datastoreItem xmlns:ds="http://schemas.openxmlformats.org/officeDocument/2006/customXml" ds:itemID="{CB52044A-5C0B-44A2-99D0-C1C315EC302D}"/>
</file>

<file path=customXml/itemProps13.xml><?xml version="1.0" encoding="utf-8"?>
<ds:datastoreItem xmlns:ds="http://schemas.openxmlformats.org/officeDocument/2006/customXml" ds:itemID="{E20E8303-6A67-485C-B6F4-303542CC295C}"/>
</file>

<file path=customXml/itemProps14.xml><?xml version="1.0" encoding="utf-8"?>
<ds:datastoreItem xmlns:ds="http://schemas.openxmlformats.org/officeDocument/2006/customXml" ds:itemID="{3AEAA9D8-2182-46BA-A58E-96C72DDA1C54}"/>
</file>

<file path=customXml/itemProps15.xml><?xml version="1.0" encoding="utf-8"?>
<ds:datastoreItem xmlns:ds="http://schemas.openxmlformats.org/officeDocument/2006/customXml" ds:itemID="{BE26B669-A686-459C-A5E9-FEC3409C4C81}"/>
</file>

<file path=customXml/itemProps16.xml><?xml version="1.0" encoding="utf-8"?>
<ds:datastoreItem xmlns:ds="http://schemas.openxmlformats.org/officeDocument/2006/customXml" ds:itemID="{078388C9-06F9-42F4-B857-EF76B5CAF1FD}"/>
</file>

<file path=customXml/itemProps17.xml><?xml version="1.0" encoding="utf-8"?>
<ds:datastoreItem xmlns:ds="http://schemas.openxmlformats.org/officeDocument/2006/customXml" ds:itemID="{7946C510-7D04-49D8-9B25-EEC04582A1CA}"/>
</file>

<file path=customXml/itemProps18.xml><?xml version="1.0" encoding="utf-8"?>
<ds:datastoreItem xmlns:ds="http://schemas.openxmlformats.org/officeDocument/2006/customXml" ds:itemID="{F12EFA50-0068-4A8C-85A0-F1B26389EBC3}"/>
</file>

<file path=customXml/itemProps19.xml><?xml version="1.0" encoding="utf-8"?>
<ds:datastoreItem xmlns:ds="http://schemas.openxmlformats.org/officeDocument/2006/customXml" ds:itemID="{14966E4F-347B-477B-B74C-9DAC05405806}"/>
</file>

<file path=customXml/itemProps20.xml><?xml version="1.0" encoding="utf-8"?>
<ds:datastoreItem xmlns:ds="http://schemas.openxmlformats.org/officeDocument/2006/customXml" ds:itemID="{1954BBA4-0359-438C-B0EC-A756015F7C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Harshith Devarakonda [Libsys]</cp:lastModifiedBy>
  <cp:revision/>
  <dcterms:created xsi:type="dcterms:W3CDTF">2021-01-01T16:39:53Z</dcterms:created>
  <dcterms:modified xsi:type="dcterms:W3CDTF">2024-06-27T15:38:16Z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