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1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2" documentId="13_ncr:1_{5B016043-BE52-4956-9DEF-E40B420FA163}" xr6:coauthVersionLast="47" xr6:coauthVersionMax="47" xr10:uidLastSave="{EC982771-7600-4F3D-995F-728381D9D19A}"/>
  <bookViews>
    <workbookView xWindow="-98" yWindow="-98" windowWidth="21795" windowHeight="12975" tabRatio="866" firstSheet="6" activeTab="1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33" l="1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6" i="72"/>
  <c r="F6" i="72" s="1"/>
  <c r="H6" i="72"/>
  <c r="I6" i="72" s="1"/>
  <c r="G4" i="1"/>
  <c r="G4" i="34" s="1"/>
  <c r="G2" i="34" s="1"/>
  <c r="B4" i="34" a="1"/>
  <c r="B4" i="34" s="1"/>
  <c r="A4" i="34" a="1"/>
  <c r="A4" i="34" s="1"/>
  <c r="A1" i="34" a="1"/>
  <c r="A1" i="34" s="1"/>
  <c r="D4" i="30"/>
  <c r="D2" i="30" s="1"/>
  <c r="C4" i="30"/>
  <c r="D4" i="29"/>
  <c r="C4" i="29"/>
  <c r="D4" i="18"/>
  <c r="D2" i="18" s="1"/>
  <c r="C4" i="18"/>
  <c r="E4" i="18" s="1"/>
  <c r="F4" i="18" s="1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H5" i="33"/>
  <c r="I5" i="33" s="1"/>
  <c r="E5" i="33"/>
  <c r="F5" i="33" s="1"/>
  <c r="H4" i="33"/>
  <c r="I4" i="33" s="1"/>
  <c r="E4" i="33"/>
  <c r="F4" i="33" s="1"/>
  <c r="G2" i="33"/>
  <c r="D2" i="33"/>
  <c r="C2" i="33"/>
  <c r="H2" i="33" s="1"/>
  <c r="I2" i="33" s="1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H2" i="32" s="1"/>
  <c r="I2" i="32" s="1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H2" i="31" s="1"/>
  <c r="I2" i="31" s="1"/>
  <c r="A1" i="31" a="1"/>
  <c r="A1" i="31" s="1"/>
  <c r="H5" i="28"/>
  <c r="I5" i="28" s="1"/>
  <c r="E5" i="28"/>
  <c r="F5" i="28" s="1"/>
  <c r="I4" i="28"/>
  <c r="H4" i="28"/>
  <c r="E4" i="28"/>
  <c r="F4" i="28" s="1"/>
  <c r="B4" i="28" a="1"/>
  <c r="B4" i="28" s="1"/>
  <c r="A4" i="28" a="1"/>
  <c r="A4" i="28" s="1"/>
  <c r="G2" i="28"/>
  <c r="D2" i="28"/>
  <c r="C2" i="28"/>
  <c r="H2" i="28" s="1"/>
  <c r="I2" i="28" s="1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5" i="26"/>
  <c r="E5" i="26"/>
  <c r="F5" i="26" s="1"/>
  <c r="H4" i="26"/>
  <c r="I4" i="26" s="1"/>
  <c r="E4" i="26"/>
  <c r="F4" i="26" s="1"/>
  <c r="G2" i="26"/>
  <c r="D2" i="26"/>
  <c r="C2" i="26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5" i="20"/>
  <c r="I5" i="20" s="1"/>
  <c r="E5" i="20"/>
  <c r="F5" i="20" s="1"/>
  <c r="H4" i="20"/>
  <c r="I4" i="20" s="1"/>
  <c r="E4" i="20"/>
  <c r="F4" i="20" s="1"/>
  <c r="G2" i="20"/>
  <c r="D2" i="20"/>
  <c r="C2" i="20"/>
  <c r="E2" i="20" s="1"/>
  <c r="F2" i="20" s="1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H2" i="21" s="1"/>
  <c r="I2" i="21" s="1"/>
  <c r="A1" i="21" a="1"/>
  <c r="A1" i="21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E5" i="72"/>
  <c r="F5" i="72" s="1"/>
  <c r="H5" i="72"/>
  <c r="I5" i="72" s="1"/>
  <c r="H4" i="72"/>
  <c r="I4" i="72" s="1"/>
  <c r="G2" i="72"/>
  <c r="D2" i="72"/>
  <c r="C2" i="72"/>
  <c r="J2" i="72" s="1"/>
  <c r="E4" i="72"/>
  <c r="F4" i="72" s="1"/>
  <c r="A1" i="72" a="1"/>
  <c r="A1" i="72" s="1"/>
  <c r="H2" i="4" l="1"/>
  <c r="I2" i="4" s="1"/>
  <c r="J2" i="4"/>
  <c r="J2" i="33"/>
  <c r="J2" i="21"/>
  <c r="J2" i="20"/>
  <c r="H2" i="19"/>
  <c r="I2" i="19" s="1"/>
  <c r="H2" i="26"/>
  <c r="I2" i="26" s="1"/>
  <c r="E2" i="28"/>
  <c r="F2" i="28" s="1"/>
  <c r="J2" i="19"/>
  <c r="D2" i="29"/>
  <c r="J2" i="26"/>
  <c r="H2" i="20"/>
  <c r="I2" i="20" s="1"/>
  <c r="J2" i="28"/>
  <c r="J2" i="31"/>
  <c r="E4" i="30"/>
  <c r="F4" i="30" s="1"/>
  <c r="J2" i="32"/>
  <c r="D4" i="34"/>
  <c r="D2" i="34" s="1"/>
  <c r="H2" i="27"/>
  <c r="I2" i="27" s="1"/>
  <c r="J2" i="27"/>
  <c r="H2" i="3"/>
  <c r="I2" i="3" s="1"/>
  <c r="G2" i="1"/>
  <c r="H4" i="30"/>
  <c r="I4" i="30" s="1"/>
  <c r="I5" i="26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H2" i="1"/>
  <c r="I2" i="1" s="1"/>
  <c r="C2" i="34"/>
  <c r="H2" i="34" s="1"/>
  <c r="I2" i="34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<sst xmlns="http://schemas.openxmlformats.org/spreadsheetml/2006/main" count="239" uniqueCount="52">
  <si>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</si>
  <si>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</si>
  <si>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</si>
  <si>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</si>
  <si>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</si>
  <si>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</si>
  <si>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</si>
  <si>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</si>
  <si>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</si>
  <si>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</si>
  <si>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</si>
  <si>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</si>
  <si>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</si>
  <si>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</si>
  <si>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</si>
  <si>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</si>
  <si>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</si>
  <si>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</si>
  <si>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</si>
  <si>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</si>
  <si>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</si>
  <si>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</si>
  <si>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</si>
  <si>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</si>
  <si>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</si>
  <si>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</si>
  <si>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</si>
  <si>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</si>
  <si>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</si>
  <si>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</si>
  <si>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</si>
  <si>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</si>
  <si>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</si>
  <si>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</si>
  <si>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</si>
  <si>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</si>
  <si>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</si>
  <si>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</si>
  <si>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</si>
  <si>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</si>
  <si>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</si>
  <si>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</si>
  <si>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</si>
  <si>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</si>
  <si>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</si>
  <si>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RMR Group</t>
  </si>
  <si>
    <t>Site DAS Name</t>
  </si>
  <si>
    <t>Update</t>
  </si>
  <si>
    <t>DAS</t>
  </si>
  <si>
    <t>MA - Newton RMR</t>
  </si>
  <si>
    <t>MA</t>
  </si>
  <si>
    <t>InAccess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</si>
</sst>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6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4">
    <sortCondition ref="C3:C4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02"/>
  <sheetViews>
    <sheetView workbookViewId="0">
      <pane ySplit="2" topLeftCell="A3" activePane="bottomLeft" state="frozen"/>
      <selection pane="bottomLeft" activeCell="E16" sqref="E16:E17"/>
      <selection activeCell="A6" sqref="A6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RMR Group</v>
      </c>
      <c r="B1" s="43"/>
      <c r="C1" s="43"/>
      <c r="D1" s="44" t="s">
        <v>0</v>
      </c>
      <c r="E1" s="44"/>
      <c r="F1" s="44"/>
      <c r="G1" s="42" t="s">
        <v>1</v>
      </c>
      <c r="H1" s="42"/>
      <c r="I1" s="42"/>
    </row>
    <row r="2" spans="1:9" ht="19.5" customHeight="1">
      <c r="A2" s="45" t="s">
        <v>2</v>
      </c>
      <c r="B2" s="45"/>
      <c r="C2" s="6">
        <f>SUM(C4:C60)</f>
        <v>46580</v>
      </c>
      <c r="D2" s="6">
        <f>SUM(D4:D60)</f>
        <v>52597</v>
      </c>
      <c r="E2" s="6">
        <f>C2-D2</f>
        <v>-6017</v>
      </c>
      <c r="F2" s="7">
        <f>IFERROR(E2/D2, 0)</f>
        <v>-0.11439815959085119</v>
      </c>
      <c r="G2" s="6">
        <f>SUM(G4:G60)</f>
        <v>0</v>
      </c>
      <c r="H2" s="8">
        <f>C2-G2</f>
        <v>46580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">Sites[Site]</f>
        <v>MA - Newton RMR</v>
      </c>
      <c r="B4" s="10" t="str" cm="1">
        <f t="array" ref="B4">Sites[State]</f>
        <v>MA</v>
      </c>
      <c r="C4" s="26">
        <f>SUM('1st Qtr'!C4, '2nd Qtr'!C4, '3rd Qtr'!C4, '4th Qtr'!C4)</f>
        <v>46580</v>
      </c>
      <c r="D4" s="14">
        <f>SUM('1st Qtr'!D4, '2nd Qtr'!D4, '3rd Qtr'!D4, '4th Qtr'!D4)</f>
        <v>52597</v>
      </c>
      <c r="E4" s="14">
        <f>IF(AND(ISNUMBER(C4),ISNUMBER(D4)), C4-D4, "")</f>
        <v>-6017</v>
      </c>
      <c r="F4" s="15">
        <f>IFERROR(E4/D4, "")</f>
        <v>-0.11439815959085119</v>
      </c>
      <c r="G4" s="16">
        <f>SUM('1st Qtr'!G4,'2nd Qtr'!G4,'3rd Qtr'!G4,'4th Qtr'!G4)</f>
        <v>0</v>
      </c>
      <c r="H4" s="16">
        <f>SUM('1st Qtr'!H4, '2nd Qtr'!H4, '3rd Qtr'!H4, '4th Qtr'!H4)</f>
        <v>46580</v>
      </c>
      <c r="I4" s="17" t="str">
        <f>IFERROR(H4/G4, "")</f>
        <v/>
      </c>
    </row>
    <row r="5" spans="1:9" ht="13.15">
      <c r="A5" s="23"/>
      <c r="B5" s="23"/>
      <c r="C5" s="23"/>
      <c r="D5" s="23"/>
      <c r="E5" s="23"/>
      <c r="F5" s="24"/>
      <c r="G5" s="23"/>
      <c r="H5" s="23"/>
      <c r="I5" s="24"/>
    </row>
    <row r="6" spans="1:9" ht="13.15">
      <c r="A6" s="23"/>
      <c r="B6" s="23"/>
      <c r="C6" s="23"/>
      <c r="D6" s="23"/>
      <c r="E6" s="23"/>
      <c r="F6" s="24"/>
      <c r="G6" s="23"/>
      <c r="H6" s="23"/>
      <c r="I6" s="24"/>
    </row>
    <row r="7" spans="1:9" ht="13.15">
      <c r="A7" s="23"/>
      <c r="B7" s="23"/>
      <c r="C7" s="23"/>
      <c r="D7" s="23"/>
      <c r="E7" s="23"/>
      <c r="F7" s="24"/>
      <c r="G7" s="23"/>
      <c r="H7" s="23"/>
      <c r="I7" s="24"/>
    </row>
    <row r="8" spans="1:9" ht="13.15">
      <c r="A8" s="23"/>
      <c r="B8" s="23"/>
      <c r="C8" s="23"/>
      <c r="D8" s="23"/>
      <c r="E8" s="23"/>
      <c r="F8" s="24"/>
      <c r="G8" s="23"/>
      <c r="H8" s="23"/>
      <c r="I8" s="24"/>
    </row>
    <row r="9" spans="1:9" ht="13.15">
      <c r="A9" s="23"/>
      <c r="B9" s="23"/>
      <c r="C9" s="23"/>
      <c r="D9" s="23"/>
      <c r="E9" s="23"/>
      <c r="F9" s="24"/>
      <c r="G9" s="23"/>
      <c r="H9" s="23"/>
      <c r="I9" s="24"/>
    </row>
    <row r="10" spans="1:9" ht="13.15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15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15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15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15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15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15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15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15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15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15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15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1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60 I4:I60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0"/>
  <sheetViews>
    <sheetView tabSelected="1" workbookViewId="0">
      <pane ySplit="2" topLeftCell="A3" activePane="bottomLeft" state="frozen"/>
      <selection pane="bottomLeft" activeCell="E17" sqref="B16:E17"/>
      <selection activeCell="A16" sqref="A16:XFD2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RMR Group</v>
      </c>
      <c r="B1" s="43"/>
      <c r="C1" s="43"/>
      <c r="D1" s="44" t="s">
        <v>10</v>
      </c>
      <c r="E1" s="44"/>
      <c r="F1" s="44"/>
      <c r="G1" s="42" t="s">
        <v>11</v>
      </c>
      <c r="H1" s="42"/>
      <c r="I1" s="42"/>
    </row>
    <row r="2" spans="1:9" ht="19.5" customHeight="1">
      <c r="A2" s="45" t="s">
        <v>2</v>
      </c>
      <c r="B2" s="45"/>
      <c r="C2" s="6">
        <f>SUM(C4:C68)</f>
        <v>46580</v>
      </c>
      <c r="D2" s="6">
        <f>SUM(D4:D68)</f>
        <v>52597</v>
      </c>
      <c r="E2" s="6">
        <f>C2-D2</f>
        <v>-6017</v>
      </c>
      <c r="F2" s="7">
        <f>IFERROR(E2/D2, 0)</f>
        <v>-0.11439815959085119</v>
      </c>
      <c r="G2" s="6">
        <f>SUM(G4:G68)</f>
        <v>0</v>
      </c>
      <c r="H2" s="8">
        <f>C2-G2</f>
        <v>46580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">Sites[Site]</f>
        <v>MA - Newton RMR</v>
      </c>
      <c r="B4" s="10" t="str" cm="1">
        <f t="array" ref="B4">Sites[State]</f>
        <v>MA</v>
      </c>
      <c r="C4" s="26">
        <f>SUM(Jan!C4, Feb!C4, Mar!C4)</f>
        <v>46580</v>
      </c>
      <c r="D4" s="14">
        <f>SUM(Jan!D4, Feb!D4, Mar!D4)</f>
        <v>52597</v>
      </c>
      <c r="E4" s="14">
        <f>IF(AND(ISNUMBER(C4),ISNUMBER(D4)), C4-D4, "")</f>
        <v>-6017</v>
      </c>
      <c r="F4" s="15">
        <f>IFERROR(E4/D4, "")</f>
        <v>-0.11439815959085119</v>
      </c>
      <c r="G4" s="16">
        <f>SUM(Jan!G4, Feb!G4, Mar!G4)</f>
        <v>0</v>
      </c>
      <c r="H4" s="16">
        <f>SUM(Jan!H4, Feb!H4, Mar!H4)</f>
        <v>46580</v>
      </c>
      <c r="I4" s="17" t="str">
        <f>IFERROR(H4/G4, "")</f>
        <v/>
      </c>
    </row>
    <row r="5" spans="1:9" ht="13.15">
      <c r="A5" s="23"/>
      <c r="B5" s="23"/>
      <c r="C5" s="23"/>
      <c r="D5" s="23"/>
      <c r="E5" s="23"/>
      <c r="F5" s="24"/>
      <c r="G5" s="23"/>
      <c r="H5" s="23"/>
      <c r="I5" s="24"/>
    </row>
    <row r="6" spans="1:9" ht="13.15">
      <c r="A6" s="23"/>
      <c r="B6" s="23"/>
      <c r="C6" s="23"/>
      <c r="D6" s="23"/>
      <c r="E6" s="23"/>
      <c r="F6" s="24"/>
      <c r="G6" s="23"/>
      <c r="H6" s="23"/>
      <c r="I6" s="24"/>
    </row>
    <row r="7" spans="1:9" ht="13.15">
      <c r="A7" s="23"/>
      <c r="B7" s="23"/>
      <c r="C7" s="23"/>
      <c r="D7" s="23"/>
      <c r="E7" s="23"/>
      <c r="F7" s="24"/>
      <c r="G7" s="23"/>
      <c r="H7" s="23"/>
      <c r="I7" s="24"/>
    </row>
    <row r="8" spans="1:9" ht="13.15">
      <c r="A8" s="23"/>
      <c r="B8" s="23"/>
      <c r="C8" s="23"/>
      <c r="D8" s="23"/>
      <c r="E8" s="23"/>
      <c r="F8" s="24"/>
      <c r="G8" s="23"/>
      <c r="H8" s="23"/>
      <c r="I8" s="24"/>
    </row>
    <row r="9" spans="1:9" ht="13.15">
      <c r="A9" s="23"/>
      <c r="B9" s="23"/>
      <c r="C9" s="23"/>
      <c r="D9" s="23"/>
      <c r="E9" s="23"/>
      <c r="F9" s="24"/>
      <c r="G9" s="23"/>
      <c r="H9" s="23"/>
      <c r="I9" s="24"/>
    </row>
    <row r="10" spans="1:9" ht="13.15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15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15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15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15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15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15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15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15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15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15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15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1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68 I4:I68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2"/>
  <sheetViews>
    <sheetView workbookViewId="0">
      <pane ySplit="2" topLeftCell="A3" activePane="bottomLeft" state="frozen"/>
      <selection pane="bottomLeft" activeCell="F28" sqref="F28"/>
      <selection activeCell="J20" sqref="J20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RMR Group</v>
      </c>
      <c r="B1" s="43"/>
      <c r="C1" s="43"/>
      <c r="D1" s="44" t="s">
        <v>12</v>
      </c>
      <c r="E1" s="44"/>
      <c r="F1" s="44"/>
      <c r="G1" s="42" t="s">
        <v>13</v>
      </c>
      <c r="H1" s="42"/>
      <c r="I1" s="42"/>
    </row>
    <row r="2" spans="1:9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">Sites[Site]</f>
        <v>MA - Newton RMR</v>
      </c>
      <c r="B4" s="10" t="str" cm="1">
        <f t="array" ref="B4">Sites[State]</f>
        <v>MA</v>
      </c>
      <c r="C4" s="26">
        <f>SUM(Apr!C4, May!C4, Jun!C4)</f>
        <v>0</v>
      </c>
      <c r="D4" s="14">
        <f>SUM(Apr!D4, May!D4, Jun!D4)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SUM(Apr!H4, May!H4, Jun!H4)</f>
        <v>0</v>
      </c>
      <c r="I4" s="17" t="str">
        <f>IFERROR(H4/G4, "")</f>
        <v/>
      </c>
    </row>
    <row r="5" spans="1:9" ht="15.75">
      <c r="A5" s="19"/>
      <c r="B5" s="11"/>
      <c r="C5" s="12"/>
      <c r="D5" s="20"/>
      <c r="E5" s="20"/>
      <c r="F5" s="21"/>
      <c r="G5" s="22"/>
      <c r="H5" s="22"/>
      <c r="I5" s="21"/>
    </row>
    <row r="6" spans="1:9" ht="13.15">
      <c r="A6" s="23"/>
      <c r="B6" s="23"/>
      <c r="C6" s="23"/>
      <c r="D6" s="23"/>
      <c r="E6" s="23"/>
      <c r="F6" s="23"/>
      <c r="G6" s="23"/>
      <c r="H6" s="23"/>
      <c r="I6" s="23"/>
    </row>
    <row r="7" spans="1:9" ht="13.15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15">
      <c r="A332" s="23"/>
      <c r="B332" s="23"/>
      <c r="C332" s="23"/>
      <c r="D332" s="23"/>
      <c r="E332" s="23"/>
      <c r="F332" s="24"/>
      <c r="G332" s="23"/>
      <c r="H332" s="23"/>
      <c r="I332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0 I4:I90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1"/>
  <sheetViews>
    <sheetView workbookViewId="0">
      <pane ySplit="2" topLeftCell="A3" activePane="bottomLeft" state="frozen"/>
      <selection pane="bottomLeft" activeCell="E17" sqref="E17"/>
      <selection activeCell="J20" sqref="J20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RMR Group</v>
      </c>
      <c r="B1" s="43"/>
      <c r="C1" s="43"/>
      <c r="D1" s="44" t="s">
        <v>14</v>
      </c>
      <c r="E1" s="44"/>
      <c r="F1" s="44"/>
      <c r="G1" s="42" t="s">
        <v>15</v>
      </c>
      <c r="H1" s="42"/>
      <c r="I1" s="42"/>
    </row>
    <row r="2" spans="1:9" ht="19.5" customHeight="1">
      <c r="A2" s="45" t="s">
        <v>2</v>
      </c>
      <c r="B2" s="45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">Sites[Site]</f>
        <v>MA - Newton RMR</v>
      </c>
      <c r="B4" s="10" t="str" cm="1">
        <f t="array" ref="B4">Sites[State]</f>
        <v>MA</v>
      </c>
      <c r="C4" s="26">
        <f>SUM(Jul!C4, Aug!C4, Sep!C4)</f>
        <v>0</v>
      </c>
      <c r="D4" s="14">
        <f>SUM(Jul!D4, Aug!D4, Sep!D4)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SUM(Jul!H4, Aug!H4, Sep!H4)</f>
        <v>0</v>
      </c>
      <c r="I4" s="17" t="str">
        <f>IFERROR(H4/G4, "")</f>
        <v/>
      </c>
    </row>
    <row r="5" spans="1:9" ht="13.15">
      <c r="A5" s="23"/>
      <c r="B5" s="23"/>
      <c r="C5" s="23"/>
      <c r="D5" s="23"/>
      <c r="E5" s="23"/>
      <c r="F5" s="23"/>
      <c r="G5" s="23"/>
      <c r="H5" s="23"/>
      <c r="I5" s="23"/>
    </row>
    <row r="6" spans="1:9" ht="13.15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15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1"/>
  <sheetViews>
    <sheetView workbookViewId="0">
      <pane ySplit="2" topLeftCell="A3" activePane="bottomLeft" state="frozen"/>
      <selection pane="bottomLeft" activeCell="E29" sqref="E29"/>
      <selection activeCell="J20" sqref="J20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RMR Group</v>
      </c>
      <c r="B1" s="43"/>
      <c r="C1" s="43"/>
      <c r="D1" s="44" t="s">
        <v>16</v>
      </c>
      <c r="E1" s="44"/>
      <c r="F1" s="44"/>
      <c r="G1" s="42" t="s">
        <v>17</v>
      </c>
      <c r="H1" s="42"/>
      <c r="I1" s="42"/>
    </row>
    <row r="2" spans="1:9" ht="19.5" customHeight="1">
      <c r="A2" s="45" t="s">
        <v>2</v>
      </c>
      <c r="B2" s="45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">Sites[Site]</f>
        <v>MA - Newton RMR</v>
      </c>
      <c r="B4" s="10" t="str" cm="1">
        <f t="array" ref="B4">Sites[State]</f>
        <v>MA</v>
      </c>
      <c r="C4" s="26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SUM(Oct!H4, Nov!H4, Dec!H4)</f>
        <v>0</v>
      </c>
      <c r="I4" s="17" t="str">
        <f>IFERROR(H4/G4, "")</f>
        <v/>
      </c>
    </row>
    <row r="5" spans="1:9" ht="13.15">
      <c r="A5" s="23"/>
      <c r="B5" s="23"/>
      <c r="C5" s="23"/>
      <c r="D5" s="23"/>
      <c r="E5" s="23"/>
      <c r="F5" s="23"/>
      <c r="G5" s="23"/>
      <c r="H5" s="23"/>
      <c r="I5" s="23"/>
    </row>
    <row r="6" spans="1:9" ht="13.15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15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1"/>
  <sheetViews>
    <sheetView workbookViewId="0">
      <pane ySplit="3" topLeftCell="A4" activePane="bottomLeft" state="frozen"/>
      <selection pane="bottomLeft" activeCell="C5" sqref="C5"/>
      <selection activeCell="J20" sqref="J20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RMR Group</v>
      </c>
      <c r="B1" s="43"/>
      <c r="C1" s="43"/>
      <c r="D1" s="44" t="s">
        <v>18</v>
      </c>
      <c r="E1" s="44"/>
      <c r="F1" s="44"/>
      <c r="G1" s="42" t="s">
        <v>19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SUM(C4:C89)</f>
        <v>5897</v>
      </c>
      <c r="D2" s="6">
        <f>SUM(D4:D89)</f>
        <v>11503</v>
      </c>
      <c r="E2" s="6">
        <f>C2-D2</f>
        <v>-5606</v>
      </c>
      <c r="F2" s="7">
        <f>IFERROR(E2/D2, 0)</f>
        <v>-0.48735112579327133</v>
      </c>
      <c r="G2" s="6">
        <f>SUM(G4:G89)</f>
        <v>0</v>
      </c>
      <c r="H2" s="8">
        <f>C2-G2</f>
        <v>5897</v>
      </c>
      <c r="I2" s="7">
        <f>IFERROR(H2/G2, 0)</f>
        <v>0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41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 - Newton RMR</v>
      </c>
      <c r="B4" s="30" t="str" cm="1">
        <f t="array" ref="B4">Sites[State]</f>
        <v>MA</v>
      </c>
      <c r="C4" s="26">
        <v>5897</v>
      </c>
      <c r="D4" s="14">
        <v>11503</v>
      </c>
      <c r="E4" s="14">
        <f>IF(AND(ISNUMBER(C4),ISNUMBER(D4)), C4-D4, "")</f>
        <v>-5606</v>
      </c>
      <c r="F4" s="15">
        <f>IFERROR(E4/D4, "")</f>
        <v>-0.48735112579327133</v>
      </c>
      <c r="G4" s="16">
        <v>0</v>
      </c>
      <c r="H4" s="16">
        <f>IF(AND(ISNUMBER(C4),ISNUMBER(G4)), C4-G4, "")</f>
        <v>5897</v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 t="str">
        <f t="shared" ref="E6" si="4">IF(AND(ISNUMBER(C6),ISNUMBER(D6)), C6-D6, "")</f>
        <v/>
      </c>
      <c r="F6" s="23" t="str">
        <f t="shared" ref="F6" si="5">IFERROR(E6/D6, "")</f>
        <v/>
      </c>
      <c r="G6" s="23"/>
      <c r="H6" s="23" t="str">
        <f t="shared" ref="H6" si="6">IF(AND(ISNUMBER(C6),ISNUMBER(G6)), C6-G6, "")</f>
        <v/>
      </c>
      <c r="I6" s="23" t="str">
        <f t="shared" ref="I6" si="7">IFERROR(H6/G6, "")</f>
        <v/>
      </c>
      <c r="J6" s="23"/>
      <c r="K6" s="23"/>
    </row>
    <row r="7" spans="1:11" ht="12.75" customHeight="1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2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</sheetData>
  <mergeCells count="4">
    <mergeCell ref="D1:F1"/>
    <mergeCell ref="A1:C1"/>
    <mergeCell ref="G1:I1"/>
    <mergeCell ref="A2:B2"/>
  </mergeCells>
  <conditionalFormatting sqref="F2 I2 F4:F89 I4:I89">
    <cfRule type="cellIs" dxfId="26" priority="2" stopIfTrue="1" operator="lessThanOrEqual">
      <formula>-0.1</formula>
    </cfRule>
    <cfRule type="expression" dxfId="25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7"/>
  <sheetViews>
    <sheetView workbookViewId="0">
      <pane ySplit="2" topLeftCell="A3" activePane="bottomLeft" state="frozen"/>
      <selection pane="bottomLeft" activeCell="F17" sqref="F17"/>
      <selection activeCell="J20" sqref="J20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RMR Group</v>
      </c>
      <c r="B1" s="43"/>
      <c r="C1" s="43"/>
      <c r="D1" s="44" t="s">
        <v>22</v>
      </c>
      <c r="E1" s="44"/>
      <c r="F1" s="44"/>
      <c r="G1" s="42" t="s">
        <v>23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SUM(C4:C85)</f>
        <v>18044</v>
      </c>
      <c r="D2" s="6">
        <f>SUM(D4:D85)</f>
        <v>18309</v>
      </c>
      <c r="E2" s="6">
        <f>C2-D2</f>
        <v>-265</v>
      </c>
      <c r="F2" s="7">
        <f>IFERROR(E2/D2, 0)</f>
        <v>-1.4473756076246654E-2</v>
      </c>
      <c r="G2" s="6">
        <f>SUM(G4:G85)</f>
        <v>0</v>
      </c>
      <c r="H2" s="8">
        <f>C2-G2</f>
        <v>18044</v>
      </c>
      <c r="I2" s="7">
        <f>IFERROR(H2/G2, 0)</f>
        <v>0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 - Newton RMR</v>
      </c>
      <c r="B4" s="30" t="str" cm="1">
        <f t="array" ref="B4">Sites[State]</f>
        <v>MA</v>
      </c>
      <c r="C4" s="26">
        <v>18044</v>
      </c>
      <c r="D4" s="14">
        <v>18309</v>
      </c>
      <c r="E4" s="14">
        <f>IF(AND(ISNUMBER(C4),ISNUMBER(D4)), C4-D4, "")</f>
        <v>-265</v>
      </c>
      <c r="F4" s="15">
        <f>IFERROR(E4/D4, "")</f>
        <v>-1.4473756076246654E-2</v>
      </c>
      <c r="G4" s="16">
        <v>0</v>
      </c>
      <c r="H4" s="16">
        <f>IF(AND(ISNUMBER(C4),ISNUMBER(G4)), C4-G4, "")</f>
        <v>18044</v>
      </c>
      <c r="I4" s="17" t="str">
        <f>IFERROR(H4/G4, "")</f>
        <v/>
      </c>
      <c r="J4" s="18"/>
      <c r="K4" s="18"/>
    </row>
    <row r="5" spans="1:11" ht="14.25">
      <c r="A5" s="23"/>
      <c r="B5" s="34"/>
      <c r="C5" s="23"/>
      <c r="D5" s="23"/>
      <c r="E5" s="23"/>
      <c r="F5" s="23"/>
      <c r="G5" s="23"/>
      <c r="H5" s="23"/>
      <c r="I5" s="23"/>
      <c r="J5" s="23"/>
      <c r="K5" s="23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2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2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2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2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2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3.9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2"/>
  <sheetViews>
    <sheetView workbookViewId="0">
      <pane ySplit="2" topLeftCell="A3" activePane="bottomLeft" state="frozen"/>
      <selection pane="bottomLeft" activeCell="C4" sqref="C4"/>
      <selection activeCell="J20" sqref="J20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RMR Group</v>
      </c>
      <c r="B1" s="43"/>
      <c r="C1" s="43"/>
      <c r="D1" s="44" t="s">
        <v>24</v>
      </c>
      <c r="E1" s="44"/>
      <c r="F1" s="44"/>
      <c r="G1" s="42" t="s">
        <v>25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22639</v>
      </c>
      <c r="D2" s="6">
        <f>SUM(D4:D90)</f>
        <v>22785</v>
      </c>
      <c r="E2" s="6">
        <f>C2-D2</f>
        <v>-146</v>
      </c>
      <c r="F2" s="7">
        <f>IFERROR(E2/D2, 0)</f>
        <v>-6.4077243800746107E-3</v>
      </c>
      <c r="G2" s="6">
        <f>SUM(G4:G90)</f>
        <v>0</v>
      </c>
      <c r="H2" s="8">
        <f>C2-G2</f>
        <v>22639</v>
      </c>
      <c r="I2" s="7">
        <f>IFERROR(H2/G2, 0)</f>
        <v>0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 - Newton RMR</v>
      </c>
      <c r="B4" s="30" t="str" cm="1">
        <f t="array" ref="B4">Sites[State]</f>
        <v>MA</v>
      </c>
      <c r="C4" s="26">
        <v>22639</v>
      </c>
      <c r="D4" s="14">
        <v>22785</v>
      </c>
      <c r="E4" s="14">
        <f>IF(AND(ISNUMBER(C4),ISNUMBER(D4)), C4-D4, "")</f>
        <v>-146</v>
      </c>
      <c r="F4" s="15">
        <f>IFERROR(E4/D4, "")</f>
        <v>-6.4077243800746107E-3</v>
      </c>
      <c r="G4" s="16">
        <v>0</v>
      </c>
      <c r="H4" s="16">
        <f>IF(AND(ISNUMBER(C4),ISNUMBER(G4)), C4-G4, "")</f>
        <v>22639</v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RMR Group</v>
      </c>
      <c r="B1" s="43"/>
      <c r="C1" s="43"/>
      <c r="D1" s="44" t="s">
        <v>26</v>
      </c>
      <c r="E1" s="44"/>
      <c r="F1" s="44"/>
      <c r="G1" s="42" t="s">
        <v>27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 - Newton RMR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2"/>
  <sheetViews>
    <sheetView workbookViewId="0">
      <pane ySplit="2" topLeftCell="A3" activePane="bottomLeft" state="frozen"/>
      <selection pane="bottomLeft" activeCell="F28" sqref="F28"/>
      <selection activeCell="J20" sqref="J20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RMR Group</v>
      </c>
      <c r="B1" s="43"/>
      <c r="C1" s="43"/>
      <c r="D1" s="44" t="s">
        <v>28</v>
      </c>
      <c r="E1" s="44"/>
      <c r="F1" s="44"/>
      <c r="G1" s="42" t="s">
        <v>29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 - Newton RMR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RMR Group</v>
      </c>
      <c r="B1" s="43"/>
      <c r="C1" s="43"/>
      <c r="D1" s="44" t="s">
        <v>30</v>
      </c>
      <c r="E1" s="44"/>
      <c r="F1" s="44"/>
      <c r="G1" s="42" t="s">
        <v>31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 - Newton RMR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RMR Group</v>
      </c>
      <c r="B1" s="43"/>
      <c r="C1" s="43"/>
      <c r="D1" s="44" t="s">
        <v>32</v>
      </c>
      <c r="E1" s="44"/>
      <c r="F1" s="44"/>
      <c r="G1" s="42" t="s">
        <v>33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 - Newton RMR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90 I4:I90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272"/>
  <sheetViews>
    <sheetView workbookViewId="0">
      <pane ySplit="2" topLeftCell="A19" activePane="bottomLeft" state="frozen"/>
      <selection pane="bottomLeft" activeCell="J20" sqref="J20"/>
      <selection activeCell="J20" sqref="J20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RMR Group</v>
      </c>
      <c r="B1" s="43"/>
      <c r="C1" s="43"/>
      <c r="D1" s="44" t="s">
        <v>34</v>
      </c>
      <c r="E1" s="44"/>
      <c r="F1" s="44"/>
      <c r="G1" s="42" t="s">
        <v>35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SUM(C4:C30)</f>
        <v>0</v>
      </c>
      <c r="D2" s="6">
        <f>SUM(D4:D30)</f>
        <v>0</v>
      </c>
      <c r="E2" s="6">
        <f>C2-D2</f>
        <v>0</v>
      </c>
      <c r="F2" s="7">
        <f>IFERROR(E2/D2, 0)</f>
        <v>0</v>
      </c>
      <c r="G2" s="6">
        <f>SUM(G4:G30)</f>
        <v>0</v>
      </c>
      <c r="H2" s="8">
        <f>C2-G2</f>
        <v>0</v>
      </c>
      <c r="I2" s="7">
        <f>IFERROR(H2/G2, 0)</f>
        <v>0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 - Newton RMR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4.25">
      <c r="A5" s="23"/>
      <c r="B5" s="34"/>
      <c r="C5" s="23"/>
      <c r="D5" s="23"/>
      <c r="E5" s="23"/>
      <c r="F5" s="24"/>
      <c r="G5" s="23"/>
      <c r="H5" s="23"/>
      <c r="I5" s="24"/>
      <c r="J5" s="23"/>
      <c r="K5" s="23"/>
    </row>
    <row r="6" spans="1:11" ht="14.25">
      <c r="A6" s="23"/>
      <c r="B6" s="34"/>
      <c r="C6" s="23"/>
      <c r="D6" s="23"/>
      <c r="E6" s="23"/>
      <c r="F6" s="24"/>
      <c r="G6" s="23"/>
      <c r="H6" s="23"/>
      <c r="I6" s="24"/>
      <c r="J6" s="23"/>
      <c r="K6" s="23"/>
    </row>
    <row r="7" spans="1:11" ht="14.25">
      <c r="A7" s="23"/>
      <c r="B7" s="34"/>
      <c r="C7" s="23"/>
      <c r="D7" s="23"/>
      <c r="E7" s="23"/>
      <c r="F7" s="24"/>
      <c r="G7" s="23"/>
      <c r="H7" s="23"/>
      <c r="I7" s="24"/>
      <c r="J7" s="23"/>
      <c r="K7" s="23"/>
    </row>
    <row r="8" spans="1:11" ht="14.25">
      <c r="A8" s="23"/>
      <c r="B8" s="34"/>
      <c r="C8" s="23"/>
      <c r="D8" s="23"/>
      <c r="E8" s="23"/>
      <c r="F8" s="24"/>
      <c r="G8" s="23"/>
      <c r="H8" s="23"/>
      <c r="I8" s="24"/>
      <c r="J8" s="23"/>
      <c r="K8" s="23"/>
    </row>
    <row r="9" spans="1:11" ht="14.25">
      <c r="A9" s="23"/>
      <c r="B9" s="34"/>
      <c r="C9" s="23"/>
      <c r="D9" s="23"/>
      <c r="E9" s="23"/>
      <c r="F9" s="24"/>
      <c r="G9" s="23"/>
      <c r="H9" s="23"/>
      <c r="I9" s="24"/>
      <c r="J9" s="23"/>
      <c r="K9" s="23"/>
    </row>
    <row r="10" spans="1:11" ht="14.25">
      <c r="A10" s="23"/>
      <c r="B10" s="34"/>
      <c r="C10" s="23"/>
      <c r="D10" s="23"/>
      <c r="E10" s="23"/>
      <c r="F10" s="24"/>
      <c r="G10" s="23"/>
      <c r="H10" s="23"/>
      <c r="I10" s="24"/>
      <c r="J10" s="23"/>
      <c r="K10" s="23"/>
    </row>
    <row r="11" spans="1:11" ht="14.25">
      <c r="A11" s="23"/>
      <c r="B11" s="34"/>
      <c r="C11" s="23"/>
      <c r="D11" s="23"/>
      <c r="E11" s="23"/>
      <c r="F11" s="24"/>
      <c r="G11" s="23"/>
      <c r="H11" s="23"/>
      <c r="I11" s="24"/>
      <c r="J11" s="23"/>
      <c r="K11" s="23"/>
    </row>
    <row r="12" spans="1:11" ht="14.25">
      <c r="A12" s="23"/>
      <c r="B12" s="34"/>
      <c r="C12" s="23"/>
      <c r="D12" s="23"/>
      <c r="E12" s="23"/>
      <c r="F12" s="24"/>
      <c r="G12" s="23"/>
      <c r="H12" s="23"/>
      <c r="I12" s="24"/>
      <c r="J12" s="23"/>
      <c r="K12" s="23"/>
    </row>
    <row r="13" spans="1:11" ht="14.25">
      <c r="A13" s="23"/>
      <c r="B13" s="34"/>
      <c r="C13" s="23"/>
      <c r="D13" s="23"/>
      <c r="E13" s="23"/>
      <c r="F13" s="24"/>
      <c r="G13" s="23"/>
      <c r="H13" s="23"/>
      <c r="I13" s="24"/>
      <c r="J13" s="23"/>
      <c r="K13" s="23"/>
    </row>
    <row r="14" spans="1:11" ht="14.25">
      <c r="A14" s="23"/>
      <c r="B14" s="34"/>
      <c r="C14" s="23"/>
      <c r="D14" s="23"/>
      <c r="E14" s="23"/>
      <c r="F14" s="24"/>
      <c r="G14" s="23"/>
      <c r="H14" s="23"/>
      <c r="I14" s="24"/>
      <c r="J14" s="23"/>
      <c r="K14" s="23"/>
    </row>
    <row r="15" spans="1:11" ht="14.25">
      <c r="A15" s="23"/>
      <c r="B15" s="34"/>
      <c r="C15" s="23"/>
      <c r="D15" s="23"/>
      <c r="E15" s="23"/>
      <c r="F15" s="24"/>
      <c r="G15" s="23"/>
      <c r="H15" s="23"/>
      <c r="I15" s="24"/>
      <c r="J15" s="23"/>
      <c r="K15" s="23"/>
    </row>
    <row r="16" spans="1:11" ht="14.25">
      <c r="A16" s="23"/>
      <c r="B16" s="34"/>
      <c r="C16" s="23"/>
      <c r="D16" s="23"/>
      <c r="E16" s="23"/>
      <c r="F16" s="24"/>
      <c r="G16" s="23"/>
      <c r="H16" s="23"/>
      <c r="I16" s="24"/>
      <c r="J16" s="23"/>
      <c r="K16" s="23"/>
    </row>
    <row r="17" spans="1:11" ht="14.25">
      <c r="A17" s="23"/>
      <c r="B17" s="34"/>
      <c r="C17" s="23"/>
      <c r="D17" s="23"/>
      <c r="E17" s="23"/>
      <c r="F17" s="24"/>
      <c r="G17" s="23"/>
      <c r="H17" s="23"/>
      <c r="I17" s="24"/>
      <c r="J17" s="23"/>
      <c r="K17" s="23"/>
    </row>
    <row r="18" spans="1:11" ht="14.2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2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2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2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2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3.9">
      <c r="C272" s="23"/>
      <c r="D272" s="23"/>
      <c r="E272" s="23"/>
      <c r="F272" s="24"/>
      <c r="G272" s="23"/>
      <c r="H272" s="23"/>
      <c r="I272" s="24"/>
      <c r="J272" s="23"/>
      <c r="K272" s="23"/>
    </row>
  </sheetData>
  <mergeCells count="4">
    <mergeCell ref="G1:I1"/>
    <mergeCell ref="A1:C1"/>
    <mergeCell ref="D1:F1"/>
    <mergeCell ref="A2:B2"/>
  </mergeCells>
  <conditionalFormatting sqref="F2 I2 F4:F30 I4:I30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RMR Group</v>
      </c>
      <c r="B1" s="43"/>
      <c r="C1" s="43"/>
      <c r="D1" s="44" t="s">
        <v>36</v>
      </c>
      <c r="E1" s="44"/>
      <c r="F1" s="44"/>
      <c r="G1" s="42" t="s">
        <v>37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 - Newton RMR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RMR Group</v>
      </c>
      <c r="B1" s="43"/>
      <c r="C1" s="43"/>
      <c r="D1" s="44" t="s">
        <v>38</v>
      </c>
      <c r="E1" s="44"/>
      <c r="F1" s="44"/>
      <c r="G1" s="42" t="s">
        <v>39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 - Newton RMR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RMR Group</v>
      </c>
      <c r="B1" s="43"/>
      <c r="C1" s="43"/>
      <c r="D1" s="44" t="s">
        <v>40</v>
      </c>
      <c r="E1" s="44"/>
      <c r="F1" s="44"/>
      <c r="G1" s="42" t="s">
        <v>41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 - Newton RMR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RMR Group</v>
      </c>
      <c r="B1" s="43"/>
      <c r="C1" s="43"/>
      <c r="D1" s="44" t="s">
        <v>42</v>
      </c>
      <c r="E1" s="44"/>
      <c r="F1" s="44"/>
      <c r="G1" s="42" t="s">
        <v>43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 - Newton RMR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4"/>
  <sheetViews>
    <sheetView workbookViewId="0">
      <pane ySplit="3" topLeftCell="A4" activePane="bottomLeft" state="frozen"/>
      <selection pane="bottomLeft" activeCell="E14" sqref="E14"/>
      <selection activeCell="A16" sqref="A16:XFD24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44</v>
      </c>
      <c r="B1" t="s">
        <v>45</v>
      </c>
    </row>
    <row r="3" spans="1:7">
      <c r="A3" t="s">
        <v>46</v>
      </c>
      <c r="B3" t="s">
        <v>3</v>
      </c>
      <c r="C3" t="s">
        <v>4</v>
      </c>
      <c r="D3" t="s">
        <v>47</v>
      </c>
      <c r="E3" s="2" t="s">
        <v>48</v>
      </c>
    </row>
    <row r="4" spans="1:7" ht="14.25">
      <c r="A4" t="s">
        <v>49</v>
      </c>
      <c r="B4" t="s">
        <v>49</v>
      </c>
      <c r="C4" s="4" t="s">
        <v>50</v>
      </c>
      <c r="E4" t="s">
        <v>51</v>
      </c>
      <c r="G4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0.xml>��
</file>

<file path=customXml/itemProps1.xml><?xml version="1.0" encoding="utf-8"?>
<ds:datastoreItem xmlns:ds="http://schemas.openxmlformats.org/officeDocument/2006/customXml" ds:itemID="{8D732231-4216-4543-A665-18A2886B0EB7}"/>
</file>

<file path=customXml/itemProps2.xml><?xml version="1.0" encoding="utf-8"?>
<ds:datastoreItem xmlns:ds="http://schemas.openxmlformats.org/officeDocument/2006/customXml" ds:itemID="{D3A7101F-9A85-4235-8B03-415370C100B2}"/>
</file>

<file path=customXml/itemProps3.xml><?xml version="1.0" encoding="utf-8"?>
<ds:datastoreItem xmlns:ds="http://schemas.openxmlformats.org/officeDocument/2006/customXml" ds:itemID="{F6B2B1A1-1C4B-4AC9-9A7D-7A102DD1C942}"/>
</file>

<file path=customXml/itemProps4.xml><?xml version="1.0" encoding="utf-8"?>
<ds:datastoreItem xmlns:ds="http://schemas.openxmlformats.org/officeDocument/2006/customXml" ds:itemID="{1954BBA4-0359-438C-B0EC-A756015F7C02}"/>
</file>

<file path=customXml/itemProps5.xml><?xml version="1.0" encoding="utf-8"?>
<ds:datastoreItem xmlns:ds="http://schemas.openxmlformats.org/officeDocument/2006/customXml" ds:itemID="{98A113BB-8B7A-453C-8BD4-8EFC67FC2D3F}"/>
</file>

<file path=customXml/itemProps6.xml><?xml version="1.0" encoding="utf-8"?>
<ds:datastoreItem xmlns:ds="http://schemas.openxmlformats.org/officeDocument/2006/customXml" ds:itemID="{E3716282-BFD2-4ED2-BA47-BFA1123827F0}"/>
</file>

<file path=customXml/itemProps7.xml><?xml version="1.0" encoding="utf-8"?>
<ds:datastoreItem xmlns:ds="http://schemas.openxmlformats.org/officeDocument/2006/customXml" ds:itemID="{3AEAA9D8-2182-46BA-A58E-96C72DDA1C54}"/>
</file>

<file path=customXml/itemProps8.xml><?xml version="1.0" encoding="utf-8"?>
<ds:datastoreItem xmlns:ds="http://schemas.openxmlformats.org/officeDocument/2006/customXml" ds:itemID="{F12EFA50-0068-4A8C-85A0-F1B26389EBC3}"/>
</file>

<file path=customXml/itemProps9.xml><?xml version="1.0" encoding="utf-8"?>
<ds:datastoreItem xmlns:ds="http://schemas.openxmlformats.org/officeDocument/2006/customXml" ds:itemID="{C0BCDC1E-6052-4E48-9BAF-94A40814E7C2}"/>
</file>

<file path=customXml/itemProps10.xml><?xml version="1.0" encoding="utf-8"?>
<ds:datastoreItem xmlns:ds="http://schemas.openxmlformats.org/officeDocument/2006/customXml" ds:itemID="{66B09F59-6532-46F8-924A-9A02417E070D}"/>
</file>

<file path=customXml/itemProps11.xml><?xml version="1.0" encoding="utf-8"?>
<ds:datastoreItem xmlns:ds="http://schemas.openxmlformats.org/officeDocument/2006/customXml" ds:itemID="{CB52044A-5C0B-44A2-99D0-C1C315EC302D}"/>
</file>

<file path=customXml/itemProps12.xml><?xml version="1.0" encoding="utf-8"?>
<ds:datastoreItem xmlns:ds="http://schemas.openxmlformats.org/officeDocument/2006/customXml" ds:itemID="{BE26B669-A686-459C-A5E9-FEC3409C4C81}"/>
</file>

<file path=customXml/itemProps13.xml><?xml version="1.0" encoding="utf-8"?>
<ds:datastoreItem xmlns:ds="http://schemas.openxmlformats.org/officeDocument/2006/customXml" ds:itemID="{89CF5C07-45EB-4100-9AFB-2C6AF77FA787}"/>
</file>

<file path=customXml/itemProps14.xml><?xml version="1.0" encoding="utf-8"?>
<ds:datastoreItem xmlns:ds="http://schemas.openxmlformats.org/officeDocument/2006/customXml" ds:itemID="{0389C43E-394D-44C0-87DC-4780FCFCFB40}"/>
</file>

<file path=customXml/itemProps15.xml><?xml version="1.0" encoding="utf-8"?>
<ds:datastoreItem xmlns:ds="http://schemas.openxmlformats.org/officeDocument/2006/customXml" ds:itemID="{E20E8303-6A67-485C-B6F4-303542CC295C}"/>
</file>

<file path=customXml/itemProps16.xml><?xml version="1.0" encoding="utf-8"?>
<ds:datastoreItem xmlns:ds="http://schemas.openxmlformats.org/officeDocument/2006/customXml" ds:itemID="{078388C9-06F9-42F4-B857-EF76B5CAF1FD}"/>
</file>

<file path=customXml/itemProps17.xml><?xml version="1.0" encoding="utf-8"?>
<ds:datastoreItem xmlns:ds="http://schemas.openxmlformats.org/officeDocument/2006/customXml" ds:itemID="{14966E4F-347B-477B-B74C-9DAC05405806}"/>
</file>

<file path=customXml/itemProps18.xml><?xml version="1.0" encoding="utf-8"?>
<ds:datastoreItem xmlns:ds="http://schemas.openxmlformats.org/officeDocument/2006/customXml" ds:itemID="{2BC74AAC-D69B-4AF1-9649-B21EF3C1C463}"/>
</file>

<file path=customXml/itemProps19.xml><?xml version="1.0" encoding="utf-8"?>
<ds:datastoreItem xmlns:ds="http://schemas.openxmlformats.org/officeDocument/2006/customXml" ds:itemID="{7946C510-7D04-49D8-9B25-EEC04582A1CA}"/>
</file>

<file path=customXml/itemProps20.xml><?xml version="1.0" encoding="utf-8"?>
<ds:datastoreItem xmlns:ds="http://schemas.openxmlformats.org/officeDocument/2006/customXml" ds:itemID="{BF5C6359-7763-4C37-8EAF-2BC4698CB2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Dufault, Michael</cp:lastModifiedBy>
  <cp:revision/>
  <dcterms:created xsi:type="dcterms:W3CDTF">2021-01-01T16:39:53Z</dcterms:created>
  <dcterms:modified xsi:type="dcterms:W3CDTF">2024-04-22T19:43:59Z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