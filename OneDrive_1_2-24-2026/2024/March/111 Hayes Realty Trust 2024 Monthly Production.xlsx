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Reports\"/>
    </mc:Choice>
  </mc:AlternateContent>
  <xr:revisionPtr revIDLastSave="8" documentId="13_ncr:1_{6CB30A90-C1BC-4CAD-A641-8002CC55356E}" xr6:coauthVersionLast="47" xr6:coauthVersionMax="47" xr10:uidLastSave="{A12DAC0E-3029-4C2A-A0CA-DF94723D8528}"/>
  <bookViews>
    <workbookView xWindow="-108" yWindow="-108" windowWidth="23256" windowHeight="12456" tabRatio="866" firstSheet="17" activeTab="1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I4" i="4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<sst xmlns="http://schemas.openxmlformats.org/spreadsheetml/2006/main" count="242" uniqueCount="55">
  <si>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</si>
  <si>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</si>
  <si>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</si>
  <si>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</si>
  <si>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</si>
  <si>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</si>
  <si>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</si>
  <si>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</si>
  <si>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</si>
  <si>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</si>
  <si>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</si>
  <si>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</si>
  <si>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</si>
  <si>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</si>
  <si>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</si>
  <si>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</si>
  <si>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</si>
  <si>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</si>
  <si>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</si>
  <si>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</si>
  <si>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</si>
  <si>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</si>
  <si>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 right unit was still offline.</t>
  </si>
  <si>
    <t>1. SR078701</t>
  </si>
  <si>
    <t>February Actual v. Expected</t>
  </si>
  <si>
    <t>February Actual v. Forecasted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</si>
  <si>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</si>
  <si>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</si>
  <si>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</si>
  <si>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</si>
  <si>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</si>
  <si>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</si>
  <si>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</si>
  <si>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</si>
  <si>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</si>
  <si>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</si>
  <si>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</si>
  <si>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</si>
  <si>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</si>
  <si>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</si>
  <si>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</si>
  <si>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</si>
  <si>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</si>
  <si>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</si>
  <si>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</si>
  <si>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</si>
  <si>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</si>
  <si>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111 Hayes Memorial Drive</t>
  </si>
  <si>
    <t>Site DAS Name</t>
  </si>
  <si>
    <t>Update</t>
  </si>
  <si>
    <t>DAS</t>
  </si>
  <si>
    <t>MA: Marlborough - 111 Hayes Memorial Dr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</si>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</sst>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111 Hayes Memorial Drive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SUM(C4:C79)</f>
        <v>50893.253874999995</v>
      </c>
      <c r="D2" s="5">
        <f>SUM(D4:D79)</f>
        <v>0</v>
      </c>
      <c r="E2" s="5">
        <f>C2-D2</f>
        <v>50893.253874999995</v>
      </c>
      <c r="F2" s="6">
        <f>IFERROR(E2/D2, 0)</f>
        <v>0</v>
      </c>
      <c r="G2" s="5">
        <f>SUM(G4:G79)</f>
        <v>68669.206000000006</v>
      </c>
      <c r="H2" s="7">
        <f>C2-G2</f>
        <v>-17775.952125000011</v>
      </c>
      <c r="I2" s="6">
        <f>IFERROR(H2/G2, 0)</f>
        <v>-0.2588635162754031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SUM('1st Qtr'!C4, '2nd Qtr'!C4, '3rd Qtr'!C4, '4th Qtr'!C4)</f>
        <v>50893.253874999995</v>
      </c>
      <c r="D4" s="12">
        <f>SUM('1st Qtr'!D4, '2nd Qtr'!D4, '3rd Qtr'!D4, '4th Qtr'!D4)</f>
        <v>0</v>
      </c>
      <c r="E4" s="12">
        <f>IF(AND(ISNUMBER(C4),ISNUMBER(D4)), C4-D4, "")</f>
        <v>50893.253874999995</v>
      </c>
      <c r="F4" s="13" t="str">
        <f>IFERROR(E4/D4, "")</f>
        <v/>
      </c>
      <c r="G4" s="14">
        <f>SUM('1st Qtr'!G4, '2nd Qtr'!G4, '3rd Qtr'!G4, '4th Qtr'!G4)</f>
        <v>68669.206000000006</v>
      </c>
      <c r="H4" s="14">
        <f>SUM('1st Qtr'!H4, '2nd Qtr'!H4, '3rd Qtr'!H4, '4th Qtr'!H4)</f>
        <v>-17775.952125000003</v>
      </c>
      <c r="I4" s="15">
        <f>IFERROR(H4/G4, "")</f>
        <v>-0.25886351627540299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111 Hayes Memorial Drive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SUM(C4:C79)</f>
        <v>50893.253874999995</v>
      </c>
      <c r="D2" s="5">
        <f>SUM(D4:D79)</f>
        <v>0</v>
      </c>
      <c r="E2" s="5">
        <f>C2-D2</f>
        <v>50893.253874999995</v>
      </c>
      <c r="F2" s="6">
        <f>IFERROR(E2/D2, 0)</f>
        <v>0</v>
      </c>
      <c r="G2" s="5">
        <f>SUM(G4:G79)</f>
        <v>68669.206000000006</v>
      </c>
      <c r="H2" s="7">
        <f>C2-G2</f>
        <v>-17775.952125000011</v>
      </c>
      <c r="I2" s="6">
        <f>IFERROR(H2/G2, 0)</f>
        <v>-0.2588635162754031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SUM(Jan!C4, Feb!C4, Mar!C4)</f>
        <v>50893.253874999995</v>
      </c>
      <c r="D4" s="12">
        <f>SUM(Jan!D4, Feb!D4, Mar!D4)</f>
        <v>0</v>
      </c>
      <c r="E4" s="12">
        <f>IF(AND(ISNUMBER(C4),ISNUMBER(D4)), C4-D4, "")</f>
        <v>50893.253874999995</v>
      </c>
      <c r="F4" s="13" t="str">
        <f>IFERROR(E4/D4, "")</f>
        <v/>
      </c>
      <c r="G4" s="14">
        <f>SUM(Jan!G4, Feb!G4, Mar!G4)</f>
        <v>68669.206000000006</v>
      </c>
      <c r="H4" s="14">
        <f>SUM(Jan!H4, Feb!H4, Mar!H4)</f>
        <v>-17775.952125000003</v>
      </c>
      <c r="I4" s="15">
        <f>IFERROR(H4/G4, "")</f>
        <v>-0.25886351627540299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111 Hayes Memorial Drive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111 Hayes Memorial Drive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111 Hayes Memorial Drive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Marlborough - 111 Hayes Memorial Dr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G10" sqref="G10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SUM(C4:C78)</f>
        <v>5630.296875</v>
      </c>
      <c r="D2" s="5">
        <f>SUM(D4:D78)</f>
        <v>0</v>
      </c>
      <c r="E2" s="5">
        <f>C2-D2</f>
        <v>5630.296875</v>
      </c>
      <c r="F2" s="6">
        <f>IFERROR(E2/D2, 0)</f>
        <v>0</v>
      </c>
      <c r="G2" s="5">
        <f>SUM(G4:G78)</f>
        <v>18868</v>
      </c>
      <c r="H2" s="7">
        <f>C2-G2</f>
        <v>-13237.703125</v>
      </c>
      <c r="I2" s="6">
        <f>IFERROR(H2/G2, 0)</f>
        <v>-0.70159545924316302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Marlborough - 111 Hayes Memorial Dr</v>
      </c>
      <c r="B4" s="27" t="str" cm="1">
        <f t="array" ref="B4">Sites[State]</f>
        <v>MA</v>
      </c>
      <c r="C4" s="50">
        <v>5630.296875</v>
      </c>
      <c r="D4" s="51">
        <v>0</v>
      </c>
      <c r="E4" s="12">
        <f>IF(AND(ISNUMBER(C4),ISNUMBER(D4)), C4-D4, "")</f>
        <v>5630.296875</v>
      </c>
      <c r="F4" s="40" t="str">
        <f>IFERROR(E4/D4, "")</f>
        <v/>
      </c>
      <c r="G4" s="53">
        <v>18868</v>
      </c>
      <c r="H4" s="14">
        <f>IF(AND(ISNUMBER(C4),ISNUMBER(G4)), C4-G4, "")</f>
        <v>-13237.703125</v>
      </c>
      <c r="I4" s="15">
        <f>IFERROR(H4/G4, "")</f>
        <v>-0.70159545924316302</v>
      </c>
      <c r="J4" s="47" t="s">
        <v>22</v>
      </c>
      <c r="K4" s="47" t="s">
        <v>23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H14" sqref="H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18485.599999999999</v>
      </c>
      <c r="D2" s="5">
        <f>SUM(D4:D79)</f>
        <v>0</v>
      </c>
      <c r="E2" s="5">
        <f>C2-D2</f>
        <v>18485.599999999999</v>
      </c>
      <c r="F2" s="6">
        <f>IFERROR(E2/D2, 0)</f>
        <v>0</v>
      </c>
      <c r="G2" s="5">
        <f>SUM(G4:G79)</f>
        <v>21680.400000000001</v>
      </c>
      <c r="H2" s="7">
        <f>C2-G2</f>
        <v>-3194.8000000000029</v>
      </c>
      <c r="I2" s="6">
        <f>IFERROR(H2/G2, 0)</f>
        <v>-0.14735890481725442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18485.599999999999</v>
      </c>
      <c r="D4" s="12">
        <v>0</v>
      </c>
      <c r="E4" s="12">
        <f>IF(AND(ISNUMBER(C4),ISNUMBER(D4)), C4-D4, "")</f>
        <v>18485.599999999999</v>
      </c>
      <c r="F4" s="13" t="str">
        <f>IFERROR(E4/D4, "")</f>
        <v/>
      </c>
      <c r="G4" s="14">
        <v>21680.400000000001</v>
      </c>
      <c r="H4" s="14">
        <f>IF(AND(ISNUMBER(C4),ISNUMBER(G4)), C4-G4, "")</f>
        <v>-3194.8000000000029</v>
      </c>
      <c r="I4" s="15">
        <f>IFERROR(H4/G4, "")</f>
        <v>-0.14735890481725442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26777.357</v>
      </c>
      <c r="D2" s="5">
        <f>SUM(D4:D79)</f>
        <v>0</v>
      </c>
      <c r="E2" s="5">
        <f>C2-D2</f>
        <v>26777.357</v>
      </c>
      <c r="F2" s="6">
        <f>IFERROR(E2/D2, 0)</f>
        <v>0</v>
      </c>
      <c r="G2" s="5">
        <f>SUM(G4:G79)</f>
        <v>28120.806</v>
      </c>
      <c r="H2" s="7">
        <f>C2-G2</f>
        <v>-1343.4490000000005</v>
      </c>
      <c r="I2" s="6">
        <f>IFERROR(H2/G2, 0)</f>
        <v>-4.7774199644206518E-2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>
        <v>26777.357</v>
      </c>
      <c r="D4" s="12">
        <v>0</v>
      </c>
      <c r="E4" s="12">
        <f>IF(AND(ISNUMBER(C4),ISNUMBER(D4)), C4-D4, "")</f>
        <v>26777.357</v>
      </c>
      <c r="F4" s="13" t="str">
        <f>IFERROR(E4/D4, "")</f>
        <v/>
      </c>
      <c r="G4" s="14">
        <v>28120.806</v>
      </c>
      <c r="H4" s="14">
        <f>IF(AND(ISNUMBER(C4),ISNUMBER(G4)), C4-G4, "")</f>
        <v>-1343.4490000000005</v>
      </c>
      <c r="I4" s="15">
        <f>IFERROR(H4/G4, "")</f>
        <v>-4.7774199644206518E-2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28</v>
      </c>
      <c r="E1" s="56"/>
      <c r="F1" s="56"/>
      <c r="G1" s="54" t="s">
        <v>29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32</v>
      </c>
      <c r="E1" s="56"/>
      <c r="F1" s="56"/>
      <c r="G1" s="54" t="s">
        <v>33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34</v>
      </c>
      <c r="E1" s="56"/>
      <c r="F1" s="56"/>
      <c r="G1" s="54" t="s">
        <v>35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38</v>
      </c>
      <c r="E1" s="56"/>
      <c r="F1" s="56"/>
      <c r="G1" s="54" t="s">
        <v>39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40</v>
      </c>
      <c r="E1" s="56"/>
      <c r="F1" s="56"/>
      <c r="G1" s="54" t="s">
        <v>41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111 Hayes Memorial Drive</v>
      </c>
      <c r="B1" s="55"/>
      <c r="C1" s="55"/>
      <c r="D1" s="56" t="s">
        <v>44</v>
      </c>
      <c r="E1" s="56"/>
      <c r="F1" s="56"/>
      <c r="G1" s="54" t="s">
        <v>45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Marlborough - 111 Hayes Memorial Dr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46</v>
      </c>
      <c r="B1" t="s">
        <v>47</v>
      </c>
    </row>
    <row r="3" spans="1:12" ht="13.15">
      <c r="A3" t="s">
        <v>48</v>
      </c>
      <c r="B3" t="s">
        <v>3</v>
      </c>
      <c r="C3" t="s">
        <v>4</v>
      </c>
      <c r="D3" t="s">
        <v>49</v>
      </c>
      <c r="E3" s="2" t="s">
        <v>50</v>
      </c>
    </row>
    <row r="4" spans="1:12" ht="15">
      <c r="A4" s="45" t="s">
        <v>47</v>
      </c>
      <c r="B4" t="s">
        <v>51</v>
      </c>
      <c r="C4" s="43" t="s">
        <v>52</v>
      </c>
      <c r="D4" s="42" t="s">
        <v>53</v>
      </c>
      <c r="E4" t="s">
        <v>54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89CF5C07-45EB-4100-9AFB-2C6AF77FA787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E20E8303-6A67-485C-B6F4-303542CC295C}"/>
</file>

<file path=customXml/itemProps17.xml><?xml version="1.0" encoding="utf-8"?>
<ds:datastoreItem xmlns:ds="http://schemas.openxmlformats.org/officeDocument/2006/customXml" ds:itemID="{3AEAA9D8-2182-46BA-A58E-96C72DDA1C54}"/>
</file>

<file path=customXml/itemProps18.xml><?xml version="1.0" encoding="utf-8"?>
<ds:datastoreItem xmlns:ds="http://schemas.openxmlformats.org/officeDocument/2006/customXml" ds:itemID="{BF5C6359-7763-4C37-8EAF-2BC4698CB285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2024-04-18T09:05:22Z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