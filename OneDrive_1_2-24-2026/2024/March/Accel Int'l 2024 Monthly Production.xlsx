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maneeshav_amgsol_com/Documents/Desktop/New folder/"/>
    </mc:Choice>
  </mc:AlternateContent>
  <xr:revisionPtr revIDLastSave="18" documentId="13_ncr:1_{E055DD24-2325-45FB-9662-429E1B6D4754}" xr6:coauthVersionLast="47" xr6:coauthVersionMax="47" xr10:uidLastSave="{2D83E304-F1F4-407D-A9B6-B1C184A7B17F}"/>
  <bookViews>
    <workbookView xWindow="-108" yWindow="-108" windowWidth="23256" windowHeight="1245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May" sheetId="20" r:id="rId9"/>
    <sheet name="Apr" sheetId="21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9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8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72" l="1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C4" i="18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D2" i="34"/>
  <c r="H4" i="30"/>
  <c r="I4" i="30" s="1"/>
  <c r="H4" i="29"/>
  <c r="I4" i="29" s="1"/>
  <c r="H4" i="18"/>
  <c r="I4" i="18" s="1"/>
  <c r="C4" i="34"/>
  <c r="E4" i="34" s="1"/>
  <c r="F4" i="34" s="1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G2" i="34" l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<sst xmlns="http://schemas.openxmlformats.org/spreadsheetml/2006/main" count="242" uniqueCount="55">
  <si>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</si>
  <si>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</si>
  <si>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</si>
  <si>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</si>
  <si>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</si>
  <si>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</si>
  <si>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</si>
  <si>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</si>
  <si>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</si>
  <si>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</si>
  <si>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</si>
  <si>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</si>
  <si>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</si>
  <si>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</si>
  <si>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</si>
  <si>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</si>
  <si>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</si>
  <si>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</si>
  <si>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</si>
  <si>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</si>
  <si>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</si>
  <si>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</si>
  <si>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3 was offline from 10/28 to till.
2. Inverter 14 is underperforming 10kW compared to its peers.</t>
  </si>
  <si>
    <t>1. SR077823
2. SR076525</t>
  </si>
  <si>
    <t>February Actual v. Expected</t>
  </si>
  <si>
    <t>February Actual v. Forecasted</t>
  </si>
  <si>
    <t>March Actual v. Expected</t>
  </si>
  <si>
    <t>March Actual v. Forecasted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</si>
  <si>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</si>
  <si>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</si>
  <si>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</si>
  <si>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</si>
  <si>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</si>
  <si>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</si>
  <si>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</si>
  <si>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</si>
  <si>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</si>
  <si>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</si>
  <si>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</si>
  <si>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</si>
  <si>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</si>
  <si>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</si>
  <si>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</si>
  <si>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</si>
  <si>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</si>
  <si>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</si>
  <si>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</si>
  <si>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Accel International</t>
  </si>
  <si>
    <t>Site DAS Name</t>
  </si>
  <si>
    <t>Update</t>
  </si>
  <si>
    <t>DAS</t>
  </si>
  <si>
    <t>CT: Meriden - Accel International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</si>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</sst>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2CC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35" fillId="46" borderId="12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Accel International</v>
      </c>
      <c r="B1" s="48"/>
      <c r="C1" s="48"/>
      <c r="D1" s="49" t="s">
        <v>0</v>
      </c>
      <c r="E1" s="49"/>
      <c r="F1" s="49"/>
      <c r="G1" s="47" t="s">
        <v>1</v>
      </c>
      <c r="H1" s="47"/>
      <c r="I1" s="47"/>
    </row>
    <row r="2" spans="1:9" ht="19.5" customHeight="1">
      <c r="A2" s="50" t="s">
        <v>2</v>
      </c>
      <c r="B2" s="50"/>
      <c r="C2" s="5">
        <f>SUM(C4:C77)</f>
        <v>141080.59972650901</v>
      </c>
      <c r="D2" s="5">
        <f>SUM(D4:D77)</f>
        <v>0</v>
      </c>
      <c r="E2" s="5">
        <f>C2-D2</f>
        <v>141080.59972650901</v>
      </c>
      <c r="F2" s="6">
        <f>IFERROR(E2/D2, 0)</f>
        <v>0</v>
      </c>
      <c r="G2" s="5">
        <f>SUM(G4:G77)</f>
        <v>142896.26</v>
      </c>
      <c r="H2" s="7">
        <f>C2-G2</f>
        <v>-1815.6602734909975</v>
      </c>
      <c r="I2" s="6">
        <f>IFERROR(H2/G2, 0)</f>
        <v>-1.270614271843782E-2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CT: Meriden - Accel International</v>
      </c>
      <c r="B4" s="9" t="str" cm="1">
        <f t="array" ref="B4">Sites[State]</f>
        <v>CT</v>
      </c>
      <c r="C4" s="23">
        <f>SUM('1st Qtr'!C4, '2nd Qtr'!C4, '3rd Qtr'!C4, '4th Qtr'!C4)</f>
        <v>141080.59972650901</v>
      </c>
      <c r="D4" s="12">
        <f>SUM('1st Qtr'!D4, '2nd Qtr'!D4, '3rd Qtr'!D4, '4th Qtr'!D4)</f>
        <v>0</v>
      </c>
      <c r="E4" s="12">
        <f>IF(AND(ISNUMBER(C4),ISNUMBER(D4)), C4-D4, "")</f>
        <v>141080.59972650901</v>
      </c>
      <c r="F4" s="13" t="str">
        <f>IFERROR(E4/D4, "")</f>
        <v/>
      </c>
      <c r="G4" s="14">
        <f>SUM('1st Qtr'!G4, '2nd Qtr'!G4, '3rd Qtr'!G4, '4th Qtr'!G4)</f>
        <v>142896.26</v>
      </c>
      <c r="H4" s="14">
        <f>SUM('1st Qtr'!H4, '2nd Qtr'!H4, '3rd Qtr'!H4, '4th Qtr'!H4)</f>
        <v>-1815.6602734909975</v>
      </c>
      <c r="I4" s="15">
        <f>IFERROR(H4/G4, "")</f>
        <v>-1.270614271843782E-2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Accel International</v>
      </c>
      <c r="B1" s="48"/>
      <c r="C1" s="48"/>
      <c r="D1" s="49" t="s">
        <v>10</v>
      </c>
      <c r="E1" s="49"/>
      <c r="F1" s="49"/>
      <c r="G1" s="47" t="s">
        <v>11</v>
      </c>
      <c r="H1" s="47"/>
      <c r="I1" s="47"/>
    </row>
    <row r="2" spans="1:9" ht="19.5" customHeight="1">
      <c r="A2" s="50" t="s">
        <v>2</v>
      </c>
      <c r="B2" s="50"/>
      <c r="C2" s="5">
        <f>SUM(C4:C77)</f>
        <v>141080.59972650901</v>
      </c>
      <c r="D2" s="5">
        <f>SUM(D4:D77)</f>
        <v>0</v>
      </c>
      <c r="E2" s="5">
        <f>C2-D2</f>
        <v>141080.59972650901</v>
      </c>
      <c r="F2" s="6">
        <f>IFERROR(E2/D2, 0)</f>
        <v>0</v>
      </c>
      <c r="G2" s="5">
        <f>SUM(G4:G77)</f>
        <v>142896.26</v>
      </c>
      <c r="H2" s="7">
        <f>C2-G2</f>
        <v>-1815.6602734909975</v>
      </c>
      <c r="I2" s="6">
        <f>IFERROR(H2/G2, 0)</f>
        <v>-1.270614271843782E-2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Meriden - Accel International</v>
      </c>
      <c r="B4" s="9" t="str" cm="1">
        <f t="array" ref="B4">Sites[State]</f>
        <v>CT</v>
      </c>
      <c r="C4" s="23">
        <f>SUM(Jan!C4, Feb!C4, Mar!C4)</f>
        <v>141080.59972650901</v>
      </c>
      <c r="D4" s="12">
        <f>SUM(Jan!D4, Feb!D4, Mar!D4)</f>
        <v>0</v>
      </c>
      <c r="E4" s="12">
        <f>IF(AND(ISNUMBER(C4),ISNUMBER(D4)), C4-D4, "")</f>
        <v>141080.59972650901</v>
      </c>
      <c r="F4" s="13" t="str">
        <f>IFERROR(E4/D4, "")</f>
        <v/>
      </c>
      <c r="G4" s="14">
        <f>SUM(Jan!G4, Feb!G4, Mar!G4)</f>
        <v>142896.26</v>
      </c>
      <c r="H4" s="14">
        <f>SUM(Jan!H4, Feb!H4, Mar!H4)</f>
        <v>-1815.6602734909975</v>
      </c>
      <c r="I4" s="15">
        <f>IFERROR(H4/G4, "")</f>
        <v>-1.270614271843782E-2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Accel International</v>
      </c>
      <c r="B1" s="48"/>
      <c r="C1" s="48"/>
      <c r="D1" s="49" t="s">
        <v>12</v>
      </c>
      <c r="E1" s="49"/>
      <c r="F1" s="49"/>
      <c r="G1" s="47" t="s">
        <v>13</v>
      </c>
      <c r="H1" s="47"/>
      <c r="I1" s="47"/>
    </row>
    <row r="2" spans="1:9" ht="19.5" customHeight="1">
      <c r="A2" s="50" t="s">
        <v>2</v>
      </c>
      <c r="B2" s="50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Meriden - Accel International</v>
      </c>
      <c r="B4" s="9" t="str" cm="1">
        <f t="array" ref="B4">Sites[State]</f>
        <v>CT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Accel International</v>
      </c>
      <c r="B1" s="48"/>
      <c r="C1" s="48"/>
      <c r="D1" s="49" t="s">
        <v>14</v>
      </c>
      <c r="E1" s="49"/>
      <c r="F1" s="49"/>
      <c r="G1" s="47" t="s">
        <v>15</v>
      </c>
      <c r="H1" s="47"/>
      <c r="I1" s="47"/>
    </row>
    <row r="2" spans="1:9" ht="19.5" customHeight="1">
      <c r="A2" s="50" t="s">
        <v>2</v>
      </c>
      <c r="B2" s="50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Meriden - Accel International</v>
      </c>
      <c r="B4" s="9" t="str" cm="1">
        <f t="array" ref="B4">Sites[State]</f>
        <v>CT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Accel International</v>
      </c>
      <c r="B1" s="48"/>
      <c r="C1" s="48"/>
      <c r="D1" s="49" t="s">
        <v>16</v>
      </c>
      <c r="E1" s="49"/>
      <c r="F1" s="49"/>
      <c r="G1" s="47" t="s">
        <v>17</v>
      </c>
      <c r="H1" s="47"/>
      <c r="I1" s="47"/>
    </row>
    <row r="2" spans="1:9" ht="19.5" customHeight="1">
      <c r="A2" s="50" t="s">
        <v>2</v>
      </c>
      <c r="B2" s="50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Meriden - Accel International</v>
      </c>
      <c r="B4" s="9" t="str" cm="1">
        <f t="array" ref="B4">Sites[State]</f>
        <v>CT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4.45">
      <c r="A5" s="20"/>
      <c r="B5" s="10"/>
      <c r="C5" s="40"/>
      <c r="D5" s="17"/>
      <c r="E5" s="17"/>
      <c r="F5" s="18"/>
      <c r="G5" s="19"/>
      <c r="H5" s="19"/>
      <c r="I5" s="18"/>
    </row>
    <row r="6" spans="1:9" ht="14.45">
      <c r="A6" s="20"/>
      <c r="B6" s="10"/>
      <c r="C6" s="40"/>
      <c r="D6" s="17"/>
      <c r="E6" s="17"/>
      <c r="F6" s="18"/>
      <c r="G6" s="19"/>
      <c r="H6" s="19"/>
      <c r="I6" s="18"/>
    </row>
    <row r="7" spans="1:9" ht="14.45">
      <c r="A7" s="20"/>
      <c r="B7" s="10"/>
      <c r="C7" s="40"/>
      <c r="D7" s="17"/>
      <c r="E7" s="17"/>
      <c r="F7" s="18"/>
      <c r="G7" s="19"/>
      <c r="H7" s="19"/>
      <c r="I7" s="18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workbookViewId="0">
      <pane xSplit="2" ySplit="3" topLeftCell="C4" activePane="bottomRight" state="frozen"/>
      <selection pane="bottomRight" activeCell="J9" sqref="J9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Accel International</v>
      </c>
      <c r="B1" s="48"/>
      <c r="C1" s="48"/>
      <c r="D1" s="49" t="s">
        <v>18</v>
      </c>
      <c r="E1" s="49"/>
      <c r="F1" s="49"/>
      <c r="G1" s="47" t="s">
        <v>19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SUM(C4:C76)</f>
        <v>19139.559694245501</v>
      </c>
      <c r="D2" s="5">
        <f>SUM(D4:D76)</f>
        <v>0</v>
      </c>
      <c r="E2" s="5">
        <f>C2-D2</f>
        <v>19139.559694245501</v>
      </c>
      <c r="F2" s="6">
        <f>IFERROR(E2/D2, 0)</f>
        <v>0</v>
      </c>
      <c r="G2" s="5">
        <f>SUM(G4:G76)</f>
        <v>34815</v>
      </c>
      <c r="H2" s="7">
        <f>C2-G2</f>
        <v>-15675.440305754499</v>
      </c>
      <c r="I2" s="6">
        <f>IFERROR(H2/G2, 0)</f>
        <v>-0.45024961383755563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6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45" t="str" cm="1">
        <f t="array" ref="A4">Sites[Site]</f>
        <v>CT: Meriden - Accel International</v>
      </c>
      <c r="B4" s="27" t="str" cm="1">
        <f t="array" ref="B4">Sites[State]</f>
        <v>CT</v>
      </c>
      <c r="C4" s="12">
        <v>19139.559694245501</v>
      </c>
      <c r="D4" s="12">
        <v>0</v>
      </c>
      <c r="E4" s="12">
        <f>IF(AND(ISNUMBER(C4),ISNUMBER(D4)), C4-D4, "")</f>
        <v>19139.559694245501</v>
      </c>
      <c r="F4" s="39" t="str">
        <f>IFERROR(E4/D4, "")</f>
        <v/>
      </c>
      <c r="G4" s="14">
        <v>34815</v>
      </c>
      <c r="H4" s="14">
        <f>IF(AND(ISNUMBER(C4),ISNUMBER(G4)), C4-G4, "")</f>
        <v>-15675.440305754499</v>
      </c>
      <c r="I4" s="15">
        <f>IFERROR(H4/G4, "")</f>
        <v>-0.45024961383755563</v>
      </c>
      <c r="J4" s="46" t="s">
        <v>22</v>
      </c>
      <c r="K4" s="46" t="s">
        <v>23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</sheetData>
  <mergeCells count="4">
    <mergeCell ref="D1:F1"/>
    <mergeCell ref="A1:C1"/>
    <mergeCell ref="G1:I1"/>
    <mergeCell ref="A2:B2"/>
  </mergeCells>
  <conditionalFormatting sqref="F2 I2 I4:I76 F5:F76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workbookViewId="0">
      <pane xSplit="2" ySplit="3" topLeftCell="C4" activePane="bottomRight" state="frozen"/>
      <selection pane="bottomRight" activeCell="G13" sqref="G13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Accel International</v>
      </c>
      <c r="B1" s="48"/>
      <c r="C1" s="48"/>
      <c r="D1" s="49" t="s">
        <v>24</v>
      </c>
      <c r="E1" s="49"/>
      <c r="F1" s="49"/>
      <c r="G1" s="47" t="s">
        <v>25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50980.220082263499</v>
      </c>
      <c r="D2" s="5">
        <f>SUM(D4:D77)</f>
        <v>0</v>
      </c>
      <c r="E2" s="5">
        <f>C2-D2</f>
        <v>50980.220082263499</v>
      </c>
      <c r="F2" s="6">
        <f>IFERROR(E2/D2, 0)</f>
        <v>0</v>
      </c>
      <c r="G2" s="5">
        <f>SUM(G4:G77)</f>
        <v>44165.46</v>
      </c>
      <c r="H2" s="7">
        <f>C2-G2</f>
        <v>6814.7600822634995</v>
      </c>
      <c r="I2" s="6">
        <f>IFERROR(H2/G2, 0)</f>
        <v>0.15430067030352451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5" t="str" cm="1">
        <f t="array" ref="A4">Sites[Site]</f>
        <v>CT: Meriden - Accel International</v>
      </c>
      <c r="B4" s="27" t="str" cm="1">
        <f t="array" ref="B4">Sites[State]</f>
        <v>CT</v>
      </c>
      <c r="C4" s="23">
        <v>50980.220082263499</v>
      </c>
      <c r="D4" s="12">
        <v>0</v>
      </c>
      <c r="E4" s="12">
        <f>IF(AND(ISNUMBER(C4),ISNUMBER(D4)), C4-D4, "")</f>
        <v>50980.220082263499</v>
      </c>
      <c r="F4" s="13" t="str">
        <f>IFERROR(E4/D4, "")</f>
        <v/>
      </c>
      <c r="G4" s="14">
        <v>44165.46</v>
      </c>
      <c r="H4" s="14">
        <f>IF(AND(ISNUMBER(C4),ISNUMBER(G4)), C4-G4, "")</f>
        <v>6814.7600822634995</v>
      </c>
      <c r="I4" s="15">
        <f>IFERROR(H4/G4, "")</f>
        <v>0.15430067030352451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9"/>
  <sheetViews>
    <sheetView tabSelected="1" workbookViewId="0">
      <pane xSplit="2" ySplit="3" topLeftCell="C4" activePane="bottomRight" state="frozen"/>
      <selection pane="bottomRight" activeCell="I12" sqref="I12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Accel International</v>
      </c>
      <c r="B1" s="48"/>
      <c r="C1" s="48"/>
      <c r="D1" s="49" t="s">
        <v>26</v>
      </c>
      <c r="E1" s="49"/>
      <c r="F1" s="49"/>
      <c r="G1" s="47" t="s">
        <v>27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70960.819950000005</v>
      </c>
      <c r="D2" s="5">
        <f>SUM(D4:D77)</f>
        <v>0</v>
      </c>
      <c r="E2" s="5">
        <f>C2-D2</f>
        <v>70960.819950000005</v>
      </c>
      <c r="F2" s="6">
        <f>IFERROR(E2/D2, 0)</f>
        <v>0</v>
      </c>
      <c r="G2" s="5">
        <f>SUM(G4:G77)</f>
        <v>63915.8</v>
      </c>
      <c r="H2" s="7">
        <f>C2-G2</f>
        <v>7045.0199500000017</v>
      </c>
      <c r="I2" s="6">
        <f>IFERROR(H2/G2, 0)</f>
        <v>0.11022344944442534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>
        <v>70960.819950000005</v>
      </c>
      <c r="D4" s="12">
        <v>0</v>
      </c>
      <c r="E4" s="12">
        <f>IF(AND(ISNUMBER(C4),ISNUMBER(D4)), C4-D4, "")</f>
        <v>70960.819950000005</v>
      </c>
      <c r="F4" s="13" t="str">
        <f>IFERROR(E4/D4, "")</f>
        <v/>
      </c>
      <c r="G4" s="14">
        <v>63915.8</v>
      </c>
      <c r="H4" s="14">
        <f>IF(AND(ISNUMBER(C4),ISNUMBER(G4)), C4-G4, "")</f>
        <v>7045.0199500000017</v>
      </c>
      <c r="I4" s="15">
        <f>IFERROR(H4/G4, "")</f>
        <v>0.11022344944442534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Accel International</v>
      </c>
      <c r="B1" s="48"/>
      <c r="C1" s="48"/>
      <c r="D1" s="49" t="s">
        <v>28</v>
      </c>
      <c r="E1" s="49"/>
      <c r="F1" s="49"/>
      <c r="G1" s="47" t="s">
        <v>29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Accel International</v>
      </c>
      <c r="B1" s="48"/>
      <c r="C1" s="48"/>
      <c r="D1" s="49" t="s">
        <v>30</v>
      </c>
      <c r="E1" s="49"/>
      <c r="F1" s="49"/>
      <c r="G1" s="47" t="s">
        <v>31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Accel International</v>
      </c>
      <c r="B1" s="48"/>
      <c r="C1" s="48"/>
      <c r="D1" s="49" t="s">
        <v>32</v>
      </c>
      <c r="E1" s="49"/>
      <c r="F1" s="49"/>
      <c r="G1" s="47" t="s">
        <v>33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Accel International</v>
      </c>
      <c r="B1" s="48"/>
      <c r="C1" s="48"/>
      <c r="D1" s="49" t="s">
        <v>34</v>
      </c>
      <c r="E1" s="49"/>
      <c r="F1" s="49"/>
      <c r="G1" s="47" t="s">
        <v>35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9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Accel International</v>
      </c>
      <c r="B1" s="48"/>
      <c r="C1" s="48"/>
      <c r="D1" s="49" t="s">
        <v>36</v>
      </c>
      <c r="E1" s="49"/>
      <c r="F1" s="49"/>
      <c r="G1" s="47" t="s">
        <v>37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Accel International</v>
      </c>
      <c r="B1" s="48"/>
      <c r="C1" s="48"/>
      <c r="D1" s="49" t="s">
        <v>38</v>
      </c>
      <c r="E1" s="49"/>
      <c r="F1" s="49"/>
      <c r="G1" s="47" t="s">
        <v>39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Accel International</v>
      </c>
      <c r="B1" s="48"/>
      <c r="C1" s="48"/>
      <c r="D1" s="49" t="s">
        <v>40</v>
      </c>
      <c r="E1" s="49"/>
      <c r="F1" s="49"/>
      <c r="G1" s="47" t="s">
        <v>41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Accel International</v>
      </c>
      <c r="B1" s="48"/>
      <c r="C1" s="48"/>
      <c r="D1" s="49" t="s">
        <v>42</v>
      </c>
      <c r="E1" s="49"/>
      <c r="F1" s="49"/>
      <c r="G1" s="47" t="s">
        <v>43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Accel International</v>
      </c>
      <c r="B1" s="48"/>
      <c r="C1" s="48"/>
      <c r="D1" s="49" t="s">
        <v>44</v>
      </c>
      <c r="E1" s="49"/>
      <c r="F1" s="49"/>
      <c r="G1" s="47" t="s">
        <v>45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4" sqref="B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46</v>
      </c>
      <c r="B1" t="s">
        <v>47</v>
      </c>
    </row>
    <row r="3" spans="1:12" ht="13.15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12" ht="14.45">
      <c r="A4" s="44" t="s">
        <v>47</v>
      </c>
      <c r="B4" t="s">
        <v>51</v>
      </c>
      <c r="C4" s="42" t="s">
        <v>52</v>
      </c>
      <c r="D4" s="41" t="s">
        <v>53</v>
      </c>
      <c r="E4" t="s">
        <v>54</v>
      </c>
      <c r="G4" s="3"/>
    </row>
    <row r="5" spans="1:12" ht="14.45">
      <c r="A5" s="44"/>
      <c r="C5" s="42"/>
      <c r="D5" s="41"/>
      <c r="G5" s="3"/>
    </row>
    <row r="6" spans="1:12" ht="14.4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1.xml>��
</file>

<file path=customXml/item12.xml>��
</file>

<file path=customXml/item13.xml>��
</file>

<file path=customXml/item14.xml>��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��
</file>

<file path=customXml/item17.xml>��
</file>

<file path=customXml/item18.xml>��
</file>

<file path=customXml/item19.xml>��
</file>

<file path=customXml/item2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A113BB-8B7A-453C-8BD4-8EFC67FC2D3F}"/>
</file>

<file path=customXml/itemProps2.xml><?xml version="1.0" encoding="utf-8"?>
<ds:datastoreItem xmlns:ds="http://schemas.openxmlformats.org/officeDocument/2006/customXml" ds:itemID="{0389C43E-394D-44C0-87DC-4780FCFCFB40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14966E4F-347B-477B-B74C-9DAC05405806}"/>
</file>

<file path=customXml/itemProps5.xml><?xml version="1.0" encoding="utf-8"?>
<ds:datastoreItem xmlns:ds="http://schemas.openxmlformats.org/officeDocument/2006/customXml" ds:itemID="{BF5C6359-7763-4C37-8EAF-2BC4698CB285}"/>
</file>

<file path=customXml/itemProps6.xml><?xml version="1.0" encoding="utf-8"?>
<ds:datastoreItem xmlns:ds="http://schemas.openxmlformats.org/officeDocument/2006/customXml" ds:itemID="{E20E8303-6A67-485C-B6F4-303542CC295C}"/>
</file>

<file path=customXml/itemProps7.xml><?xml version="1.0" encoding="utf-8"?>
<ds:datastoreItem xmlns:ds="http://schemas.openxmlformats.org/officeDocument/2006/customXml" ds:itemID="{66B09F59-6532-46F8-924A-9A02417E070D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BE26B669-A686-459C-A5E9-FEC3409C4C81}"/>
</file>

<file path=customXml/itemProps10.xml><?xml version="1.0" encoding="utf-8"?>
<ds:datastoreItem xmlns:ds="http://schemas.openxmlformats.org/officeDocument/2006/customXml" ds:itemID="{8D732231-4216-4543-A665-18A2886B0EB7}"/>
</file>

<file path=customXml/itemProps11.xml><?xml version="1.0" encoding="utf-8"?>
<ds:datastoreItem xmlns:ds="http://schemas.openxmlformats.org/officeDocument/2006/customXml" ds:itemID="{E3716282-BFD2-4ED2-BA47-BFA1123827F0}"/>
</file>

<file path=customXml/itemProps12.xml><?xml version="1.0" encoding="utf-8"?>
<ds:datastoreItem xmlns:ds="http://schemas.openxmlformats.org/officeDocument/2006/customXml" ds:itemID="{078388C9-06F9-42F4-B857-EF76B5CAF1FD}"/>
</file>

<file path=customXml/itemProps13.xml><?xml version="1.0" encoding="utf-8"?>
<ds:datastoreItem xmlns:ds="http://schemas.openxmlformats.org/officeDocument/2006/customXml" ds:itemID="{3AEAA9D8-2182-46BA-A58E-96C72DDA1C54}"/>
</file>

<file path=customXml/itemProps14.xml><?xml version="1.0" encoding="utf-8"?>
<ds:datastoreItem xmlns:ds="http://schemas.openxmlformats.org/officeDocument/2006/customXml" ds:itemID="{2BC74AAC-D69B-4AF1-9649-B21EF3C1C463}"/>
</file>

<file path=customXml/itemProps15.xml><?xml version="1.0" encoding="utf-8"?>
<ds:datastoreItem xmlns:ds="http://schemas.openxmlformats.org/officeDocument/2006/customXml" ds:itemID="{C0BCDC1E-6052-4E48-9BAF-94A40814E7C2}"/>
</file>

<file path=customXml/itemProps16.xml><?xml version="1.0" encoding="utf-8"?>
<ds:datastoreItem xmlns:ds="http://schemas.openxmlformats.org/officeDocument/2006/customXml" ds:itemID="{1954BBA4-0359-438C-B0EC-A756015F7C02}"/>
</file>

<file path=customXml/itemProps17.xml><?xml version="1.0" encoding="utf-8"?>
<ds:datastoreItem xmlns:ds="http://schemas.openxmlformats.org/officeDocument/2006/customXml" ds:itemID="{F12EFA50-0068-4A8C-85A0-F1B26389EBC3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F6B2B1A1-1C4B-4AC9-9A7D-7A102DD1C942}"/>
</file>

<file path=customXml/itemProps20.xml><?xml version="1.0" encoding="utf-8"?>
<ds:datastoreItem xmlns:ds="http://schemas.openxmlformats.org/officeDocument/2006/customXml" ds:itemID="{7946C510-7D04-49D8-9B25-EEC04582A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2024-04-15T20:10:26Z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