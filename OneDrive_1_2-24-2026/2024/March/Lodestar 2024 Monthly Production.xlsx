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9BBD20D2-A284-4783-831D-D3B1D9966B1C}" xr6:coauthVersionLast="47" xr6:coauthVersionMax="47" xr10:uidLastSave="{00000000-0000-0000-0000-000000000000}"/>
  <bookViews>
    <workbookView xWindow="-93" yWindow="-93" windowWidth="19386" windowHeight="1146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3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1" i="34" s="1"/>
  <c r="G22" i="1"/>
  <c r="G23" i="1"/>
  <c r="G24" i="1"/>
  <c r="G25" i="1"/>
  <c r="G26" i="1"/>
  <c r="G27" i="1"/>
  <c r="G28" i="1"/>
  <c r="G20" i="34"/>
  <c r="G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E21" i="1" s="1"/>
  <c r="D22" i="1"/>
  <c r="D23" i="1"/>
  <c r="D24" i="1"/>
  <c r="D25" i="1"/>
  <c r="D26" i="1"/>
  <c r="D27" i="1"/>
  <c r="D28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E22" i="1"/>
  <c r="C4" i="1"/>
  <c r="H28" i="73"/>
  <c r="I28" i="73" s="1"/>
  <c r="E28" i="73"/>
  <c r="F28" i="73" s="1"/>
  <c r="H27" i="73"/>
  <c r="I27" i="73" s="1"/>
  <c r="E27" i="73"/>
  <c r="F27" i="73" s="1"/>
  <c r="H26" i="73"/>
  <c r="I26" i="73" s="1"/>
  <c r="E26" i="73"/>
  <c r="F26" i="73" s="1"/>
  <c r="H25" i="73"/>
  <c r="I25" i="73" s="1"/>
  <c r="E25" i="73"/>
  <c r="F25" i="73" s="1"/>
  <c r="H24" i="73"/>
  <c r="I24" i="73" s="1"/>
  <c r="E24" i="73"/>
  <c r="F24" i="73" s="1"/>
  <c r="H23" i="73"/>
  <c r="I23" i="73" s="1"/>
  <c r="E23" i="73"/>
  <c r="F23" i="73" s="1"/>
  <c r="H22" i="73"/>
  <c r="I22" i="73" s="1"/>
  <c r="E22" i="73"/>
  <c r="F22" i="73" s="1"/>
  <c r="H21" i="73"/>
  <c r="I21" i="73" s="1"/>
  <c r="E21" i="73"/>
  <c r="F21" i="73" s="1"/>
  <c r="H20" i="73"/>
  <c r="I20" i="73" s="1"/>
  <c r="E20" i="73"/>
  <c r="F20" i="73" s="1"/>
  <c r="H19" i="73"/>
  <c r="I19" i="73" s="1"/>
  <c r="E19" i="73"/>
  <c r="F19" i="73" s="1"/>
  <c r="H18" i="73"/>
  <c r="I18" i="73" s="1"/>
  <c r="E18" i="73"/>
  <c r="F18" i="73" s="1"/>
  <c r="H17" i="73"/>
  <c r="I17" i="73" s="1"/>
  <c r="E17" i="73"/>
  <c r="F17" i="73" s="1"/>
  <c r="H16" i="73"/>
  <c r="I16" i="73" s="1"/>
  <c r="E16" i="73"/>
  <c r="F16" i="73" s="1"/>
  <c r="H15" i="73"/>
  <c r="I15" i="73" s="1"/>
  <c r="E15" i="73"/>
  <c r="F15" i="73" s="1"/>
  <c r="H14" i="73"/>
  <c r="I14" i="73" s="1"/>
  <c r="E14" i="73"/>
  <c r="F14" i="73" s="1"/>
  <c r="H13" i="73"/>
  <c r="I13" i="73" s="1"/>
  <c r="E13" i="73"/>
  <c r="F13" i="73" s="1"/>
  <c r="H12" i="73"/>
  <c r="I12" i="73" s="1"/>
  <c r="E12" i="73"/>
  <c r="F12" i="73" s="1"/>
  <c r="H11" i="73"/>
  <c r="I11" i="73" s="1"/>
  <c r="E11" i="73"/>
  <c r="F11" i="73" s="1"/>
  <c r="H10" i="73"/>
  <c r="I10" i="73" s="1"/>
  <c r="E10" i="73"/>
  <c r="F10" i="73" s="1"/>
  <c r="H9" i="73"/>
  <c r="I9" i="73" s="1"/>
  <c r="E9" i="73"/>
  <c r="F9" i="73" s="1"/>
  <c r="H8" i="73"/>
  <c r="I8" i="73" s="1"/>
  <c r="E8" i="73"/>
  <c r="F8" i="73" s="1"/>
  <c r="H7" i="73"/>
  <c r="I7" i="73" s="1"/>
  <c r="E7" i="73"/>
  <c r="F7" i="73" s="1"/>
  <c r="H6" i="73"/>
  <c r="I6" i="73" s="1"/>
  <c r="E6" i="73"/>
  <c r="F6" i="73" s="1"/>
  <c r="H5" i="73"/>
  <c r="I5" i="73" s="1"/>
  <c r="E5" i="73"/>
  <c r="F5" i="73" s="1"/>
  <c r="H4" i="73"/>
  <c r="I4" i="73" s="1"/>
  <c r="E4" i="73"/>
  <c r="F4" i="73" s="1"/>
  <c r="B4" i="73" a="1"/>
  <c r="B4" i="73" s="1"/>
  <c r="A4" i="73" a="1"/>
  <c r="A4" i="73" s="1"/>
  <c r="G2" i="73"/>
  <c r="D2" i="73"/>
  <c r="C2" i="73"/>
  <c r="J2" i="73" s="1"/>
  <c r="A1" i="73" a="1"/>
  <c r="A1" i="73" s="1"/>
  <c r="G22" i="34"/>
  <c r="G23" i="34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F18" i="4"/>
  <c r="F20" i="4"/>
  <c r="E15" i="4"/>
  <c r="F15" i="4" s="1"/>
  <c r="E16" i="4"/>
  <c r="F16" i="4" s="1"/>
  <c r="E17" i="4"/>
  <c r="F17" i="4" s="1"/>
  <c r="E18" i="4"/>
  <c r="E19" i="4"/>
  <c r="F19" i="4" s="1"/>
  <c r="E20" i="4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F18" i="3"/>
  <c r="F19" i="3"/>
  <c r="F20" i="3"/>
  <c r="F21" i="3"/>
  <c r="F22" i="3"/>
  <c r="F23" i="3"/>
  <c r="F24" i="3"/>
  <c r="F25" i="3"/>
  <c r="F26" i="3"/>
  <c r="F27" i="3"/>
  <c r="F28" i="3"/>
  <c r="I18" i="3"/>
  <c r="I19" i="3"/>
  <c r="I20" i="3"/>
  <c r="I21" i="3"/>
  <c r="I22" i="3"/>
  <c r="I23" i="3"/>
  <c r="I24" i="3"/>
  <c r="I25" i="3"/>
  <c r="I26" i="3"/>
  <c r="I27" i="3"/>
  <c r="I28" i="3"/>
  <c r="H18" i="3"/>
  <c r="H19" i="3"/>
  <c r="H20" i="3"/>
  <c r="H21" i="3"/>
  <c r="H22" i="3"/>
  <c r="H23" i="3"/>
  <c r="H24" i="3"/>
  <c r="H25" i="3"/>
  <c r="H26" i="3"/>
  <c r="H27" i="3"/>
  <c r="H28" i="3"/>
  <c r="H15" i="3"/>
  <c r="I15" i="3" s="1"/>
  <c r="H16" i="3"/>
  <c r="I16" i="3" s="1"/>
  <c r="H17" i="3"/>
  <c r="I17" i="3" s="1"/>
  <c r="E15" i="3"/>
  <c r="F15" i="3" s="1"/>
  <c r="E16" i="3"/>
  <c r="F16" i="3" s="1"/>
  <c r="E17" i="3"/>
  <c r="F17" i="3" s="1"/>
  <c r="E18" i="3"/>
  <c r="E19" i="3"/>
  <c r="E20" i="3"/>
  <c r="E21" i="3"/>
  <c r="E22" i="3"/>
  <c r="E23" i="3"/>
  <c r="E24" i="3"/>
  <c r="E25" i="3"/>
  <c r="E26" i="3"/>
  <c r="E27" i="3"/>
  <c r="E28" i="3"/>
  <c r="C18" i="29"/>
  <c r="D18" i="29"/>
  <c r="H18" i="29"/>
  <c r="I18" i="29" s="1"/>
  <c r="C19" i="29"/>
  <c r="D19" i="29"/>
  <c r="H19" i="29"/>
  <c r="I19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26" i="29"/>
  <c r="D26" i="29"/>
  <c r="H26" i="29"/>
  <c r="I26" i="29" s="1"/>
  <c r="C27" i="29"/>
  <c r="D27" i="29"/>
  <c r="H27" i="29"/>
  <c r="I27" i="29" s="1"/>
  <c r="C28" i="29"/>
  <c r="D28" i="29"/>
  <c r="H28" i="29"/>
  <c r="I28" i="29" s="1"/>
  <c r="C17" i="18"/>
  <c r="E17" i="18" s="1"/>
  <c r="F17" i="18" s="1"/>
  <c r="D17" i="18"/>
  <c r="C18" i="18"/>
  <c r="D18" i="18"/>
  <c r="H18" i="18"/>
  <c r="I18" i="18" s="1"/>
  <c r="C19" i="18"/>
  <c r="D19" i="18"/>
  <c r="H19" i="18"/>
  <c r="I19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26" i="18"/>
  <c r="D26" i="18"/>
  <c r="H26" i="18"/>
  <c r="I26" i="18" s="1"/>
  <c r="C27" i="18"/>
  <c r="D27" i="18"/>
  <c r="H27" i="18"/>
  <c r="I27" i="18" s="1"/>
  <c r="C28" i="18"/>
  <c r="D28" i="18"/>
  <c r="H28" i="18"/>
  <c r="I28" i="18" s="1"/>
  <c r="I20" i="34" l="1"/>
  <c r="I21" i="34"/>
  <c r="I22" i="34"/>
  <c r="E20" i="1"/>
  <c r="E21" i="34"/>
  <c r="F21" i="34" s="1"/>
  <c r="E20" i="34"/>
  <c r="F20" i="34" s="1"/>
  <c r="E22" i="34"/>
  <c r="F22" i="34" s="1"/>
  <c r="E2" i="73"/>
  <c r="F2" i="73" s="1"/>
  <c r="H2" i="73"/>
  <c r="I2" i="73" s="1"/>
  <c r="E18" i="29"/>
  <c r="F18" i="29" s="1"/>
  <c r="E23" i="18"/>
  <c r="F23" i="18" s="1"/>
  <c r="E26" i="34"/>
  <c r="F26" i="34" s="1"/>
  <c r="E25" i="34"/>
  <c r="F25" i="34" s="1"/>
  <c r="E19" i="34"/>
  <c r="F19" i="34" s="1"/>
  <c r="E26" i="29"/>
  <c r="F26" i="29" s="1"/>
  <c r="E23" i="29"/>
  <c r="F23" i="29" s="1"/>
  <c r="E28" i="29"/>
  <c r="F28" i="29" s="1"/>
  <c r="E25" i="29"/>
  <c r="F25" i="29" s="1"/>
  <c r="E27" i="29"/>
  <c r="F27" i="29" s="1"/>
  <c r="E24" i="29"/>
  <c r="F24" i="29" s="1"/>
  <c r="E19" i="29"/>
  <c r="F19" i="29" s="1"/>
  <c r="E27" i="18"/>
  <c r="F27" i="18" s="1"/>
  <c r="E25" i="18"/>
  <c r="F25" i="18" s="1"/>
  <c r="E19" i="18"/>
  <c r="F19" i="18" s="1"/>
  <c r="E18" i="18"/>
  <c r="F18" i="18" s="1"/>
  <c r="E28" i="18"/>
  <c r="F28" i="18" s="1"/>
  <c r="E26" i="18"/>
  <c r="F26" i="18" s="1"/>
  <c r="E24" i="18"/>
  <c r="F24" i="18" s="1"/>
  <c r="E18" i="34"/>
  <c r="F18" i="34" s="1"/>
  <c r="E24" i="34"/>
  <c r="F24" i="34" s="1"/>
  <c r="E28" i="34"/>
  <c r="F28" i="34" s="1"/>
  <c r="E23" i="34"/>
  <c r="F23" i="34" s="1"/>
  <c r="E27" i="34"/>
  <c r="F27" i="34" s="1"/>
  <c r="G18" i="34"/>
  <c r="G19" i="34"/>
  <c r="G24" i="34"/>
  <c r="G25" i="34"/>
  <c r="G27" i="34"/>
  <c r="G28" i="34"/>
  <c r="C28" i="30"/>
  <c r="D28" i="30"/>
  <c r="H28" i="30"/>
  <c r="I28" i="30" s="1"/>
  <c r="C18" i="30"/>
  <c r="D18" i="30"/>
  <c r="H18" i="30"/>
  <c r="I18" i="30" s="1"/>
  <c r="C19" i="30"/>
  <c r="D19" i="30"/>
  <c r="H19" i="30"/>
  <c r="I19" i="30" s="1"/>
  <c r="C23" i="30"/>
  <c r="D23" i="30"/>
  <c r="H23" i="30"/>
  <c r="I23" i="30" s="1"/>
  <c r="C24" i="30"/>
  <c r="D24" i="30"/>
  <c r="H24" i="30"/>
  <c r="I24" i="30" s="1"/>
  <c r="C25" i="30"/>
  <c r="D25" i="30"/>
  <c r="H25" i="30"/>
  <c r="I25" i="30" s="1"/>
  <c r="C26" i="30"/>
  <c r="D26" i="30"/>
  <c r="H26" i="30"/>
  <c r="I26" i="30" s="1"/>
  <c r="C27" i="30"/>
  <c r="D27" i="30"/>
  <c r="H27" i="30"/>
  <c r="I27" i="30" s="1"/>
  <c r="C16" i="30"/>
  <c r="D16" i="30"/>
  <c r="E16" i="30"/>
  <c r="F16" i="30"/>
  <c r="C17" i="30"/>
  <c r="D17" i="30"/>
  <c r="C16" i="29"/>
  <c r="D16" i="29"/>
  <c r="C17" i="29"/>
  <c r="D17" i="29"/>
  <c r="C16" i="18"/>
  <c r="E16" i="18" s="1"/>
  <c r="F16" i="18" s="1"/>
  <c r="D16" i="18"/>
  <c r="G16" i="34"/>
  <c r="G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34"/>
  <c r="G7" i="34"/>
  <c r="G8" i="34"/>
  <c r="G9" i="34"/>
  <c r="G10" i="34"/>
  <c r="G11" i="34"/>
  <c r="G12" i="34"/>
  <c r="G13" i="34"/>
  <c r="G14" i="34"/>
  <c r="G15" i="34"/>
  <c r="G5" i="34"/>
  <c r="G4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E13" i="30" s="1"/>
  <c r="F13" i="30" s="1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D12" i="18"/>
  <c r="C12" i="18"/>
  <c r="D11" i="18"/>
  <c r="C11" i="18"/>
  <c r="D10" i="18"/>
  <c r="C10" i="18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23" i="34" l="1"/>
  <c r="E6" i="18"/>
  <c r="F6" i="18" s="1"/>
  <c r="E12" i="18"/>
  <c r="F12" i="18" s="1"/>
  <c r="E6" i="29"/>
  <c r="F6" i="29" s="1"/>
  <c r="E12" i="29"/>
  <c r="F12" i="29" s="1"/>
  <c r="E6" i="30"/>
  <c r="F6" i="30" s="1"/>
  <c r="E12" i="30"/>
  <c r="F12" i="30" s="1"/>
  <c r="E23" i="30"/>
  <c r="F23" i="30" s="1"/>
  <c r="E16" i="29"/>
  <c r="F16" i="29" s="1"/>
  <c r="E11" i="30"/>
  <c r="F11" i="30" s="1"/>
  <c r="I17" i="1"/>
  <c r="E15" i="30"/>
  <c r="F15" i="30" s="1"/>
  <c r="E17" i="30"/>
  <c r="F17" i="30" s="1"/>
  <c r="I16" i="1"/>
  <c r="D4" i="34"/>
  <c r="D2" i="34" s="1"/>
  <c r="E9" i="18"/>
  <c r="F9" i="18" s="1"/>
  <c r="E15" i="18"/>
  <c r="F15" i="18" s="1"/>
  <c r="E9" i="29"/>
  <c r="F9" i="29" s="1"/>
  <c r="E9" i="30"/>
  <c r="F9" i="30" s="1"/>
  <c r="E26" i="1"/>
  <c r="F26" i="1" s="1"/>
  <c r="E13" i="29"/>
  <c r="F13" i="29" s="1"/>
  <c r="E17" i="29"/>
  <c r="F17" i="29" s="1"/>
  <c r="H9" i="29"/>
  <c r="I9" i="29" s="1"/>
  <c r="H15" i="29"/>
  <c r="I15" i="29" s="1"/>
  <c r="D2" i="18"/>
  <c r="E4" i="18"/>
  <c r="F4" i="18" s="1"/>
  <c r="E10" i="18"/>
  <c r="F10" i="18" s="1"/>
  <c r="E10" i="29"/>
  <c r="F10" i="29" s="1"/>
  <c r="E4" i="30"/>
  <c r="F4" i="30" s="1"/>
  <c r="E10" i="30"/>
  <c r="F10" i="30" s="1"/>
  <c r="H6" i="29"/>
  <c r="I6" i="29" s="1"/>
  <c r="D2" i="29"/>
  <c r="H10" i="29"/>
  <c r="I10" i="29" s="1"/>
  <c r="H16" i="18"/>
  <c r="I16" i="18" s="1"/>
  <c r="H13" i="29"/>
  <c r="I13" i="29" s="1"/>
  <c r="I10" i="27"/>
  <c r="E7" i="18"/>
  <c r="F7" i="18" s="1"/>
  <c r="E13" i="18"/>
  <c r="F13" i="18" s="1"/>
  <c r="H6" i="30"/>
  <c r="I6" i="30" s="1"/>
  <c r="E24" i="30"/>
  <c r="F24" i="30" s="1"/>
  <c r="E28" i="30"/>
  <c r="F28" i="30" s="1"/>
  <c r="E19" i="30"/>
  <c r="F19" i="30" s="1"/>
  <c r="E27" i="1"/>
  <c r="F27" i="1" s="1"/>
  <c r="I13" i="27"/>
  <c r="E5" i="18"/>
  <c r="F5" i="18" s="1"/>
  <c r="E11" i="18"/>
  <c r="F11" i="18" s="1"/>
  <c r="E5" i="29"/>
  <c r="F5" i="29" s="1"/>
  <c r="E11" i="29"/>
  <c r="F11" i="29" s="1"/>
  <c r="E5" i="30"/>
  <c r="F5" i="30" s="1"/>
  <c r="I17" i="21"/>
  <c r="H17" i="18"/>
  <c r="I17" i="18" s="1"/>
  <c r="H16" i="29"/>
  <c r="I16" i="29" s="1"/>
  <c r="H7" i="29"/>
  <c r="I7" i="29" s="1"/>
  <c r="H16" i="30"/>
  <c r="I16" i="30" s="1"/>
  <c r="H12" i="29"/>
  <c r="I12" i="29" s="1"/>
  <c r="H17" i="29"/>
  <c r="I17" i="29" s="1"/>
  <c r="H17" i="30"/>
  <c r="I17" i="30" s="1"/>
  <c r="E24" i="1"/>
  <c r="F24" i="1" s="1"/>
  <c r="I28" i="34"/>
  <c r="I27" i="34"/>
  <c r="I27" i="1"/>
  <c r="I25" i="34"/>
  <c r="I24" i="34"/>
  <c r="I28" i="1"/>
  <c r="I26" i="1"/>
  <c r="I24" i="1"/>
  <c r="I19" i="34"/>
  <c r="I18" i="34"/>
  <c r="E27" i="30"/>
  <c r="F27" i="30" s="1"/>
  <c r="E26" i="30"/>
  <c r="F26" i="30" s="1"/>
  <c r="E25" i="30"/>
  <c r="F25" i="30" s="1"/>
  <c r="E18" i="30"/>
  <c r="F18" i="30" s="1"/>
  <c r="I25" i="1"/>
  <c r="E19" i="1"/>
  <c r="F19" i="1" s="1"/>
  <c r="I18" i="1"/>
  <c r="E18" i="1"/>
  <c r="F18" i="1" s="1"/>
  <c r="I23" i="1"/>
  <c r="G26" i="34"/>
  <c r="E25" i="1"/>
  <c r="F25" i="1" s="1"/>
  <c r="E23" i="1"/>
  <c r="F23" i="1" s="1"/>
  <c r="E28" i="1"/>
  <c r="F28" i="1" s="1"/>
  <c r="I19" i="1"/>
  <c r="D2" i="30"/>
  <c r="E16" i="34"/>
  <c r="F16" i="34" s="1"/>
  <c r="E17" i="1"/>
  <c r="F17" i="1" s="1"/>
  <c r="E17" i="34"/>
  <c r="F17" i="34" s="1"/>
  <c r="E16" i="1"/>
  <c r="F16" i="1" s="1"/>
  <c r="I16" i="34"/>
  <c r="I17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I6" i="34"/>
  <c r="I7" i="34"/>
  <c r="I8" i="34"/>
  <c r="I5" i="34"/>
  <c r="I9" i="34"/>
  <c r="I10" i="34"/>
  <c r="I11" i="34"/>
  <c r="I12" i="34"/>
  <c r="I13" i="34"/>
  <c r="I14" i="34"/>
  <c r="I15" i="34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I7" i="1"/>
  <c r="I5" i="1"/>
  <c r="I15" i="1"/>
  <c r="I12" i="1"/>
  <c r="I11" i="1"/>
  <c r="I10" i="1"/>
  <c r="I6" i="1"/>
  <c r="C2" i="1"/>
  <c r="E2" i="3"/>
  <c r="F2" i="3" s="1"/>
  <c r="E4" i="1"/>
  <c r="F4" i="1" s="1"/>
  <c r="I14" i="1"/>
  <c r="I13" i="1"/>
  <c r="I9" i="1"/>
  <c r="I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E4" i="34" l="1"/>
  <c r="F4" i="34" s="1"/>
  <c r="E2" i="29"/>
  <c r="F2" i="29" s="1"/>
  <c r="I26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<sst xmlns="http://schemas.openxmlformats.org/spreadsheetml/2006/main" count="444" uniqueCount="155">
  <si>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</si>
  <si>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</si>
  <si>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</si>
  <si>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</si>
  <si>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</si>
  <si>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</si>
  <si>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</si>
  <si>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</si>
  <si>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</si>
  <si>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</si>
  <si>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</si>
  <si>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</si>
  <si>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</si>
  <si>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</si>
  <si>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</si>
  <si>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</si>
  <si>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</si>
  <si>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</si>
  <si>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March Actual v. Expected</t>
  </si>
  <si>
    <t>March Actual v. Forecasted</t>
  </si>
  <si>
    <t>Notes</t>
  </si>
  <si>
    <t>Service Requests</t>
  </si>
  <si>
    <t/>
  </si>
  <si>
    <t>1. Inverter 1 started at 14:00 on 01/05.
2. Inverter 1 offline on 01/07 and resolved on 01/10  and reporting Bus Differential High Fault - Fault 0110.
2.  inverter 4 is currently offline on 01/07 and resolved on 01/09 and reporting Bus Differential High Fault - Fault 0110.
3. Inverters 1, 4 and 11 are offline on 01/13 and resolved on 01/14 due to "Bus differential high fault".
4.  Inverter 11 is offline on 01/13 resolved on 01/19 due to Bus differential fault.
5. Inverter 11 is offline from 01/19  due to Bus differential fault.</t>
  </si>
  <si>
    <t>1. SR079979
2.  SR080049
3. SR080194
4. SR080314
5. SR080441</t>
  </si>
  <si>
    <t>1.Inverters 61 to 64 have tripped offline at 11:15am on 01/01 and resolved next day
2.Inverters 61 to 64 have tripped offline at 11:15am on 01/15 and resolved next day
3.Inverter 48 was offline due to "Bus sum high" fault on 01/27 and RMA'd</t>
  </si>
  <si>
    <t>1.SR079853
2.SR080230
3.SR080522</t>
  </si>
  <si>
    <t>1.Inverter 1 is offline and reporting "Excessive Leakage Current" from 01/01 to 01/15
2.Inverter 5 is offline and reporting "Internal hardware failure" on 01/22 and back online next day
3.Inverter 1 is offline and reporting "Excessive Leakage Current from 01/25 and still offline</t>
  </si>
  <si>
    <t>1.SR078505
2.SR080384	
3.SR080614</t>
  </si>
  <si>
    <t xml:space="preserve"> </t>
  </si>
  <si>
    <t>1.Site tripped offline on 01/16 at 19:15 and autoreclosed at 19:30
2. CB 1.8 on DAS, (CB 10 onsite) was offline from 01/23 to 02/01.</t>
  </si>
  <si>
    <t>1.SR080271	
2.SR080413</t>
  </si>
  <si>
    <t xml:space="preserve">1.Site was tripped offline from 12/22/2023 to 01/10/2024 and again tripped offline on the same day and still offline
</t>
  </si>
  <si>
    <t xml:space="preserve">1.SR080143
</t>
  </si>
  <si>
    <t>1.Inverters 20,24,25 and 26 came back online on 01/25</t>
  </si>
  <si>
    <t>1.SR077715</t>
  </si>
  <si>
    <t>1.Site was offline at around 6:30am and later back online at 19:15 due to planned outage
2.Site was offline from 01/12 till 01/26 due to planned outage.</t>
  </si>
  <si>
    <t xml:space="preserve">1.SR080613
2.SR080117	</t>
  </si>
  <si>
    <t>1.Site has a brief outage and later auto reclosed.</t>
  </si>
  <si>
    <t>1.SR080569</t>
  </si>
  <si>
    <t>1.Inverter 11 tripped offline on an arc fault on 01/31 at EOD and back online next day.</t>
  </si>
  <si>
    <t>1.SR080631</t>
  </si>
  <si>
    <t>1. Site tripped offline at 10:05 am on 01/05 and back online at 7:00 Am  on 01/06.
2. Inverter 29 started late for the production on 01/15, 01/17 and 01/20
3. Inverter was 25 tripped offline on 01/22  and back online 02/06.
4. Site has a brief outage and later self resolved on 01/29</t>
  </si>
  <si>
    <t>1.SR079976
2.SR080227
3.SR080394
4.SR080570</t>
  </si>
  <si>
    <t>February Actual v. Expected</t>
  </si>
  <si>
    <t>February Actual v. Forecasted</t>
  </si>
  <si>
    <t xml:space="preserve">1. Inverter 48 was offline from 01/27 &amp; back online on 02/07 after replacement of inverter. 
2. Inverter 36 is offline from 08:00 to 14:45 on 02/24, offline on 02/28 &amp; back online on 02/29. 
3. Inverter 49 is offline on 02/26 &amp; RMA'd. </t>
  </si>
  <si>
    <t>1.SR080522
2. SR081051
3.SR081326</t>
  </si>
  <si>
    <t>1. SEL relay tripped open due to drop in B phase Voltage. Battery mode activate from 02/15 at 13:15 and back online on 02/18 at 09:00
2.  After site came back online on 02/18, Inverter 2 Combiner boxes  2.15 and 2.16 offline and back onlline at 11:30</t>
  </si>
  <si>
    <t>1. 	SR081008
2.  SR081084</t>
  </si>
  <si>
    <t>1.Site was tripped offline from 12/22/2023 to 01/10/2024 and again tripped offline on the same day and still offline</t>
  </si>
  <si>
    <t>1. .SR080143</t>
  </si>
  <si>
    <t>1. Inverter 4 offline  due to isolation fault on 02/24  and back online at EOD</t>
  </si>
  <si>
    <t>1. SR081293</t>
  </si>
  <si>
    <t>1. Inverter 55 tripped offline 02/02 at 11:30 and back online on 022/03 and again offline from 02/14 and back online on 02/06
2.  Utility planned outage from 02/25 to 02/28</t>
  </si>
  <si>
    <t>1. SR080677
2. SR081010</t>
  </si>
  <si>
    <t>1. planned outage from 01/31 to 02/09
2. Planned outage on 2/29/24</t>
  </si>
  <si>
    <t>2. SR081024</t>
  </si>
  <si>
    <t>1. planned outage from 02/25 to 02/28</t>
  </si>
  <si>
    <t>1. SR081011</t>
  </si>
  <si>
    <t>1. SR081012</t>
  </si>
  <si>
    <t>1. Site tripped offline on 02/17/2024 at 10:45AM and later back online on 02/18/2024 at 07:45AM.
2. Inverters 2 to 6, 8, 10 to 19, 21 to 32 are tripped offline on 02/22/2024 at 12:15 and later back online on 02/22/2024 at 16:15
3. Inverters 2, 3, 5, 8, 15, 23, 27 and 28 are tripped offline 02/26/2024 at 13:30 and later back online on 02/26/2024 at 14:15</t>
  </si>
  <si>
    <t>1. 	SR081075
2. SR081200
3. 	SR081338</t>
  </si>
  <si>
    <t>1. Inverters 1, 2, 8, 9, 10, 14, 15, 22, 23, 24, 25, 27, and 30 having tripping events on 02/03/2024, 02/04/2024 and 02/05/2024.
2. Inverters 1, 4-6, 9, 11-13, 16, 17, 20, 22, 24, and 29 are offline on 02/22/2024 at 12:15 and later back online on 02/22/2024 at 16:15</t>
  </si>
  <si>
    <t>1. SR080710
2. 	SR081201</t>
  </si>
  <si>
    <t>1. Site tripped offline on 03/08 and back online on 03/09 and again the site is offline on 03/11 and back online on 03/12.</t>
  </si>
  <si>
    <t>1. SR081731</t>
  </si>
  <si>
    <t>1. Inverter 25 is offline on 03/06 and back online on 03/07
2. Inverter 16 is offline on 03/11 and back online on 03/21</t>
  </si>
  <si>
    <t>1. SR081597
2. SR081757</t>
  </si>
  <si>
    <t>1. Inverter 49 is offline from 03/01 to 03/21</t>
  </si>
  <si>
    <t>1. SR082215</t>
  </si>
  <si>
    <t>1. Site was offline from 10:05AM to 10:36AM on 03/19.
2. Inverter 6 tripped offline on 03/10 and back online on 03/21.</t>
  </si>
  <si>
    <t>1. SR082098
2. SR081729</t>
  </si>
  <si>
    <t>1. Site was offline for whole month.</t>
  </si>
  <si>
    <t>1. SR082823</t>
  </si>
  <si>
    <t>1. Inverter 5 was offline from 11/07 to 03/25. Inverter 3 is offline since 11/07</t>
  </si>
  <si>
    <t>1. SR078016</t>
  </si>
  <si>
    <t>1. Inverter 23 tripped offline on 03/30 and inverter 25 is offline on 03/31.</t>
  </si>
  <si>
    <t>1. SR082932</t>
  </si>
  <si>
    <t>1. Inverter 13 is underproducing 100kW down compared to its peers since 03/15</t>
  </si>
  <si>
    <t>1. SR081967</t>
  </si>
  <si>
    <t>1. Inverters 5, 23, and 27 tripped offline on 03817 at 13:15 and back online at 14:45  and again all inverters except inverter 7 tripped offline at 15:45 and back online at 17:15
2. inverters 2, 3, 5, 8, 15, 23, and 27 have tripped offline on 03/02 and back online on 03/03.</t>
  </si>
  <si>
    <t>1. SR081969
2. SR081519</t>
  </si>
  <si>
    <t>1. All the inverters have tripped offline on 03/17 at 15:45 and back online at 17:15 and inverters 1-6, 8,10 -13, 15- 17, 21, 23, 24,28 and 29 tripped offline on 03/24 at 11:00 and back online at 17:15 and again Inverters 1,2,8,9, 11-13,15,17,20,24,25,28,29 tripped offline on 03/30 at 8:45 and back online at 10:30</t>
  </si>
  <si>
    <t>1. 	SR081977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</si>
  <si>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</si>
  <si>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</si>
  <si>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</si>
  <si>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</si>
  <si>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</si>
  <si>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</si>
  <si>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</si>
  <si>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</si>
  <si>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</si>
  <si>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</si>
  <si>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</si>
  <si>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</si>
  <si>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</si>
  <si>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</si>
  <si>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</si>
  <si>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</si>
  <si>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</si>
  <si>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</si>
  <si>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</si>
  <si>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Lodestar</t>
  </si>
  <si>
    <t>Site DAS Name</t>
  </si>
  <si>
    <t>Update</t>
  </si>
  <si>
    <t>DAS</t>
  </si>
  <si>
    <t>Barkhamsted Solar</t>
  </si>
  <si>
    <t>Barkhamsted</t>
  </si>
  <si>
    <t>CT</t>
  </si>
  <si>
    <t>AEF</t>
  </si>
  <si>
    <t>PowerTrack</t>
  </si>
  <si>
    <t>Bunce Solar</t>
  </si>
  <si>
    <t>Bunce</t>
  </si>
  <si>
    <t>Norcap North</t>
  </si>
  <si>
    <t>Norcap South</t>
  </si>
  <si>
    <t>Platt Hill</t>
  </si>
  <si>
    <t>Powder Hill</t>
  </si>
  <si>
    <t>Sand Road Solar</t>
  </si>
  <si>
    <t>Sand Road</t>
  </si>
  <si>
    <t>Suffield Solar</t>
  </si>
  <si>
    <t>Suffield</t>
  </si>
  <si>
    <t>Ashby-Duffy</t>
  </si>
  <si>
    <t>MA</t>
  </si>
  <si>
    <t>Ashland Solar</t>
  </si>
  <si>
    <t>Ashland</t>
  </si>
  <si>
    <t>Barrington Fairgrounds</t>
  </si>
  <si>
    <t>Barrington</t>
  </si>
  <si>
    <t>MA: Bedford - 205 Burlington Rd</t>
  </si>
  <si>
    <t>Bedford - 205 Burlington Rd</t>
  </si>
  <si>
    <t>GPM</t>
  </si>
  <si>
    <t>MA: Billerica: 6 Cook Street</t>
  </si>
  <si>
    <t>Billerica - 6 Cook Street</t>
  </si>
  <si>
    <t>MA: Billerica - 780 Boston Road</t>
  </si>
  <si>
    <t>Billerica - 780 Boston Road</t>
  </si>
  <si>
    <t>Cheshire Solar</t>
  </si>
  <si>
    <t>Cheshire</t>
  </si>
  <si>
    <t>Lilly Lane (N-4)</t>
  </si>
  <si>
    <t>Lilly Lane</t>
  </si>
  <si>
    <t>Monument Valley</t>
  </si>
  <si>
    <t>Nationwide</t>
  </si>
  <si>
    <t>Pulpit Hill</t>
  </si>
  <si>
    <t>MA: Sandwich - 9 Victory Drive Solar</t>
  </si>
  <si>
    <t>Sandwich</t>
  </si>
  <si>
    <t>Sturbridge Barn (N-3)</t>
  </si>
  <si>
    <t>Sturbridge Barn</t>
  </si>
  <si>
    <t>Sturbridge Garage (R-2)</t>
  </si>
  <si>
    <t>Sturbridge Garage</t>
  </si>
  <si>
    <t>Halsey Valley</t>
  </si>
  <si>
    <t>NY</t>
  </si>
  <si>
    <t>Hunt Creek Solar</t>
  </si>
  <si>
    <t>Hunt Creek</t>
  </si>
  <si>
    <t>Smith Creek Solar</t>
  </si>
  <si>
    <t>Smith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</si>
</sst>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" fillId="0" borderId="0" xfId="0" applyFont="1"/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8" totalsRowShown="0">
  <autoFilter ref="A3:E2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5"/>
  <sheetViews>
    <sheetView workbookViewId="0">
      <pane xSplit="2" ySplit="3" topLeftCell="C4" activePane="bottomRight" state="frozen"/>
      <selection pane="bottomRight" activeCell="K19" sqref="K1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Lodestar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5">
        <f>SUM(C4:C103)</f>
        <v>14295976.444221105</v>
      </c>
      <c r="D2" s="5">
        <f>SUM(D4:D103)</f>
        <v>14622211.350000001</v>
      </c>
      <c r="E2" s="5">
        <f>C2-D2</f>
        <v>-326234.90577889606</v>
      </c>
      <c r="F2" s="6">
        <f>IFERROR(E2/D2, 0)</f>
        <v>-2.2310914400706979E-2</v>
      </c>
      <c r="G2" s="5">
        <f>SUM(G4:G103)</f>
        <v>13577124.93</v>
      </c>
      <c r="H2" s="7">
        <f>C2-G2</f>
        <v>718851.51422110572</v>
      </c>
      <c r="I2" s="6">
        <f>IFERROR(H2/G2, 0)</f>
        <v>5.2945783288237423E-2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:A28">Sites[Site]</f>
        <v>Barkhamsted</v>
      </c>
      <c r="B4" s="9" t="str" cm="1">
        <f t="array" ref="B4:B28">Sites[State]</f>
        <v>CT</v>
      </c>
      <c r="C4" s="24">
        <f>SUM('1st Qtr'!C4, '2nd Qtr'!C4, '3rd Qtr'!C4, '4th Qtr'!C4)</f>
        <v>331357</v>
      </c>
      <c r="D4" s="13">
        <f>SUM('1st Qtr'!D4, '2nd Qtr'!D4, '3rd Qtr'!D4, '4th Qtr'!D4)</f>
        <v>391097.81</v>
      </c>
      <c r="E4" s="13">
        <f>IF(AND(ISNUMBER(C4),ISNUMBER(D4)), C4-D4, "")</f>
        <v>-59740.81</v>
      </c>
      <c r="F4" s="14">
        <f>IFERROR(E4/D4, "")</f>
        <v>-0.1527515840602636</v>
      </c>
      <c r="G4" s="15">
        <f>SUM('1st Qtr'!G4, '2nd Qtr'!G4, '3rd Qtr'!G4, '4th Qtr'!G4)</f>
        <v>378859.37</v>
      </c>
      <c r="H4" s="15">
        <f>SUM('1st Qtr'!H4, '2nd Qtr'!H4, '3rd Qtr'!H4, '4th Qtr'!H4)</f>
        <v>-47502.37000000001</v>
      </c>
      <c r="I4" s="16">
        <f>IFERROR(H4/G4, "")</f>
        <v>-0.12538259249071762</v>
      </c>
    </row>
    <row r="5" spans="1:9" ht="15.75">
      <c r="A5" s="17" t="str">
        <v>Bunce</v>
      </c>
      <c r="B5" s="10" t="str">
        <v>CT</v>
      </c>
      <c r="C5" s="11">
        <f>SUM('1st Qtr'!C5, '2nd Qtr'!C5, '3rd Qtr'!C5, '4th Qtr'!C5)</f>
        <v>589639.25</v>
      </c>
      <c r="D5" s="18">
        <f>SUM('1st Qtr'!D5, '2nd Qtr'!D5, '3rd Qtr'!D5, '4th Qtr'!D5)</f>
        <v>643231.5</v>
      </c>
      <c r="E5" s="18">
        <f t="shared" ref="E5:E15" si="0">IF(AND(ISNUMBER(C5),ISNUMBER(D5)), C5-D5, "")</f>
        <v>-53592.25</v>
      </c>
      <c r="F5" s="19">
        <f>IFERROR(E5/D5, "")</f>
        <v>-8.3317203837187701E-2</v>
      </c>
      <c r="G5" s="20">
        <f>SUM('1st Qtr'!G5, '2nd Qtr'!G5, '3rd Qtr'!G5, '4th Qtr'!G5)</f>
        <v>0</v>
      </c>
      <c r="H5" s="20">
        <f>SUM('1st Qtr'!H5, '2nd Qtr'!H5, '3rd Qtr'!H5, '4th Qtr'!H5)</f>
        <v>589639.25</v>
      </c>
      <c r="I5" s="19" t="str">
        <f>IFERROR(H5/G5, "")</f>
        <v/>
      </c>
    </row>
    <row r="6" spans="1:9" ht="15.75">
      <c r="A6" s="12" t="str">
        <v>Norcap North</v>
      </c>
      <c r="B6" s="9" t="str">
        <v>CT</v>
      </c>
      <c r="C6" s="24">
        <f>SUM('1st Qtr'!C6, '2nd Qtr'!C6, '3rd Qtr'!C6, '4th Qtr'!C6)</f>
        <v>642155</v>
      </c>
      <c r="D6" s="13">
        <f>SUM('1st Qtr'!D6, '2nd Qtr'!D6, '3rd Qtr'!D6, '4th Qtr'!D6)</f>
        <v>816049.60000000009</v>
      </c>
      <c r="E6" s="13">
        <f t="shared" si="0"/>
        <v>-173894.60000000009</v>
      </c>
      <c r="F6" s="14">
        <f t="shared" ref="F6:F15" si="1">IFERROR(E6/D6, "")</f>
        <v>-0.21309317472859501</v>
      </c>
      <c r="G6" s="15">
        <f>SUM('1st Qtr'!G6, '2nd Qtr'!G6, '3rd Qtr'!G6, '4th Qtr'!G6)</f>
        <v>700223.8</v>
      </c>
      <c r="H6" s="15">
        <f>SUM('1st Qtr'!H6, '2nd Qtr'!H6, '3rd Qtr'!H6, '4th Qtr'!H6)</f>
        <v>-58068.799999999988</v>
      </c>
      <c r="I6" s="16">
        <f t="shared" ref="I6:I15" si="2">IFERROR(H6/G6, "")</f>
        <v>-8.2928915012600232E-2</v>
      </c>
    </row>
    <row r="7" spans="1:9" ht="15.75">
      <c r="A7" s="17" t="str">
        <v>Norcap South</v>
      </c>
      <c r="B7" s="10" t="str">
        <v>CT</v>
      </c>
      <c r="C7" s="11">
        <f>SUM('1st Qtr'!C7, '2nd Qtr'!C7, '3rd Qtr'!C7, '4th Qtr'!C7)</f>
        <v>665333.5</v>
      </c>
      <c r="D7" s="18">
        <f>SUM('1st Qtr'!D7, '2nd Qtr'!D7, '3rd Qtr'!D7, '4th Qtr'!D7)</f>
        <v>894303.9</v>
      </c>
      <c r="E7" s="18">
        <f t="shared" si="0"/>
        <v>-228970.40000000002</v>
      </c>
      <c r="F7" s="19">
        <f t="shared" si="1"/>
        <v>-0.25603198196944016</v>
      </c>
      <c r="G7" s="20">
        <f>SUM('1st Qtr'!G7, '2nd Qtr'!G7, '3rd Qtr'!G7, '4th Qtr'!G7)</f>
        <v>659879.89999999991</v>
      </c>
      <c r="H7" s="20">
        <f>SUM('1st Qtr'!H7, '2nd Qtr'!H7, '3rd Qtr'!H7, '4th Qtr'!H7)</f>
        <v>5453.6000000000349</v>
      </c>
      <c r="I7" s="19">
        <f t="shared" si="2"/>
        <v>8.2645341978139289E-3</v>
      </c>
    </row>
    <row r="8" spans="1:9" ht="15.75">
      <c r="A8" s="12" t="str">
        <v>Platt Hill</v>
      </c>
      <c r="B8" s="9" t="str">
        <v>CT</v>
      </c>
      <c r="C8" s="24">
        <f>SUM('1st Qtr'!C8, '2nd Qtr'!C8, '3rd Qtr'!C8, '4th Qtr'!C8)</f>
        <v>713579.34422110603</v>
      </c>
      <c r="D8" s="13">
        <f>SUM('1st Qtr'!D8, '2nd Qtr'!D8, '3rd Qtr'!D8, '4th Qtr'!D8)</f>
        <v>797244.8</v>
      </c>
      <c r="E8" s="13">
        <f t="shared" si="0"/>
        <v>-83665.455778894015</v>
      </c>
      <c r="F8" s="14">
        <f t="shared" si="1"/>
        <v>-0.10494324425683806</v>
      </c>
      <c r="G8" s="15">
        <f>SUM('1st Qtr'!G8, '2nd Qtr'!G8, '3rd Qtr'!G8, '4th Qtr'!G8)</f>
        <v>861464.79999999993</v>
      </c>
      <c r="H8" s="15">
        <f>SUM('1st Qtr'!H8, '2nd Qtr'!H8, '3rd Qtr'!H8, '4th Qtr'!H8)</f>
        <v>-147885.45577889401</v>
      </c>
      <c r="I8" s="16">
        <f t="shared" si="2"/>
        <v>-0.17166743873794266</v>
      </c>
    </row>
    <row r="9" spans="1:9" ht="15.75">
      <c r="A9" s="17" t="str">
        <v>Powder Hill</v>
      </c>
      <c r="B9" s="10" t="str">
        <v>CT</v>
      </c>
      <c r="C9" s="11">
        <f>SUM('1st Qtr'!C9, '2nd Qtr'!C9, '3rd Qtr'!C9, '4th Qtr'!C9)</f>
        <v>611028</v>
      </c>
      <c r="D9" s="18">
        <f>SUM('1st Qtr'!D9, '2nd Qtr'!D9, '3rd Qtr'!D9, '4th Qtr'!D9)</f>
        <v>714272.8</v>
      </c>
      <c r="E9" s="18">
        <f t="shared" si="0"/>
        <v>-103244.80000000005</v>
      </c>
      <c r="F9" s="19">
        <f t="shared" si="1"/>
        <v>-0.14454533337962755</v>
      </c>
      <c r="G9" s="20">
        <f>SUM('1st Qtr'!G9, '2nd Qtr'!G9, '3rd Qtr'!G9, '4th Qtr'!G9)</f>
        <v>566964</v>
      </c>
      <c r="H9" s="20">
        <f>SUM('1st Qtr'!H9, '2nd Qtr'!H9, '3rd Qtr'!H9, '4th Qtr'!H9)</f>
        <v>44064</v>
      </c>
      <c r="I9" s="19">
        <f t="shared" si="2"/>
        <v>7.7719220267953526E-2</v>
      </c>
    </row>
    <row r="10" spans="1:9" ht="15.75">
      <c r="A10" s="12" t="str">
        <v>Sand Road</v>
      </c>
      <c r="B10" s="9" t="str">
        <v>CT</v>
      </c>
      <c r="C10" s="24">
        <f>SUM('1st Qtr'!C10, '2nd Qtr'!C10, '3rd Qtr'!C10, '4th Qtr'!C10)</f>
        <v>639429</v>
      </c>
      <c r="D10" s="13">
        <f>SUM('1st Qtr'!D10, '2nd Qtr'!D10, '3rd Qtr'!D10, '4th Qtr'!D10)</f>
        <v>660829.69999999995</v>
      </c>
      <c r="E10" s="13">
        <f t="shared" si="0"/>
        <v>-21400.699999999953</v>
      </c>
      <c r="F10" s="14">
        <f t="shared" si="1"/>
        <v>-3.2384591673164743E-2</v>
      </c>
      <c r="G10" s="15">
        <f>SUM('1st Qtr'!G10, '2nd Qtr'!G10, '3rd Qtr'!G10, '4th Qtr'!G10)</f>
        <v>602989</v>
      </c>
      <c r="H10" s="15">
        <f>SUM('1st Qtr'!H10, '2nd Qtr'!H10, '3rd Qtr'!H10, '4th Qtr'!H10)</f>
        <v>36440</v>
      </c>
      <c r="I10" s="16">
        <f t="shared" si="2"/>
        <v>6.0432279859168242E-2</v>
      </c>
    </row>
    <row r="11" spans="1:9" ht="15.75">
      <c r="A11" s="17" t="str">
        <v>Suffield</v>
      </c>
      <c r="B11" s="10" t="str">
        <v>CT</v>
      </c>
      <c r="C11" s="11">
        <f>SUM('1st Qtr'!C11, '2nd Qtr'!C11, '3rd Qtr'!C11, '4th Qtr'!C11)</f>
        <v>645254</v>
      </c>
      <c r="D11" s="18">
        <f>SUM('1st Qtr'!D11, '2nd Qtr'!D11, '3rd Qtr'!D11, '4th Qtr'!D11)</f>
        <v>692965.8</v>
      </c>
      <c r="E11" s="18">
        <f t="shared" si="0"/>
        <v>-47711.800000000047</v>
      </c>
      <c r="F11" s="19">
        <f t="shared" si="1"/>
        <v>-6.8851594119074919E-2</v>
      </c>
      <c r="G11" s="20">
        <f>SUM('1st Qtr'!G11, '2nd Qtr'!G11, '3rd Qtr'!G11, '4th Qtr'!G11)</f>
        <v>732511.5</v>
      </c>
      <c r="H11" s="20">
        <f>SUM('1st Qtr'!H11, '2nd Qtr'!H11, '3rd Qtr'!H11, '4th Qtr'!H11)</f>
        <v>-87257.5</v>
      </c>
      <c r="I11" s="19">
        <f t="shared" si="2"/>
        <v>-0.11912099673520483</v>
      </c>
    </row>
    <row r="12" spans="1:9" ht="15.75">
      <c r="A12" s="12" t="str">
        <v>Ashby-Duffy</v>
      </c>
      <c r="B12" s="9" t="str">
        <v>MA</v>
      </c>
      <c r="C12" s="24">
        <f>SUM('1st Qtr'!C12, '2nd Qtr'!C12, '3rd Qtr'!C12, '4th Qtr'!C12)</f>
        <v>623058</v>
      </c>
      <c r="D12" s="13">
        <f>SUM('1st Qtr'!D12, '2nd Qtr'!D12, '3rd Qtr'!D12, '4th Qtr'!D12)</f>
        <v>1011075.2</v>
      </c>
      <c r="E12" s="13">
        <f t="shared" si="0"/>
        <v>-388017.19999999995</v>
      </c>
      <c r="F12" s="14">
        <f t="shared" si="1"/>
        <v>-0.38376690477622233</v>
      </c>
      <c r="G12" s="15">
        <f>SUM('1st Qtr'!G12, '2nd Qtr'!G12, '3rd Qtr'!G12, '4th Qtr'!G12)</f>
        <v>651654.5</v>
      </c>
      <c r="H12" s="15">
        <f>SUM('1st Qtr'!H12, '2nd Qtr'!H12, '3rd Qtr'!H12, '4th Qtr'!H12)</f>
        <v>-28596.499999999971</v>
      </c>
      <c r="I12" s="16">
        <f t="shared" si="2"/>
        <v>-4.3882916484118455E-2</v>
      </c>
    </row>
    <row r="13" spans="1:9" ht="15.75">
      <c r="A13" s="17" t="str">
        <v>Ashland</v>
      </c>
      <c r="B13" s="10" t="str">
        <v>MA</v>
      </c>
      <c r="C13" s="11">
        <f>SUM('1st Qtr'!C13, '2nd Qtr'!C13, '3rd Qtr'!C13, '4th Qtr'!C13)</f>
        <v>9993.5</v>
      </c>
      <c r="D13" s="18">
        <f>SUM('1st Qtr'!D13, '2nd Qtr'!D13, '3rd Qtr'!D13, '4th Qtr'!D13)</f>
        <v>38664.69</v>
      </c>
      <c r="E13" s="18">
        <f t="shared" si="0"/>
        <v>-28671.190000000002</v>
      </c>
      <c r="F13" s="19">
        <f t="shared" si="1"/>
        <v>-0.74153420084319832</v>
      </c>
      <c r="G13" s="20">
        <f>SUM('1st Qtr'!G13, '2nd Qtr'!G13, '3rd Qtr'!G13, '4th Qtr'!G13)</f>
        <v>361298.4</v>
      </c>
      <c r="H13" s="20">
        <f>SUM('1st Qtr'!H13, '2nd Qtr'!H13, '3rd Qtr'!H13, '4th Qtr'!H13)</f>
        <v>-351304.9</v>
      </c>
      <c r="I13" s="19">
        <f t="shared" si="2"/>
        <v>-0.97234003804057811</v>
      </c>
    </row>
    <row r="14" spans="1:9" ht="15.75">
      <c r="A14" s="12" t="str">
        <v>Barrington</v>
      </c>
      <c r="B14" s="9" t="str">
        <v>MA</v>
      </c>
      <c r="C14" s="24">
        <f>SUM('1st Qtr'!C14, '2nd Qtr'!C14, '3rd Qtr'!C14, '4th Qtr'!C14)</f>
        <v>133250</v>
      </c>
      <c r="D14" s="13">
        <f>SUM('1st Qtr'!D14, '2nd Qtr'!D14, '3rd Qtr'!D14, '4th Qtr'!D14)</f>
        <v>132357.65000000002</v>
      </c>
      <c r="E14" s="13">
        <f t="shared" si="0"/>
        <v>892.34999999997672</v>
      </c>
      <c r="F14" s="14">
        <f t="shared" si="1"/>
        <v>6.7419601360403161E-3</v>
      </c>
      <c r="G14" s="15">
        <f>SUM('1st Qtr'!G14, '2nd Qtr'!G14, '3rd Qtr'!G14, '4th Qtr'!G14)</f>
        <v>159190</v>
      </c>
      <c r="H14" s="15">
        <f>SUM('1st Qtr'!H14, '2nd Qtr'!H14, '3rd Qtr'!H14, '4th Qtr'!H14)</f>
        <v>-25940</v>
      </c>
      <c r="I14" s="16">
        <f t="shared" si="2"/>
        <v>-0.16294993404108299</v>
      </c>
    </row>
    <row r="15" spans="1:9" ht="15.75">
      <c r="A15" s="17" t="str">
        <v>Bedford - 205 Burlington Rd</v>
      </c>
      <c r="B15" s="10" t="str">
        <v>MA</v>
      </c>
      <c r="C15" s="11">
        <f>SUM('1st Qtr'!C15, '2nd Qtr'!C15, '3rd Qtr'!C15, '4th Qtr'!C15)</f>
        <v>68679</v>
      </c>
      <c r="D15" s="18">
        <f>SUM('1st Qtr'!D15, '2nd Qtr'!D15, '3rd Qtr'!D15, '4th Qtr'!D15)</f>
        <v>0</v>
      </c>
      <c r="E15" s="18">
        <f t="shared" si="0"/>
        <v>68679</v>
      </c>
      <c r="F15" s="19" t="str">
        <f t="shared" si="1"/>
        <v/>
      </c>
      <c r="G15" s="20">
        <f>SUM('1st Qtr'!G15, '2nd Qtr'!G15, '3rd Qtr'!G15, '4th Qtr'!G15)</f>
        <v>0</v>
      </c>
      <c r="H15" s="20">
        <f>SUM('1st Qtr'!H15, '2nd Qtr'!H15, '3rd Qtr'!H15, '4th Qtr'!H15)</f>
        <v>68679</v>
      </c>
      <c r="I15" s="19" t="str">
        <f t="shared" si="2"/>
        <v/>
      </c>
    </row>
    <row r="16" spans="1:9" ht="15.75">
      <c r="A16" s="12" t="str">
        <v>Billerica - 6 Cook Street</v>
      </c>
      <c r="B16" s="9" t="str">
        <v>MA</v>
      </c>
      <c r="C16" s="24">
        <f>SUM('1st Qtr'!C16, '2nd Qtr'!C16, '3rd Qtr'!C16, '4th Qtr'!C16)</f>
        <v>55658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55658</v>
      </c>
      <c r="F16" s="14" t="str">
        <f t="shared" ref="F16:F19" si="4">IFERROR(E16/D16, "")</f>
        <v/>
      </c>
      <c r="G16" s="15">
        <f>SUM('1st Qtr'!G16, '2nd Qtr'!G16, '3rd Qtr'!G16, '4th Qtr'!G16)</f>
        <v>0</v>
      </c>
      <c r="H16" s="15">
        <f>SUM('1st Qtr'!H16, '2nd Qtr'!H16, '3rd Qtr'!H16, '4th Qtr'!H16)</f>
        <v>55658</v>
      </c>
      <c r="I16" s="16" t="str">
        <f t="shared" ref="I16:I19" si="5">IFERROR(H16/G16, "")</f>
        <v/>
      </c>
    </row>
    <row r="17" spans="1:9" ht="15.75">
      <c r="A17" s="17" t="str">
        <v>Billerica - 780 Boston Road</v>
      </c>
      <c r="B17" s="10" t="str">
        <v>MA</v>
      </c>
      <c r="C17" s="11">
        <f>SUM('1st Qtr'!C17, '2nd Qtr'!C17, '3rd Qtr'!C17, '4th Qtr'!C17)</f>
        <v>65741</v>
      </c>
      <c r="D17" s="18">
        <f>SUM('1st Qtr'!D17, '2nd Qtr'!D17, '3rd Qtr'!D17, '4th Qtr'!D17)</f>
        <v>0</v>
      </c>
      <c r="E17" s="18">
        <f t="shared" si="3"/>
        <v>65741</v>
      </c>
      <c r="F17" s="19" t="str">
        <f t="shared" si="4"/>
        <v/>
      </c>
      <c r="G17" s="20">
        <f>SUM('1st Qtr'!G17, '2nd Qtr'!G17, '3rd Qtr'!G17, '4th Qtr'!G17)</f>
        <v>0</v>
      </c>
      <c r="H17" s="20">
        <f>SUM('1st Qtr'!H17, '2nd Qtr'!H17, '3rd Qtr'!H17, '4th Qtr'!H17)</f>
        <v>65741</v>
      </c>
      <c r="I17" s="19" t="str">
        <f t="shared" si="5"/>
        <v/>
      </c>
    </row>
    <row r="18" spans="1:9" ht="12.75" customHeight="1">
      <c r="A18" s="12" t="str">
        <v>Cheshire</v>
      </c>
      <c r="B18" s="9" t="str">
        <v>MA</v>
      </c>
      <c r="C18" s="24">
        <f>SUM('1st Qtr'!C18, '2nd Qtr'!C18, '3rd Qtr'!C18, '4th Qtr'!C18)</f>
        <v>136259.5</v>
      </c>
      <c r="D18" s="13">
        <f>SUM('1st Qtr'!D18, '2nd Qtr'!D18, '3rd Qtr'!D18, '4th Qtr'!D18)</f>
        <v>156576.82</v>
      </c>
      <c r="E18" s="13">
        <f t="shared" si="3"/>
        <v>-20317.320000000007</v>
      </c>
      <c r="F18" s="14">
        <f t="shared" si="4"/>
        <v>-0.12975943693325748</v>
      </c>
      <c r="G18" s="15">
        <f>SUM('1st Qtr'!G18, '2nd Qtr'!G18, '3rd Qtr'!G18, '4th Qtr'!G18)</f>
        <v>106349.84</v>
      </c>
      <c r="H18" s="15">
        <f>SUM('1st Qtr'!H18, '2nd Qtr'!H18, '3rd Qtr'!H18, '4th Qtr'!H18)</f>
        <v>29909.66</v>
      </c>
      <c r="I18" s="16">
        <f t="shared" si="5"/>
        <v>0.28123841088994589</v>
      </c>
    </row>
    <row r="19" spans="1:9" ht="15.75">
      <c r="A19" s="17" t="str">
        <v>Lilly Lane</v>
      </c>
      <c r="B19" s="10" t="str">
        <v>MA</v>
      </c>
      <c r="C19" s="11">
        <f>SUM('1st Qtr'!C19, '2nd Qtr'!C19, '3rd Qtr'!C19, '4th Qtr'!C19)</f>
        <v>293261</v>
      </c>
      <c r="D19" s="18">
        <f>SUM('1st Qtr'!D19, '2nd Qtr'!D19, '3rd Qtr'!D19, '4th Qtr'!D19)</f>
        <v>319905.81</v>
      </c>
      <c r="E19" s="18">
        <f t="shared" si="3"/>
        <v>-26644.809999999998</v>
      </c>
      <c r="F19" s="19">
        <f t="shared" si="4"/>
        <v>-8.3289547007602008E-2</v>
      </c>
      <c r="G19" s="20">
        <f>SUM('1st Qtr'!G19, '2nd Qtr'!G19, '3rd Qtr'!G19, '4th Qtr'!G19)</f>
        <v>407685.3</v>
      </c>
      <c r="H19" s="20">
        <f>SUM('1st Qtr'!H19, '2nd Qtr'!H19, '3rd Qtr'!H19, '4th Qtr'!H19)</f>
        <v>-114424.29999999999</v>
      </c>
      <c r="I19" s="19">
        <f t="shared" si="5"/>
        <v>-0.28066820167418349</v>
      </c>
    </row>
    <row r="20" spans="1:9" ht="15.75">
      <c r="A20" s="12" t="str">
        <v>Monument Valley</v>
      </c>
      <c r="B20" s="9" t="str">
        <v>MA</v>
      </c>
      <c r="C20" s="24">
        <f>SUM('1st Qtr'!C20, '2nd Qtr'!C20, '3rd Qtr'!C20, '4th Qtr'!C20)</f>
        <v>597881</v>
      </c>
      <c r="D20" s="13">
        <f>SUM('1st Qtr'!D20, '2nd Qtr'!D20, '3rd Qtr'!D20, '4th Qtr'!D20)</f>
        <v>148824.21</v>
      </c>
      <c r="E20" s="13">
        <f t="shared" ref="E20:E22" si="6">IF(AND(ISNUMBER(C20),ISNUMBER(D20)), C20-D20, "")</f>
        <v>449056.79000000004</v>
      </c>
      <c r="F20" s="19">
        <f t="shared" ref="F20:F23" si="7">IFERROR(E20/D20, "")</f>
        <v>3.0173638415416422</v>
      </c>
      <c r="G20" s="15">
        <f>SUM('1st Qtr'!G20, '2nd Qtr'!G20, '3rd Qtr'!G20, '4th Qtr'!G20)</f>
        <v>0</v>
      </c>
      <c r="H20" s="15">
        <f>SUM('1st Qtr'!H20, '2nd Qtr'!H20, '3rd Qtr'!H20, '4th Qtr'!H20)</f>
        <v>597881</v>
      </c>
      <c r="I20" s="19" t="str">
        <f t="shared" ref="I20:I23" si="8">IFERROR(H20/G20, "")</f>
        <v/>
      </c>
    </row>
    <row r="21" spans="1:9" ht="15.75">
      <c r="A21" s="17" t="str">
        <v>Nationwide</v>
      </c>
      <c r="B21" s="10" t="str">
        <v>MA</v>
      </c>
      <c r="C21" s="11">
        <f>SUM('1st Qtr'!C21, '2nd Qtr'!C21, '3rd Qtr'!C21, '4th Qtr'!C21)</f>
        <v>953320.5</v>
      </c>
      <c r="D21" s="18">
        <f>SUM('1st Qtr'!D21, '2nd Qtr'!D21, '3rd Qtr'!D21, '4th Qtr'!D21)</f>
        <v>1079498</v>
      </c>
      <c r="E21" s="18">
        <f t="shared" si="6"/>
        <v>-126177.5</v>
      </c>
      <c r="F21" s="19">
        <f t="shared" si="7"/>
        <v>-0.11688534856016408</v>
      </c>
      <c r="G21" s="20">
        <f>SUM('1st Qtr'!G21, '2nd Qtr'!G21, '3rd Qtr'!G21, '4th Qtr'!G21)</f>
        <v>1097779</v>
      </c>
      <c r="H21" s="20">
        <f>SUM('1st Qtr'!H21, '2nd Qtr'!H21, '3rd Qtr'!H21, '4th Qtr'!H21)</f>
        <v>-144458.49999999994</v>
      </c>
      <c r="I21" s="19">
        <f t="shared" si="8"/>
        <v>-0.13159160450327428</v>
      </c>
    </row>
    <row r="22" spans="1:9" ht="15.75">
      <c r="A22" s="12" t="str">
        <v>Pulpit Hill</v>
      </c>
      <c r="B22" s="9" t="str">
        <v>MA</v>
      </c>
      <c r="C22" s="24">
        <f>SUM('1st Qtr'!C22, '2nd Qtr'!C22, '3rd Qtr'!C22, '4th Qtr'!C22)</f>
        <v>1415998.4</v>
      </c>
      <c r="D22" s="13">
        <f>SUM('1st Qtr'!D22, '2nd Qtr'!D22, '3rd Qtr'!D22, '4th Qtr'!D22)</f>
        <v>1508555.5999999999</v>
      </c>
      <c r="E22" s="13">
        <f t="shared" si="6"/>
        <v>-92557.199999999953</v>
      </c>
      <c r="F22" s="19">
        <f t="shared" si="7"/>
        <v>-6.135484830655228E-2</v>
      </c>
      <c r="G22" s="15">
        <f>SUM('1st Qtr'!G22, '2nd Qtr'!G22, '3rd Qtr'!G22, '4th Qtr'!G22)</f>
        <v>1513090.9</v>
      </c>
      <c r="H22" s="15">
        <f>SUM('1st Qtr'!H22, '2nd Qtr'!H22, '3rd Qtr'!H22, '4th Qtr'!H22)</f>
        <v>-97092.500000000058</v>
      </c>
      <c r="I22" s="19">
        <f t="shared" si="8"/>
        <v>-6.4168319299256954E-2</v>
      </c>
    </row>
    <row r="23" spans="1:9" ht="15.75">
      <c r="A23" s="17" t="str">
        <v>Sandwich</v>
      </c>
      <c r="B23" s="10" t="str">
        <v>MA</v>
      </c>
      <c r="C23" s="11">
        <f>SUM('1st Qtr'!C23, '2nd Qtr'!C23, '3rd Qtr'!C23, '4th Qtr'!C23)</f>
        <v>1215871</v>
      </c>
      <c r="D23" s="18">
        <f>SUM('1st Qtr'!D23, '2nd Qtr'!D23, '3rd Qtr'!D23, '4th Qtr'!D23)</f>
        <v>0</v>
      </c>
      <c r="E23" s="18">
        <f t="shared" ref="E23:E28" si="9">IF(AND(ISNUMBER(C23),ISNUMBER(D23)), C23-D23, "")</f>
        <v>1215871</v>
      </c>
      <c r="F23" s="19" t="str">
        <f t="shared" si="7"/>
        <v/>
      </c>
      <c r="G23" s="20">
        <f>SUM('1st Qtr'!G23, '2nd Qtr'!G23, '3rd Qtr'!G23, '4th Qtr'!G23)</f>
        <v>0</v>
      </c>
      <c r="H23" s="20">
        <f>SUM('1st Qtr'!H23, '2nd Qtr'!H23, '3rd Qtr'!H23, '4th Qtr'!H23)</f>
        <v>1215871</v>
      </c>
      <c r="I23" s="19" t="str">
        <f t="shared" si="8"/>
        <v/>
      </c>
    </row>
    <row r="24" spans="1:9" ht="15.75">
      <c r="A24" s="12" t="str">
        <v>Sturbridge Barn</v>
      </c>
      <c r="B24" s="9" t="str">
        <v>MA</v>
      </c>
      <c r="C24" s="24">
        <f>SUM('1st Qtr'!C24, '2nd Qtr'!C24, '3rd Qtr'!C24, '4th Qtr'!C24)</f>
        <v>300101</v>
      </c>
      <c r="D24" s="13">
        <f>SUM('1st Qtr'!D24, '2nd Qtr'!D24, '3rd Qtr'!D24, '4th Qtr'!D24)</f>
        <v>374920.06</v>
      </c>
      <c r="E24" s="13">
        <f t="shared" si="9"/>
        <v>-74819.06</v>
      </c>
      <c r="F24" s="14">
        <f t="shared" ref="F23:F28" si="10">IFERROR(E24/D24, "")</f>
        <v>-0.19956003421102619</v>
      </c>
      <c r="G24" s="15">
        <f>SUM('1st Qtr'!G24, '2nd Qtr'!G24, '3rd Qtr'!G24, '4th Qtr'!G24)</f>
        <v>417980.1</v>
      </c>
      <c r="H24" s="15">
        <f>SUM('1st Qtr'!H24, '2nd Qtr'!H24, '3rd Qtr'!H24, '4th Qtr'!H24)</f>
        <v>-117879.1</v>
      </c>
      <c r="I24" s="16">
        <f t="shared" ref="I23:I28" si="11">IFERROR(H24/G24, "")</f>
        <v>-0.28202084261906252</v>
      </c>
    </row>
    <row r="25" spans="1:9" ht="15.75">
      <c r="A25" s="17" t="str">
        <v>Sturbridge Garage</v>
      </c>
      <c r="B25" s="10" t="str">
        <v>MA</v>
      </c>
      <c r="C25" s="11">
        <f>SUM('1st Qtr'!C25, '2nd Qtr'!C25, '3rd Qtr'!C25, '4th Qtr'!C25)</f>
        <v>148743</v>
      </c>
      <c r="D25" s="18">
        <f>SUM('1st Qtr'!D25, '2nd Qtr'!D25, '3rd Qtr'!D25, '4th Qtr'!D25)</f>
        <v>179839.5</v>
      </c>
      <c r="E25" s="18">
        <f t="shared" si="9"/>
        <v>-31096.5</v>
      </c>
      <c r="F25" s="19">
        <f t="shared" si="10"/>
        <v>-0.17291251365801172</v>
      </c>
      <c r="G25" s="20">
        <f>SUM('1st Qtr'!G25, '2nd Qtr'!G25, '3rd Qtr'!G25, '4th Qtr'!G25)</f>
        <v>201387.32</v>
      </c>
      <c r="H25" s="20">
        <f>SUM('1st Qtr'!H25, '2nd Qtr'!H25, '3rd Qtr'!H25, '4th Qtr'!H25)</f>
        <v>-52644.319999999992</v>
      </c>
      <c r="I25" s="19">
        <f t="shared" si="11"/>
        <v>-0.26140831508160489</v>
      </c>
    </row>
    <row r="26" spans="1:9" ht="15.75">
      <c r="A26" s="12" t="str">
        <v>Halsey Valley</v>
      </c>
      <c r="B26" s="9" t="str">
        <v>NY</v>
      </c>
      <c r="C26" s="24">
        <f>SUM('1st Qtr'!C26, '2nd Qtr'!C26, '3rd Qtr'!C26, '4th Qtr'!C26)</f>
        <v>1416755</v>
      </c>
      <c r="D26" s="13">
        <f>SUM('1st Qtr'!D26, '2nd Qtr'!D26, '3rd Qtr'!D26, '4th Qtr'!D26)</f>
        <v>1627635.5</v>
      </c>
      <c r="E26" s="13">
        <f t="shared" si="9"/>
        <v>-210880.5</v>
      </c>
      <c r="F26" s="14">
        <f t="shared" si="10"/>
        <v>-0.1295624849666894</v>
      </c>
      <c r="G26" s="15">
        <f>SUM('1st Qtr'!G26, '2nd Qtr'!G26, '3rd Qtr'!G26, '4th Qtr'!G26)</f>
        <v>1609000</v>
      </c>
      <c r="H26" s="15">
        <f>SUM('1st Qtr'!H26, '2nd Qtr'!H26, '3rd Qtr'!H26, '4th Qtr'!H26)</f>
        <v>-192245</v>
      </c>
      <c r="I26" s="16">
        <f t="shared" si="11"/>
        <v>-0.11948104412678683</v>
      </c>
    </row>
    <row r="27" spans="1:9" ht="15.75">
      <c r="A27" s="17" t="str">
        <v>Hunt Creek</v>
      </c>
      <c r="B27" s="10" t="str">
        <v>NY</v>
      </c>
      <c r="C27" s="11">
        <f>SUM('1st Qtr'!C27, '2nd Qtr'!C27, '3rd Qtr'!C27, '4th Qtr'!C27)</f>
        <v>927108.45</v>
      </c>
      <c r="D27" s="18">
        <f>SUM('1st Qtr'!D27, '2nd Qtr'!D27, '3rd Qtr'!D27, '4th Qtr'!D27)</f>
        <v>1155381.6000000001</v>
      </c>
      <c r="E27" s="18">
        <f t="shared" si="9"/>
        <v>-228273.15000000014</v>
      </c>
      <c r="F27" s="19">
        <f t="shared" si="10"/>
        <v>-0.1975738145734709</v>
      </c>
      <c r="G27" s="20">
        <f>SUM('1st Qtr'!G27, '2nd Qtr'!G27, '3rd Qtr'!G27, '4th Qtr'!G27)</f>
        <v>1067900</v>
      </c>
      <c r="H27" s="20">
        <f>SUM('1st Qtr'!H27, '2nd Qtr'!H27, '3rd Qtr'!H27, '4th Qtr'!H27)</f>
        <v>-140791.54999999999</v>
      </c>
      <c r="I27" s="19">
        <f t="shared" si="11"/>
        <v>-0.13183963854293473</v>
      </c>
    </row>
    <row r="28" spans="1:9" ht="15.75">
      <c r="A28" s="12" t="str">
        <v>Smith Creek</v>
      </c>
      <c r="B28" s="9" t="str">
        <v>NY</v>
      </c>
      <c r="C28" s="24">
        <f>SUM('1st Qtr'!C28, '2nd Qtr'!C28, '3rd Qtr'!C28, '4th Qtr'!C28)</f>
        <v>1096523</v>
      </c>
      <c r="D28" s="13">
        <f>SUM('1st Qtr'!D28, '2nd Qtr'!D28, '3rd Qtr'!D28, '4th Qtr'!D28)</f>
        <v>1278980.7999999998</v>
      </c>
      <c r="E28" s="13">
        <f t="shared" si="9"/>
        <v>-182457.79999999981</v>
      </c>
      <c r="F28" s="14">
        <f t="shared" si="10"/>
        <v>-0.14265874827831648</v>
      </c>
      <c r="G28" s="15">
        <f>SUM('1st Qtr'!G28, '2nd Qtr'!G28, '3rd Qtr'!G28, '4th Qtr'!G28)</f>
        <v>1480917.2000000002</v>
      </c>
      <c r="H28" s="15">
        <f>SUM('1st Qtr'!H28, '2nd Qtr'!H28, '3rd Qtr'!H28, '4th Qtr'!H28)</f>
        <v>-384394.2</v>
      </c>
      <c r="I28" s="16">
        <f t="shared" si="11"/>
        <v>-0.25956495069406982</v>
      </c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3 I4:I103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5"/>
  <sheetViews>
    <sheetView workbookViewId="0">
      <pane xSplit="2" ySplit="3" topLeftCell="D11" activePane="bottomRight" state="frozen"/>
      <selection pane="bottomRight" activeCell="K20" sqref="K20"/>
      <selection pane="bottomLeft" activeCell="M14" sqref="M14"/>
      <selection pane="topRight" activeCell="M14" sqref="M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Lodestar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5">
        <f>SUM(C4:C103)</f>
        <v>14295976.444221105</v>
      </c>
      <c r="D2" s="5">
        <f>SUM(D4:D103)</f>
        <v>14622211.350000001</v>
      </c>
      <c r="E2" s="5">
        <f>C2-D2</f>
        <v>-326234.90577889606</v>
      </c>
      <c r="F2" s="6">
        <f>IFERROR(E2/D2, 0)</f>
        <v>-2.2310914400706979E-2</v>
      </c>
      <c r="G2" s="5">
        <f>SUM(G4:G103)</f>
        <v>13577124.93</v>
      </c>
      <c r="H2" s="7">
        <f>C2-G2</f>
        <v>718851.51422110572</v>
      </c>
      <c r="I2" s="6">
        <f>IFERROR(H2/G2, 0)</f>
        <v>5.2945783288237423E-2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SUM(Jan!C4, Feb!C4, Mar!C4)</f>
        <v>331357</v>
      </c>
      <c r="D4" s="13">
        <f>SUM(Jan!D4, Feb!D4, Mar!D4)</f>
        <v>391097.81</v>
      </c>
      <c r="E4" s="13">
        <f>IF(AND(ISNUMBER(C4),ISNUMBER(D4)), C4-D4, "")</f>
        <v>-59740.81</v>
      </c>
      <c r="F4" s="14">
        <f>IFERROR(E4/D4, "")</f>
        <v>-0.1527515840602636</v>
      </c>
      <c r="G4" s="15">
        <f>SUM(Jan!G4, Feb!G4, Mar!G4)</f>
        <v>378859.37</v>
      </c>
      <c r="H4" s="15">
        <f>SUM(Jan!H4, Feb!H4, Mar!H4)</f>
        <v>-47502.37000000001</v>
      </c>
      <c r="I4" s="16">
        <f>IFERROR(H4/G4, "")</f>
        <v>-0.12538259249071762</v>
      </c>
    </row>
    <row r="5" spans="1:9" ht="15.75">
      <c r="A5" s="43" t="str">
        <v>Bunce</v>
      </c>
      <c r="B5" s="10" t="str">
        <v>CT</v>
      </c>
      <c r="C5" s="11">
        <f>SUM(Jan!C5, Feb!C5, Mar!C5)</f>
        <v>589639.25</v>
      </c>
      <c r="D5" s="18">
        <f>SUM(Jan!D5, Feb!D5, Mar!D5)</f>
        <v>643231.5</v>
      </c>
      <c r="E5" s="18">
        <f t="shared" ref="E5:E15" si="0">IF(AND(ISNUMBER(C5),ISNUMBER(D5)), C5-D5, "")</f>
        <v>-53592.25</v>
      </c>
      <c r="F5" s="19">
        <f>IFERROR(E5/D5, "")</f>
        <v>-8.3317203837187701E-2</v>
      </c>
      <c r="G5" s="20">
        <f>SUM(Jan!G5, Feb!G5, Mar!G5)</f>
        <v>0</v>
      </c>
      <c r="H5" s="20">
        <f>SUM(Jan!H5, Feb!H5, Mar!H5)</f>
        <v>589639.25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SUM(Jan!C6, Feb!C6, Mar!C6)</f>
        <v>642155</v>
      </c>
      <c r="D6" s="13">
        <f>SUM(Jan!D6, Feb!D6, Mar!D6)</f>
        <v>816049.60000000009</v>
      </c>
      <c r="E6" s="13">
        <f t="shared" si="0"/>
        <v>-173894.60000000009</v>
      </c>
      <c r="F6" s="14">
        <f t="shared" ref="F6:F15" si="1">IFERROR(E6/D6, "")</f>
        <v>-0.21309317472859501</v>
      </c>
      <c r="G6" s="15">
        <f>SUM(Jan!G6, Feb!G6, Mar!G6)</f>
        <v>700223.8</v>
      </c>
      <c r="H6" s="15">
        <f>SUM(Jan!H6, Feb!H6, Mar!H6)</f>
        <v>-58068.799999999988</v>
      </c>
      <c r="I6" s="16">
        <f t="shared" ref="I6:I15" si="2">IFERROR(H6/G6, "")</f>
        <v>-8.2928915012600232E-2</v>
      </c>
    </row>
    <row r="7" spans="1:9" ht="15.75">
      <c r="A7" s="43" t="str">
        <v>Norcap South</v>
      </c>
      <c r="B7" s="10" t="str">
        <v>CT</v>
      </c>
      <c r="C7" s="11">
        <f>SUM(Jan!C7, Feb!C7, Mar!C7)</f>
        <v>665333.5</v>
      </c>
      <c r="D7" s="18">
        <f>SUM(Jan!D7, Feb!D7, Mar!D7)</f>
        <v>894303.9</v>
      </c>
      <c r="E7" s="18">
        <f t="shared" si="0"/>
        <v>-228970.40000000002</v>
      </c>
      <c r="F7" s="19">
        <f t="shared" si="1"/>
        <v>-0.25603198196944016</v>
      </c>
      <c r="G7" s="20">
        <f>SUM(Jan!G7, Feb!G7, Mar!G7)</f>
        <v>659879.89999999991</v>
      </c>
      <c r="H7" s="20">
        <f>SUM(Jan!H7, Feb!H7, Mar!H7)</f>
        <v>5453.6000000000349</v>
      </c>
      <c r="I7" s="19">
        <f t="shared" si="2"/>
        <v>8.2645341978139289E-3</v>
      </c>
    </row>
    <row r="8" spans="1:9" ht="15.75">
      <c r="A8" s="42" t="str">
        <v>Platt Hill</v>
      </c>
      <c r="B8" s="9" t="str">
        <v>CT</v>
      </c>
      <c r="C8" s="24">
        <f>SUM(Jan!C8, Feb!C8, Mar!C8)</f>
        <v>713579.34422110603</v>
      </c>
      <c r="D8" s="13">
        <f>SUM(Jan!D8, Feb!D8, Mar!D8)</f>
        <v>797244.8</v>
      </c>
      <c r="E8" s="13">
        <f t="shared" si="0"/>
        <v>-83665.455778894015</v>
      </c>
      <c r="F8" s="14">
        <f t="shared" si="1"/>
        <v>-0.10494324425683806</v>
      </c>
      <c r="G8" s="15">
        <f>SUM(Jan!G8, Feb!G8, Mar!G8)</f>
        <v>861464.79999999993</v>
      </c>
      <c r="H8" s="15">
        <f>SUM(Jan!H8, Feb!H8, Mar!H8)</f>
        <v>-147885.45577889401</v>
      </c>
      <c r="I8" s="16">
        <f t="shared" si="2"/>
        <v>-0.17166743873794266</v>
      </c>
    </row>
    <row r="9" spans="1:9" ht="15.75">
      <c r="A9" s="43" t="str">
        <v>Powder Hill</v>
      </c>
      <c r="B9" s="10" t="str">
        <v>CT</v>
      </c>
      <c r="C9" s="11">
        <f>SUM(Jan!C9, Feb!C9, Mar!C9)</f>
        <v>611028</v>
      </c>
      <c r="D9" s="18">
        <f>SUM(Jan!D9, Feb!D9, Mar!D9)</f>
        <v>714272.8</v>
      </c>
      <c r="E9" s="18">
        <f t="shared" si="0"/>
        <v>-103244.80000000005</v>
      </c>
      <c r="F9" s="19">
        <f t="shared" si="1"/>
        <v>-0.14454533337962755</v>
      </c>
      <c r="G9" s="20">
        <f>SUM(Jan!G9, Feb!G9, Mar!G9)</f>
        <v>566964</v>
      </c>
      <c r="H9" s="20">
        <f>SUM(Jan!H9, Feb!H9, Mar!H9)</f>
        <v>44064</v>
      </c>
      <c r="I9" s="19">
        <f t="shared" si="2"/>
        <v>7.7719220267953526E-2</v>
      </c>
    </row>
    <row r="10" spans="1:9" ht="15.75">
      <c r="A10" s="42" t="str">
        <v>Sand Road</v>
      </c>
      <c r="B10" s="9" t="str">
        <v>CT</v>
      </c>
      <c r="C10" s="24">
        <f>SUM(Jan!C10, Feb!C10, Mar!C10)</f>
        <v>639429</v>
      </c>
      <c r="D10" s="13">
        <f>SUM(Jan!D10, Feb!D10, Mar!D10)</f>
        <v>660829.69999999995</v>
      </c>
      <c r="E10" s="13">
        <f t="shared" si="0"/>
        <v>-21400.699999999953</v>
      </c>
      <c r="F10" s="14">
        <f t="shared" si="1"/>
        <v>-3.2384591673164743E-2</v>
      </c>
      <c r="G10" s="15">
        <f>SUM(Jan!G10, Feb!G10, Mar!G10)</f>
        <v>602989</v>
      </c>
      <c r="H10" s="15">
        <f>SUM(Jan!H10, Feb!H10, Mar!H10)</f>
        <v>36440</v>
      </c>
      <c r="I10" s="16">
        <f t="shared" si="2"/>
        <v>6.0432279859168242E-2</v>
      </c>
    </row>
    <row r="11" spans="1:9" ht="15.75">
      <c r="A11" s="43" t="str">
        <v>Suffield</v>
      </c>
      <c r="B11" s="10" t="str">
        <v>CT</v>
      </c>
      <c r="C11" s="11">
        <f>SUM(Jan!C11, Feb!C11, Mar!C11)</f>
        <v>645254</v>
      </c>
      <c r="D11" s="18">
        <f>SUM(Jan!D11, Feb!D11, Mar!D11)</f>
        <v>692965.8</v>
      </c>
      <c r="E11" s="18">
        <f t="shared" si="0"/>
        <v>-47711.800000000047</v>
      </c>
      <c r="F11" s="19">
        <f t="shared" si="1"/>
        <v>-6.8851594119074919E-2</v>
      </c>
      <c r="G11" s="20">
        <f>SUM(Jan!G11, Feb!G11, Mar!G11)</f>
        <v>732511.5</v>
      </c>
      <c r="H11" s="20">
        <f>SUM(Jan!H11, Feb!H11, Mar!H11)</f>
        <v>-87257.5</v>
      </c>
      <c r="I11" s="19">
        <f t="shared" si="2"/>
        <v>-0.11912099673520483</v>
      </c>
    </row>
    <row r="12" spans="1:9" ht="15.75">
      <c r="A12" s="42" t="str">
        <v>Ashby-Duffy</v>
      </c>
      <c r="B12" s="9" t="str">
        <v>MA</v>
      </c>
      <c r="C12" s="24">
        <f>SUM(Jan!C12, Feb!C12, Mar!C12)</f>
        <v>623058</v>
      </c>
      <c r="D12" s="13">
        <f>SUM(Jan!D12, Feb!D12, Mar!D12)</f>
        <v>1011075.2</v>
      </c>
      <c r="E12" s="13">
        <f t="shared" si="0"/>
        <v>-388017.19999999995</v>
      </c>
      <c r="F12" s="14">
        <f t="shared" si="1"/>
        <v>-0.38376690477622233</v>
      </c>
      <c r="G12" s="15">
        <f>SUM(Jan!G12, Feb!G12, Mar!G12)</f>
        <v>651654.5</v>
      </c>
      <c r="H12" s="15">
        <f>SUM(Jan!H12, Feb!H12, Mar!H12)</f>
        <v>-28596.499999999971</v>
      </c>
      <c r="I12" s="16">
        <f t="shared" si="2"/>
        <v>-4.3882916484118455E-2</v>
      </c>
    </row>
    <row r="13" spans="1:9" ht="15.75">
      <c r="A13" s="43" t="str">
        <v>Ashland</v>
      </c>
      <c r="B13" s="10" t="str">
        <v>MA</v>
      </c>
      <c r="C13" s="11">
        <f>SUM(Jan!C13, Feb!C13, Mar!C13)</f>
        <v>9993.5</v>
      </c>
      <c r="D13" s="18">
        <f>SUM(Jan!D13, Feb!D13, Mar!D13)</f>
        <v>38664.69</v>
      </c>
      <c r="E13" s="18">
        <f t="shared" si="0"/>
        <v>-28671.190000000002</v>
      </c>
      <c r="F13" s="19">
        <f t="shared" si="1"/>
        <v>-0.74153420084319832</v>
      </c>
      <c r="G13" s="20">
        <f>SUM(Jan!G13, Feb!G13, Mar!G13)</f>
        <v>361298.4</v>
      </c>
      <c r="H13" s="20">
        <f>SUM(Jan!H13, Feb!H13, Mar!H13)</f>
        <v>-351304.9</v>
      </c>
      <c r="I13" s="19">
        <f t="shared" si="2"/>
        <v>-0.97234003804057811</v>
      </c>
    </row>
    <row r="14" spans="1:9" ht="15.75">
      <c r="A14" s="42" t="str">
        <v>Barrington</v>
      </c>
      <c r="B14" s="9" t="str">
        <v>MA</v>
      </c>
      <c r="C14" s="24">
        <f>SUM(Jan!C14, Feb!C14, Mar!C14)</f>
        <v>133250</v>
      </c>
      <c r="D14" s="13">
        <f>SUM(Jan!D14, Feb!D14, Mar!D14)</f>
        <v>132357.65000000002</v>
      </c>
      <c r="E14" s="13">
        <f t="shared" si="0"/>
        <v>892.34999999997672</v>
      </c>
      <c r="F14" s="14">
        <f t="shared" si="1"/>
        <v>6.7419601360403161E-3</v>
      </c>
      <c r="G14" s="15">
        <f>SUM(Jan!G14, Feb!G14, Mar!G14)</f>
        <v>159190</v>
      </c>
      <c r="H14" s="15">
        <f>SUM(Jan!H14, Feb!H14, Mar!H14)</f>
        <v>-25940</v>
      </c>
      <c r="I14" s="16">
        <f t="shared" si="2"/>
        <v>-0.16294993404108299</v>
      </c>
    </row>
    <row r="15" spans="1:9" ht="15.75">
      <c r="A15" s="43" t="str">
        <v>Bedford - 205 Burlington Rd</v>
      </c>
      <c r="B15" s="10" t="str">
        <v>MA</v>
      </c>
      <c r="C15" s="11">
        <f>SUM(Jan!C15, Feb!C15, Mar!C15)</f>
        <v>68679</v>
      </c>
      <c r="D15" s="18">
        <f>SUM(Jan!D15, Feb!D15, Mar!D15)</f>
        <v>0</v>
      </c>
      <c r="E15" s="18">
        <f t="shared" si="0"/>
        <v>68679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68679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SUM(Jan!C16, Feb!C16, Mar!C16)</f>
        <v>55658</v>
      </c>
      <c r="D16" s="13">
        <f>SUM(Jan!D16, Feb!D16, Mar!D16)</f>
        <v>0</v>
      </c>
      <c r="E16" s="13">
        <f t="shared" ref="E16:E18" si="3">IF(AND(ISNUMBER(C16),ISNUMBER(D16)), C16-D16, "")</f>
        <v>55658</v>
      </c>
      <c r="F16" s="14" t="str">
        <f t="shared" ref="F16:F18" si="4">IFERROR(E16/D16, "")</f>
        <v/>
      </c>
      <c r="G16" s="15">
        <f>SUM(Jan!G16, Feb!G16, Mar!G16)</f>
        <v>0</v>
      </c>
      <c r="H16" s="15">
        <f>SUM(Jan!H16, Feb!H16, Mar!H16)</f>
        <v>55658</v>
      </c>
      <c r="I16" s="16" t="str">
        <f t="shared" ref="I16:I18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SUM(Jan!C17, Feb!C17, Mar!C17)</f>
        <v>65741</v>
      </c>
      <c r="D17" s="18">
        <f>SUM(Jan!D17, Feb!D17, Mar!D17)</f>
        <v>0</v>
      </c>
      <c r="E17" s="18">
        <f t="shared" si="3"/>
        <v>65741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65741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SUM(Jan!C18, Feb!C18, Mar!C18)</f>
        <v>136259.5</v>
      </c>
      <c r="D18" s="13">
        <f>SUM(Jan!D18, Feb!D18, Mar!D18)</f>
        <v>156576.82</v>
      </c>
      <c r="E18" s="13">
        <f t="shared" si="3"/>
        <v>-20317.320000000007</v>
      </c>
      <c r="F18" s="14">
        <f t="shared" si="4"/>
        <v>-0.12975943693325748</v>
      </c>
      <c r="G18" s="15">
        <f>SUM(Jan!G18, Feb!G18, Mar!G18)</f>
        <v>106349.84</v>
      </c>
      <c r="H18" s="15">
        <f>SUM(Jan!H18, Feb!H18, Mar!H18)</f>
        <v>29909.66</v>
      </c>
      <c r="I18" s="16">
        <f t="shared" si="5"/>
        <v>0.28123841088994589</v>
      </c>
    </row>
    <row r="19" spans="1:9" ht="15.75">
      <c r="A19" s="43" t="str">
        <v>Lilly Lane</v>
      </c>
      <c r="B19" s="10" t="str">
        <v>MA</v>
      </c>
      <c r="C19" s="11">
        <f>SUM(Jan!C19, Feb!C19, Mar!C19)</f>
        <v>293261</v>
      </c>
      <c r="D19" s="18">
        <f>SUM(Jan!D19, Feb!D19, Mar!D19)</f>
        <v>319905.81</v>
      </c>
      <c r="E19" s="18">
        <f t="shared" ref="E19:E28" si="6">IF(AND(ISNUMBER(C19),ISNUMBER(D19)), C19-D19, "")</f>
        <v>-26644.809999999998</v>
      </c>
      <c r="F19" s="19">
        <f t="shared" ref="F19:F28" si="7">IFERROR(E19/D19, "")</f>
        <v>-8.3289547007602008E-2</v>
      </c>
      <c r="G19" s="20">
        <f>SUM(Jan!G19, Feb!G19, Mar!G19)</f>
        <v>407685.3</v>
      </c>
      <c r="H19" s="20">
        <f>SUM(Jan!H19, Feb!H19, Mar!H19)</f>
        <v>-114424.29999999999</v>
      </c>
      <c r="I19" s="19">
        <f t="shared" ref="I19:I28" si="8">IFERROR(H19/G19, "")</f>
        <v>-0.28066820167418349</v>
      </c>
    </row>
    <row r="20" spans="1:9" ht="15.75">
      <c r="A20" s="42" t="str">
        <v>Monument Valley</v>
      </c>
      <c r="B20" s="9" t="str">
        <v>MA</v>
      </c>
      <c r="C20" s="24">
        <f>SUM(Jan!C20, Feb!C20, Mar!C20)</f>
        <v>597881</v>
      </c>
      <c r="D20" s="13">
        <f>SUM(Jan!D20, Feb!D20, Mar!D20)</f>
        <v>148824.21</v>
      </c>
      <c r="E20" s="13">
        <f t="shared" si="6"/>
        <v>449056.79000000004</v>
      </c>
      <c r="F20" s="14"/>
      <c r="G20" s="15">
        <f>SUM(Jan!G20, Feb!G20, Mar!G20)</f>
        <v>0</v>
      </c>
      <c r="H20" s="15">
        <f>SUM(Jan!H20, Feb!H20, Mar!H20)</f>
        <v>597881</v>
      </c>
      <c r="I20" s="16"/>
    </row>
    <row r="21" spans="1:9" ht="15.75">
      <c r="A21" s="43" t="str">
        <v>Nationwide</v>
      </c>
      <c r="B21" s="10" t="str">
        <v>MA</v>
      </c>
      <c r="C21" s="11">
        <f>SUM(Jan!C21, Feb!C21, Mar!C21)</f>
        <v>953320.5</v>
      </c>
      <c r="D21" s="18">
        <f>SUM(Jan!D21, Feb!D21, Mar!D21)</f>
        <v>1079498</v>
      </c>
      <c r="E21" s="18">
        <f t="shared" si="6"/>
        <v>-126177.5</v>
      </c>
      <c r="F21" s="19"/>
      <c r="G21" s="20">
        <f>SUM(Jan!G21, Feb!G21, Mar!G21)</f>
        <v>1097779</v>
      </c>
      <c r="H21" s="20">
        <f>SUM(Jan!H21, Feb!H21, Mar!H21)</f>
        <v>-144458.49999999994</v>
      </c>
      <c r="I21" s="19"/>
    </row>
    <row r="22" spans="1:9" ht="15.75">
      <c r="A22" s="42" t="str">
        <v>Pulpit Hill</v>
      </c>
      <c r="B22" s="9" t="str">
        <v>MA</v>
      </c>
      <c r="C22" s="24">
        <f>SUM(Jan!C22, Feb!C22, Mar!C22)</f>
        <v>1415998.4</v>
      </c>
      <c r="D22" s="13">
        <f>SUM(Jan!D22, Feb!D22, Mar!D22)</f>
        <v>1508555.5999999999</v>
      </c>
      <c r="E22" s="13">
        <f t="shared" si="6"/>
        <v>-92557.199999999953</v>
      </c>
      <c r="F22" s="14"/>
      <c r="G22" s="15">
        <f>SUM(Jan!G22, Feb!G22, Mar!G22)</f>
        <v>1513090.9</v>
      </c>
      <c r="H22" s="15">
        <f>SUM(Jan!H22, Feb!H22, Mar!H22)</f>
        <v>-97092.500000000058</v>
      </c>
      <c r="I22" s="16"/>
    </row>
    <row r="23" spans="1:9" ht="15.75">
      <c r="A23" s="43" t="str">
        <v>Sandwich</v>
      </c>
      <c r="B23" s="10" t="str">
        <v>MA</v>
      </c>
      <c r="C23" s="11">
        <f>SUM(Jan!C23, Feb!C23, Mar!C23)</f>
        <v>1215871</v>
      </c>
      <c r="D23" s="18">
        <f>SUM(Jan!D23, Feb!D23, Mar!D23)</f>
        <v>0</v>
      </c>
      <c r="E23" s="18">
        <f t="shared" si="6"/>
        <v>1215871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1215871</v>
      </c>
      <c r="I23" s="19" t="str">
        <f t="shared" si="8"/>
        <v/>
      </c>
    </row>
    <row r="24" spans="1:9" ht="15.75">
      <c r="A24" s="42" t="str">
        <v>Sturbridge Barn</v>
      </c>
      <c r="B24" s="9" t="str">
        <v>MA</v>
      </c>
      <c r="C24" s="24">
        <f>SUM(Jan!C24, Feb!C24, Mar!C24)</f>
        <v>300101</v>
      </c>
      <c r="D24" s="13">
        <f>SUM(Jan!D24, Feb!D24, Mar!D24)</f>
        <v>374920.06</v>
      </c>
      <c r="E24" s="13">
        <f t="shared" si="6"/>
        <v>-74819.06</v>
      </c>
      <c r="F24" s="14">
        <f t="shared" si="7"/>
        <v>-0.19956003421102619</v>
      </c>
      <c r="G24" s="15">
        <f>SUM(Jan!G24, Feb!G24, Mar!G24)</f>
        <v>417980.1</v>
      </c>
      <c r="H24" s="15">
        <f>SUM(Jan!H24, Feb!H24, Mar!H24)</f>
        <v>-117879.1</v>
      </c>
      <c r="I24" s="16">
        <f t="shared" si="8"/>
        <v>-0.28202084261906252</v>
      </c>
    </row>
    <row r="25" spans="1:9" ht="15.75">
      <c r="A25" s="43" t="str">
        <v>Sturbridge Garage</v>
      </c>
      <c r="B25" s="10" t="str">
        <v>MA</v>
      </c>
      <c r="C25" s="11">
        <f>SUM(Jan!C25, Feb!C25, Mar!C25)</f>
        <v>148743</v>
      </c>
      <c r="D25" s="18">
        <f>SUM(Jan!D25, Feb!D25, Mar!D25)</f>
        <v>179839.5</v>
      </c>
      <c r="E25" s="18">
        <f t="shared" si="6"/>
        <v>-31096.5</v>
      </c>
      <c r="F25" s="19">
        <f t="shared" si="7"/>
        <v>-0.17291251365801172</v>
      </c>
      <c r="G25" s="20">
        <f>SUM(Jan!G25, Feb!G25, Mar!G25)</f>
        <v>201387.32</v>
      </c>
      <c r="H25" s="20">
        <f>SUM(Jan!H25, Feb!H25, Mar!H25)</f>
        <v>-52644.319999999992</v>
      </c>
      <c r="I25" s="19">
        <f t="shared" si="8"/>
        <v>-0.26140831508160489</v>
      </c>
    </row>
    <row r="26" spans="1:9" ht="15.75">
      <c r="A26" s="42" t="str">
        <v>Halsey Valley</v>
      </c>
      <c r="B26" s="9" t="str">
        <v>NY</v>
      </c>
      <c r="C26" s="24">
        <f>SUM(Jan!C26, Feb!C26, Mar!C26)</f>
        <v>1416755</v>
      </c>
      <c r="D26" s="13">
        <f>SUM(Jan!D26, Feb!D26, Mar!D26)</f>
        <v>1627635.5</v>
      </c>
      <c r="E26" s="13">
        <f t="shared" si="6"/>
        <v>-210880.5</v>
      </c>
      <c r="F26" s="14">
        <f t="shared" si="7"/>
        <v>-0.1295624849666894</v>
      </c>
      <c r="G26" s="15">
        <f>SUM(Jan!G26, Feb!G26, Mar!G26)</f>
        <v>1609000</v>
      </c>
      <c r="H26" s="15">
        <f>SUM(Jan!H26, Feb!H26, Mar!H26)</f>
        <v>-192245</v>
      </c>
      <c r="I26" s="16">
        <f t="shared" si="8"/>
        <v>-0.11948104412678683</v>
      </c>
    </row>
    <row r="27" spans="1:9" ht="15.75">
      <c r="A27" s="43" t="str">
        <v>Hunt Creek</v>
      </c>
      <c r="B27" s="10" t="str">
        <v>NY</v>
      </c>
      <c r="C27" s="11">
        <f>SUM(Jan!C27, Feb!C27, Mar!C27)</f>
        <v>927108.45</v>
      </c>
      <c r="D27" s="18">
        <f>SUM(Jan!D27, Feb!D27, Mar!D27)</f>
        <v>1155381.6000000001</v>
      </c>
      <c r="E27" s="18">
        <f t="shared" si="6"/>
        <v>-228273.15000000014</v>
      </c>
      <c r="F27" s="19">
        <f t="shared" si="7"/>
        <v>-0.1975738145734709</v>
      </c>
      <c r="G27" s="20">
        <f>SUM(Jan!G27, Feb!G27, Mar!G27)</f>
        <v>1067900</v>
      </c>
      <c r="H27" s="20">
        <f>SUM(Jan!H27, Feb!H27, Mar!H27)</f>
        <v>-140791.54999999999</v>
      </c>
      <c r="I27" s="19">
        <f t="shared" si="8"/>
        <v>-0.13183963854293473</v>
      </c>
    </row>
    <row r="28" spans="1:9" ht="15.75">
      <c r="A28" s="42" t="str">
        <v>Smith Creek</v>
      </c>
      <c r="B28" s="9" t="str">
        <v>NY</v>
      </c>
      <c r="C28" s="24">
        <f>SUM(Jan!C28, Feb!C28, Mar!C28)</f>
        <v>1096523</v>
      </c>
      <c r="D28" s="13">
        <f>SUM(Jan!D28, Feb!D28, Mar!D28)</f>
        <v>1278980.7999999998</v>
      </c>
      <c r="E28" s="13">
        <f t="shared" si="6"/>
        <v>-182457.79999999981</v>
      </c>
      <c r="F28" s="14">
        <f t="shared" si="7"/>
        <v>-0.14265874827831648</v>
      </c>
      <c r="G28" s="15">
        <f>SUM(Jan!G28, Feb!G28, Mar!G28)</f>
        <v>1480917.2000000002</v>
      </c>
      <c r="H28" s="15">
        <f>SUM(Jan!H28, Feb!H28, Mar!H28)</f>
        <v>-384394.2</v>
      </c>
      <c r="I28" s="16">
        <f t="shared" si="8"/>
        <v>-0.25956495069406982</v>
      </c>
    </row>
    <row r="29" spans="1:9" ht="14.45">
      <c r="A29" s="21"/>
      <c r="B29" s="10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3 I4:I103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5"/>
  <sheetViews>
    <sheetView workbookViewId="0">
      <pane xSplit="2" ySplit="3" topLeftCell="C4" activePane="bottomRight" state="frozen"/>
      <selection pane="bottomRight" activeCell="M12" sqref="M12"/>
      <selection pane="bottomLeft" activeCell="M14" sqref="M14"/>
      <selection pane="topRight" activeCell="M14" sqref="M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Lodestar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43" t="str">
        <v>Bunce</v>
      </c>
      <c r="B5" s="10" t="str">
        <v>CT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43" t="str">
        <v>Norcap South</v>
      </c>
      <c r="B7" s="10" t="str">
        <v>CT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42" t="str">
        <v>Platt Hill</v>
      </c>
      <c r="B8" s="9" t="str">
        <v>CT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43" t="str">
        <v>Powder Hill</v>
      </c>
      <c r="B9" s="10" t="str">
        <v>CT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42" t="str">
        <v>Sand Road</v>
      </c>
      <c r="B10" s="9" t="str">
        <v>CT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43" t="str">
        <v>Suffield</v>
      </c>
      <c r="B11" s="10" t="str">
        <v>CT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42" t="str">
        <v>Ashby-Duffy</v>
      </c>
      <c r="B12" s="9" t="str">
        <v>MA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43" t="str">
        <v>Ashland</v>
      </c>
      <c r="B13" s="10" t="str">
        <v>MA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42" t="str">
        <v>Barrington</v>
      </c>
      <c r="B14" s="9" t="str">
        <v>MA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>
      <c r="A15" s="43" t="str">
        <v>Bedford - 205 Burlington Rd</v>
      </c>
      <c r="B15" s="10" t="str">
        <v>MA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SUM(Apr!H16, May!H16, Jun!H16)</f>
        <v>0</v>
      </c>
      <c r="I16" s="16" t="str">
        <f t="shared" ref="I16:I18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75">
      <c r="A19" s="43" t="str">
        <v>Lilly Lane</v>
      </c>
      <c r="B19" s="10" t="str">
        <v>MA</v>
      </c>
      <c r="C19" s="11">
        <f>SUM(Apr!C19, May!C19, Jun!C19)</f>
        <v>0</v>
      </c>
      <c r="D19" s="18">
        <f>SUM(Apr!D19, May!D19, Jun!D19)</f>
        <v>0</v>
      </c>
      <c r="E19" s="18">
        <f t="shared" ref="E19:E28" si="6">IF(AND(ISNUMBER(C19),ISNUMBER(D19)), C19-D19, "")</f>
        <v>0</v>
      </c>
      <c r="F19" s="19" t="str">
        <f t="shared" ref="F19:F28" si="7">IFERROR(E19/D19, "")</f>
        <v/>
      </c>
      <c r="G19" s="20"/>
      <c r="H19" s="20">
        <f>SUM(Apr!H19, May!H19, Jun!H19)</f>
        <v>0</v>
      </c>
      <c r="I19" s="19" t="str">
        <f t="shared" ref="I19:I28" si="8">IFERROR(H19/G19, "")</f>
        <v/>
      </c>
    </row>
    <row r="20" spans="1:9" ht="15.75">
      <c r="A20" s="42" t="str">
        <v>Monument Valley</v>
      </c>
      <c r="B20" s="9" t="str">
        <v>MA</v>
      </c>
      <c r="C20" s="24"/>
      <c r="D20" s="13"/>
      <c r="E20" s="13"/>
      <c r="F20" s="14"/>
      <c r="G20" s="15"/>
      <c r="H20" s="15"/>
      <c r="I20" s="16"/>
    </row>
    <row r="21" spans="1:9" ht="15.75">
      <c r="A21" s="43" t="str">
        <v>Nationwide</v>
      </c>
      <c r="B21" s="10" t="str">
        <v>MA</v>
      </c>
      <c r="C21" s="11"/>
      <c r="D21" s="18"/>
      <c r="E21" s="18"/>
      <c r="F21" s="19"/>
      <c r="G21" s="20"/>
      <c r="H21" s="20"/>
      <c r="I21" s="19"/>
    </row>
    <row r="22" spans="1:9" ht="15.75">
      <c r="A22" s="42" t="str">
        <v>Pulpit Hill</v>
      </c>
      <c r="B22" s="9" t="str">
        <v>MA</v>
      </c>
      <c r="C22" s="24"/>
      <c r="D22" s="13"/>
      <c r="E22" s="13"/>
      <c r="F22" s="14"/>
      <c r="G22" s="15"/>
      <c r="H22" s="15"/>
      <c r="I22" s="16"/>
    </row>
    <row r="23" spans="1:9" ht="15.75">
      <c r="A23" s="43" t="str">
        <v>Sandwich</v>
      </c>
      <c r="B23" s="10" t="str">
        <v>MA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75">
      <c r="A24" s="42" t="str">
        <v>Sturbridge Barn</v>
      </c>
      <c r="B24" s="9" t="str">
        <v>MA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75">
      <c r="A25" s="43" t="str">
        <v>Sturbridge Garage</v>
      </c>
      <c r="B25" s="10" t="str">
        <v>MA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75">
      <c r="A26" s="42" t="str">
        <v>Halsey Valley</v>
      </c>
      <c r="B26" s="9" t="str">
        <v>NY</v>
      </c>
      <c r="C26" s="24">
        <f>SUM(Apr!C26, May!C26, Jun!C26)</f>
        <v>0</v>
      </c>
      <c r="D26" s="13">
        <f>SUM(Apr!D26, May!D26, Jun!D26)</f>
        <v>0</v>
      </c>
      <c r="E26" s="13">
        <f t="shared" si="6"/>
        <v>0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75">
      <c r="A27" s="43" t="str">
        <v>Hunt Creek</v>
      </c>
      <c r="B27" s="10" t="str">
        <v>NY</v>
      </c>
      <c r="C27" s="11">
        <f>SUM(Apr!C27, May!C27, Jun!C27)</f>
        <v>0</v>
      </c>
      <c r="D27" s="18">
        <f>SUM(Apr!D27, May!D27, Jun!D27)</f>
        <v>0</v>
      </c>
      <c r="E27" s="18">
        <f t="shared" si="6"/>
        <v>0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75">
      <c r="A28" s="42" t="str">
        <v>Smith Creek</v>
      </c>
      <c r="B28" s="9" t="str">
        <v>NY</v>
      </c>
      <c r="C28" s="24">
        <f>SUM(Apr!C28, May!C28, Jun!C28)</f>
        <v>0</v>
      </c>
      <c r="D28" s="13">
        <f>SUM(Apr!D28, May!D28, Jun!D28)</f>
        <v>0</v>
      </c>
      <c r="E28" s="13">
        <f t="shared" si="6"/>
        <v>0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3 I4:I103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5"/>
  <sheetViews>
    <sheetView workbookViewId="0">
      <pane xSplit="2" ySplit="3" topLeftCell="C4" activePane="bottomRight" state="frozen"/>
      <selection pane="bottomRight" activeCell="M12" sqref="M12"/>
      <selection pane="bottomLeft" activeCell="M12" sqref="M12"/>
      <selection pane="topRight" activeCell="M12" sqref="M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Lodestar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3" t="str">
        <v>Bunce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43" t="str">
        <v>Norcap South</v>
      </c>
      <c r="B7" s="10" t="str">
        <v>CT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42" t="str">
        <v>Platt Hill</v>
      </c>
      <c r="B8" s="9" t="str">
        <v>CT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43" t="str">
        <v>Powder Hill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42" t="str">
        <v>Sand Road</v>
      </c>
      <c r="B10" s="9" t="str">
        <v>CT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43" t="str">
        <v>Suffield</v>
      </c>
      <c r="B11" s="10" t="str">
        <v>CT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42" t="str">
        <v>Ashby-Duffy</v>
      </c>
      <c r="B12" s="9" t="str">
        <v>MA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43" t="str">
        <v>Ashland</v>
      </c>
      <c r="B13" s="10" t="str">
        <v>MA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42" t="str">
        <v>Barrington</v>
      </c>
      <c r="B14" s="9" t="str">
        <v>MA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43" t="str">
        <v>Bedford - 205 Burlington Rd</v>
      </c>
      <c r="B15" s="10" t="str">
        <v>MA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43" t="str">
        <v>Lilly Lane</v>
      </c>
      <c r="B19" s="10" t="str">
        <v>MA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42" t="str">
        <v>Monument Valley</v>
      </c>
      <c r="B20" s="9" t="str">
        <v>MA</v>
      </c>
      <c r="C20" s="24"/>
      <c r="D20" s="13"/>
      <c r="E20" s="13"/>
      <c r="F20" s="14"/>
      <c r="G20" s="15"/>
      <c r="H20" s="15"/>
      <c r="I20" s="16"/>
    </row>
    <row r="21" spans="1:9" ht="15.75">
      <c r="A21" s="43" t="str">
        <v>Nationwide</v>
      </c>
      <c r="B21" s="10" t="str">
        <v>MA</v>
      </c>
      <c r="C21" s="11"/>
      <c r="D21" s="18"/>
      <c r="E21" s="18"/>
      <c r="F21" s="19"/>
      <c r="G21" s="20"/>
      <c r="H21" s="20"/>
      <c r="I21" s="19"/>
    </row>
    <row r="22" spans="1:9" ht="15.75">
      <c r="A22" s="42" t="str">
        <v>Pulpit Hill</v>
      </c>
      <c r="B22" s="9" t="str">
        <v>MA</v>
      </c>
      <c r="C22" s="24"/>
      <c r="D22" s="13"/>
      <c r="E22" s="13"/>
      <c r="F22" s="14"/>
      <c r="G22" s="15"/>
      <c r="H22" s="15"/>
      <c r="I22" s="16"/>
    </row>
    <row r="23" spans="1:9" ht="15.75">
      <c r="A23" s="43" t="str">
        <v>Sandwich</v>
      </c>
      <c r="B23" s="10" t="str">
        <v>MA</v>
      </c>
      <c r="C23" s="11">
        <f>SUM(Jul!C23, Aug!C23, Sep!C23)</f>
        <v>0</v>
      </c>
      <c r="D23" s="18">
        <f>SUM(Jul!D23, Aug!D23, Sep!D23)</f>
        <v>0</v>
      </c>
      <c r="E23" s="18">
        <f t="shared" ref="E23:E28" si="6">IF(AND(ISNUMBER(C23),ISNUMBER(D23)), C23-D23, "")</f>
        <v>0</v>
      </c>
      <c r="F23" s="19" t="str">
        <f t="shared" ref="F23:F28" si="7">IFERROR(E23/D23, "")</f>
        <v/>
      </c>
      <c r="G23" s="20"/>
      <c r="H23" s="20">
        <f>SUM(Jul!H23, Aug!H23, Sep!H23)</f>
        <v>0</v>
      </c>
      <c r="I23" s="19" t="str">
        <f t="shared" ref="I23:I28" si="8">IFERROR(H23/G23, "")</f>
        <v/>
      </c>
    </row>
    <row r="24" spans="1:9" ht="15.75">
      <c r="A24" s="42" t="str">
        <v>Sturbridge Barn</v>
      </c>
      <c r="B24" s="9" t="str">
        <v>MA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43" t="str">
        <v>Sturbridge Garage</v>
      </c>
      <c r="B25" s="10" t="str">
        <v>MA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42" t="str">
        <v>Halsey Valley</v>
      </c>
      <c r="B26" s="9" t="str">
        <v>NY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75">
      <c r="A27" s="43" t="str">
        <v>Hunt Creek</v>
      </c>
      <c r="B27" s="10" t="str">
        <v>NY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75">
      <c r="A28" s="42" t="str">
        <v>Smith Creek</v>
      </c>
      <c r="B28" s="9" t="str">
        <v>NY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5.75">
      <c r="A32" s="17"/>
      <c r="B32" s="21"/>
      <c r="C32" s="21"/>
      <c r="D32" s="21"/>
      <c r="E32" s="21"/>
      <c r="F32" s="21"/>
      <c r="G32" s="21"/>
      <c r="H32" s="21"/>
      <c r="I32" s="21"/>
    </row>
    <row r="33" spans="1:9" ht="15.75">
      <c r="A33" s="17"/>
      <c r="B33" s="21"/>
      <c r="C33" s="21"/>
      <c r="D33" s="21"/>
      <c r="E33" s="21"/>
      <c r="F33" s="21"/>
      <c r="G33" s="21"/>
      <c r="H33" s="21"/>
      <c r="I33" s="21"/>
    </row>
    <row r="34" spans="1:9" ht="15.75">
      <c r="A34" s="17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mergeCells count="4">
    <mergeCell ref="G1:I1"/>
    <mergeCell ref="A1:C1"/>
    <mergeCell ref="D1:F1"/>
    <mergeCell ref="A2:B2"/>
  </mergeCells>
  <conditionalFormatting sqref="F2 I2 F4:F103 I4:I103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5"/>
  <sheetViews>
    <sheetView workbookViewId="0">
      <pane xSplit="2" ySplit="3" topLeftCell="C4" activePane="bottomRight" state="frozen"/>
      <selection pane="bottomRight" activeCell="M12" sqref="M12"/>
      <selection pane="bottomLeft" activeCell="M12" sqref="M12"/>
      <selection pane="topRight" activeCell="M12" sqref="M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Lodestar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3" t="str">
        <v>Bunce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42" t="str">
        <v>Norcap North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43" t="str">
        <v>Norcap South</v>
      </c>
      <c r="B7" s="10" t="str">
        <v>CT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42" t="str">
        <v>Platt Hill</v>
      </c>
      <c r="B8" s="9" t="str">
        <v>CT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43" t="str">
        <v>Powder Hill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42" t="str">
        <v>Sand Road</v>
      </c>
      <c r="B10" s="9" t="str">
        <v>CT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43" t="str">
        <v>Suffield</v>
      </c>
      <c r="B11" s="10" t="str">
        <v>CT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42" t="str">
        <v>Ashby-Duffy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43" t="str">
        <v>Ashland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42" t="str">
        <v>Barrington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43" t="str">
        <v>Bedford - 205 Burlington Rd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42" t="str">
        <v>Billerica - 6 Cook Street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43" t="str">
        <v>Billerica - 780 Boston Road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/>
      <c r="H18" s="15">
        <f>SUM(Oct!H18, Nov!H18, Dec!H18)</f>
        <v>0</v>
      </c>
      <c r="I18" s="16" t="str">
        <f t="shared" si="5"/>
        <v/>
      </c>
    </row>
    <row r="19" spans="1:9" ht="15.75">
      <c r="A19" s="43" t="str">
        <v>Lilly Lane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8" si="6">IF(AND(ISNUMBER(C19),ISNUMBER(D19)), C19-D19, "")</f>
        <v>0</v>
      </c>
      <c r="F19" s="19" t="str">
        <f t="shared" ref="F19:F28" si="7">IFERROR(E19/D19, "")</f>
        <v/>
      </c>
      <c r="G19" s="20"/>
      <c r="H19" s="20">
        <f>SUM(Oct!H19, Nov!H19, Dec!H19)</f>
        <v>0</v>
      </c>
      <c r="I19" s="19" t="str">
        <f t="shared" ref="I19:I28" si="8">IFERROR(H19/G19, "")</f>
        <v/>
      </c>
    </row>
    <row r="20" spans="1:9" ht="15.75">
      <c r="A20" s="42" t="str">
        <v>Monument Valley</v>
      </c>
      <c r="B20" s="9" t="str">
        <v>MA</v>
      </c>
      <c r="C20" s="24"/>
      <c r="D20" s="13"/>
      <c r="E20" s="13"/>
      <c r="F20" s="14"/>
      <c r="G20" s="15"/>
      <c r="H20" s="15"/>
      <c r="I20" s="16"/>
    </row>
    <row r="21" spans="1:9" ht="15.75">
      <c r="A21" s="43" t="str">
        <v>Nationwide</v>
      </c>
      <c r="B21" s="10" t="str">
        <v>MA</v>
      </c>
      <c r="C21" s="11"/>
      <c r="D21" s="18"/>
      <c r="E21" s="18"/>
      <c r="F21" s="19"/>
      <c r="G21" s="20"/>
      <c r="H21" s="20"/>
      <c r="I21" s="19"/>
    </row>
    <row r="22" spans="1:9" ht="15.75">
      <c r="A22" s="42" t="str">
        <v>Pulpit Hill</v>
      </c>
      <c r="B22" s="9" t="str">
        <v>MA</v>
      </c>
      <c r="C22" s="24"/>
      <c r="D22" s="13"/>
      <c r="E22" s="13"/>
      <c r="F22" s="14"/>
      <c r="G22" s="15"/>
      <c r="H22" s="15"/>
      <c r="I22" s="16"/>
    </row>
    <row r="23" spans="1:9" ht="15.75">
      <c r="A23" s="43" t="str">
        <v>Sandwich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42" t="str">
        <v>Sturbridge Barn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>
      <c r="A25" s="43" t="str">
        <v>Sturbridge Garage</v>
      </c>
      <c r="B25" s="10" t="str">
        <v>MA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42" t="str">
        <v>Halsey Valley</v>
      </c>
      <c r="B26" s="9" t="str">
        <v>NY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75">
      <c r="A27" s="43" t="str">
        <v>Hunt Creek</v>
      </c>
      <c r="B27" s="10" t="str">
        <v>NY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75">
      <c r="A28" s="42" t="str">
        <v>Smith Creek</v>
      </c>
      <c r="B28" s="9" t="str">
        <v>NY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75">
      <c r="A29" s="17"/>
      <c r="B29" s="10"/>
      <c r="C29" s="41"/>
      <c r="D29" s="18"/>
      <c r="E29" s="18"/>
      <c r="F29" s="19"/>
      <c r="G29" s="20"/>
      <c r="H29" s="20"/>
      <c r="I29" s="19"/>
    </row>
    <row r="30" spans="1:9" ht="14.45">
      <c r="A30" s="21"/>
      <c r="B30" s="10"/>
      <c r="C30" s="41"/>
      <c r="D30" s="18"/>
      <c r="E30" s="18"/>
      <c r="F30" s="19"/>
      <c r="G30" s="20"/>
      <c r="H30" s="20"/>
      <c r="I30" s="19"/>
    </row>
    <row r="31" spans="1:9" ht="14.45">
      <c r="A31" s="21"/>
      <c r="B31" s="10"/>
      <c r="C31" s="41"/>
      <c r="D31" s="18"/>
      <c r="E31" s="18"/>
      <c r="F31" s="19"/>
      <c r="G31" s="20"/>
      <c r="H31" s="20"/>
      <c r="I31" s="19"/>
    </row>
    <row r="32" spans="1:9" ht="14.45">
      <c r="A32" s="21"/>
      <c r="B32" s="10"/>
      <c r="C32" s="41"/>
      <c r="D32" s="18"/>
      <c r="E32" s="18"/>
      <c r="F32" s="19"/>
      <c r="G32" s="20"/>
      <c r="H32" s="20"/>
      <c r="I32" s="19"/>
    </row>
    <row r="33" spans="1:9" ht="14.45">
      <c r="A33" s="21"/>
      <c r="B33" s="10"/>
      <c r="C33" s="41"/>
      <c r="D33" s="18"/>
      <c r="E33" s="18"/>
      <c r="F33" s="19"/>
      <c r="G33" s="20"/>
      <c r="H33" s="20"/>
      <c r="I33" s="19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mergeCells count="4">
    <mergeCell ref="G1:I1"/>
    <mergeCell ref="A1:C1"/>
    <mergeCell ref="D1:F1"/>
    <mergeCell ref="A2:B2"/>
  </mergeCells>
  <conditionalFormatting sqref="F2 I2 F4:F103 I4:I103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A9DD-F147-4BDF-A82C-2EEB453BD23C}">
  <sheetPr>
    <pageSetUpPr fitToPage="1"/>
  </sheetPr>
  <dimension ref="A1:K344"/>
  <sheetViews>
    <sheetView tabSelected="1" workbookViewId="0">
      <pane xSplit="2" ySplit="3" topLeftCell="C14" activePane="bottomRight" state="frozen"/>
      <selection pane="bottomRight" activeCell="F29" sqref="F29"/>
      <selection pane="bottomLeft" activeCell="B32" sqref="B32:C32"/>
      <selection pane="topRight" activeCell="B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SUM(C4:C102)</f>
        <v>1646953.443617021</v>
      </c>
      <c r="D2" s="5">
        <f>SUM(D4:D102)</f>
        <v>2934622.4099999997</v>
      </c>
      <c r="E2" s="5">
        <f>C2-D2</f>
        <v>-1287668.9663829787</v>
      </c>
      <c r="F2" s="6">
        <f>IFERROR(E2/D2, 0)</f>
        <v>-0.43878522906222162</v>
      </c>
      <c r="G2" s="5">
        <f>SUM(G4:G102)</f>
        <v>3459095.5300000003</v>
      </c>
      <c r="H2" s="7">
        <f>C2-G2</f>
        <v>-1812142.0863829793</v>
      </c>
      <c r="I2" s="6">
        <f>IFERROR(H2/G2, 0)</f>
        <v>-0.52387743289153366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40962</v>
      </c>
      <c r="D4" s="13">
        <v>81116.11</v>
      </c>
      <c r="E4" s="13">
        <f>IF(AND(ISNUMBER(C4),ISNUMBER(D4)), C4-D4, "")</f>
        <v>-40154.11</v>
      </c>
      <c r="F4" s="14">
        <f>IFERROR(E4/D4, "")</f>
        <v>-0.49502016307241559</v>
      </c>
      <c r="G4" s="15">
        <v>95666.17</v>
      </c>
      <c r="H4" s="15">
        <f>IF(AND(ISNUMBER(C4),ISNUMBER(G4)), C4-G4, "")</f>
        <v>-54704.17</v>
      </c>
      <c r="I4" s="16">
        <f>IFERROR(H4/G4, "")</f>
        <v>-0.57182356103521237</v>
      </c>
    </row>
    <row r="5" spans="1:11" ht="15.75">
      <c r="A5" s="28" t="str">
        <v>Bunce</v>
      </c>
      <c r="B5" s="29" t="str">
        <v>CT</v>
      </c>
      <c r="C5" s="11">
        <v>85317.75</v>
      </c>
      <c r="D5" s="18">
        <v>134339.20000000001</v>
      </c>
      <c r="E5" s="18">
        <f t="shared" ref="E5:E28" si="0">IF(AND(ISNUMBER(C5),ISNUMBER(D5)), C5-D5, "")</f>
        <v>-49021.450000000012</v>
      </c>
      <c r="F5" s="19">
        <f>IFERROR(E5/D5, "")</f>
        <v>-0.36490800898025305</v>
      </c>
      <c r="G5" s="20">
        <v>0</v>
      </c>
      <c r="H5" s="20">
        <f t="shared" ref="H5:H28" si="1">IF(AND(ISNUMBER(C5),ISNUMBER(G5)), C5-G5, "")</f>
        <v>85317.75</v>
      </c>
      <c r="I5" s="19" t="str">
        <f t="shared" ref="I5:I28" si="2">IFERROR(H5/G5, "")</f>
        <v/>
      </c>
      <c r="J5" s="38" t="s">
        <v>22</v>
      </c>
      <c r="K5" s="38" t="s">
        <v>22</v>
      </c>
    </row>
    <row r="6" spans="1:11" ht="15.75">
      <c r="A6" s="30" t="str">
        <v>Norcap North</v>
      </c>
      <c r="B6" s="27" t="str">
        <v>CT</v>
      </c>
      <c r="C6" s="24">
        <v>86946</v>
      </c>
      <c r="D6" s="13">
        <v>190151.4</v>
      </c>
      <c r="E6" s="13">
        <f t="shared" si="0"/>
        <v>-103205.4</v>
      </c>
      <c r="F6" s="14">
        <f t="shared" ref="F6:F28" si="3">IFERROR(E6/D6, "")</f>
        <v>-0.54275382668757632</v>
      </c>
      <c r="G6" s="15">
        <v>179846.6</v>
      </c>
      <c r="H6" s="15">
        <f t="shared" si="1"/>
        <v>-92900.6</v>
      </c>
      <c r="I6" s="16">
        <f t="shared" si="2"/>
        <v>-0.51655466380793413</v>
      </c>
      <c r="J6" s="39" t="s">
        <v>22</v>
      </c>
      <c r="K6" s="39" t="s">
        <v>22</v>
      </c>
    </row>
    <row r="7" spans="1:11" ht="129">
      <c r="A7" s="28" t="str">
        <v>Norcap South</v>
      </c>
      <c r="B7" s="29" t="str">
        <v>CT</v>
      </c>
      <c r="C7" s="11">
        <v>92879.5</v>
      </c>
      <c r="D7" s="18">
        <v>212284</v>
      </c>
      <c r="E7" s="18">
        <f t="shared" si="0"/>
        <v>-119404.5</v>
      </c>
      <c r="F7" s="19">
        <f t="shared" si="3"/>
        <v>-0.5624752689792919</v>
      </c>
      <c r="G7" s="20">
        <v>156565.5</v>
      </c>
      <c r="H7" s="20">
        <f t="shared" si="1"/>
        <v>-63686</v>
      </c>
      <c r="I7" s="19">
        <f t="shared" si="2"/>
        <v>-0.40676905193034224</v>
      </c>
      <c r="J7" s="38" t="s">
        <v>23</v>
      </c>
      <c r="K7" s="38" t="s">
        <v>24</v>
      </c>
    </row>
    <row r="8" spans="1:11" ht="42.95">
      <c r="A8" s="30" t="str">
        <v>Platt Hill</v>
      </c>
      <c r="B8" s="27" t="str">
        <v>CT</v>
      </c>
      <c r="C8" s="24">
        <v>104226.493617021</v>
      </c>
      <c r="D8" s="13">
        <v>164040.9</v>
      </c>
      <c r="E8" s="13">
        <f t="shared" si="0"/>
        <v>-59814.406382978996</v>
      </c>
      <c r="F8" s="14">
        <f t="shared" si="3"/>
        <v>-0.36463105471244672</v>
      </c>
      <c r="G8" s="15">
        <v>232504.1</v>
      </c>
      <c r="H8" s="15">
        <f t="shared" si="1"/>
        <v>-128277.60638297901</v>
      </c>
      <c r="I8" s="16">
        <f t="shared" si="2"/>
        <v>-0.55172191106728441</v>
      </c>
      <c r="J8" s="39" t="s">
        <v>25</v>
      </c>
      <c r="K8" s="39" t="s">
        <v>26</v>
      </c>
    </row>
    <row r="9" spans="1:11" ht="15.75">
      <c r="A9" s="28" t="str">
        <v>Powder Hill</v>
      </c>
      <c r="B9" s="29" t="str">
        <v>CT</v>
      </c>
      <c r="C9" s="11">
        <v>73609</v>
      </c>
      <c r="D9" s="18">
        <v>144364.9</v>
      </c>
      <c r="E9" s="18">
        <f t="shared" si="0"/>
        <v>-70755.899999999994</v>
      </c>
      <c r="F9" s="19">
        <f t="shared" si="3"/>
        <v>-0.49011844291791146</v>
      </c>
      <c r="G9" s="20">
        <v>155676</v>
      </c>
      <c r="H9" s="20">
        <f t="shared" si="1"/>
        <v>-82067</v>
      </c>
      <c r="I9" s="19">
        <f t="shared" si="2"/>
        <v>-0.52716539479431646</v>
      </c>
      <c r="J9" s="38" t="s">
        <v>22</v>
      </c>
      <c r="K9" s="38" t="s">
        <v>22</v>
      </c>
    </row>
    <row r="10" spans="1:11" ht="71.650000000000006">
      <c r="A10" s="30" t="str">
        <v>Sand Road</v>
      </c>
      <c r="B10" s="27" t="str">
        <v>CT</v>
      </c>
      <c r="C10" s="24">
        <v>78068.5</v>
      </c>
      <c r="D10" s="13">
        <v>124790</v>
      </c>
      <c r="E10" s="13">
        <f t="shared" si="0"/>
        <v>-46721.5</v>
      </c>
      <c r="F10" s="14">
        <f t="shared" si="3"/>
        <v>-0.37440099366936452</v>
      </c>
      <c r="G10" s="15">
        <v>145302</v>
      </c>
      <c r="H10" s="15">
        <f t="shared" si="1"/>
        <v>-67233.5</v>
      </c>
      <c r="I10" s="16">
        <f>IFERROR(H10/G10, "")</f>
        <v>-0.46271558547026193</v>
      </c>
      <c r="J10" s="39" t="s">
        <v>27</v>
      </c>
      <c r="K10" s="39" t="s">
        <v>28</v>
      </c>
    </row>
    <row r="11" spans="1:11" ht="15.75">
      <c r="A11" s="28" t="str">
        <v>Suffield</v>
      </c>
      <c r="B11" s="29" t="str">
        <v>CT</v>
      </c>
      <c r="C11" s="11">
        <v>86425</v>
      </c>
      <c r="D11" s="18">
        <v>139100</v>
      </c>
      <c r="E11" s="18">
        <f t="shared" si="0"/>
        <v>-52675</v>
      </c>
      <c r="F11" s="19">
        <f t="shared" si="3"/>
        <v>-0.37868439971243711</v>
      </c>
      <c r="G11" s="20">
        <v>191955.4</v>
      </c>
      <c r="H11" s="20">
        <f t="shared" si="1"/>
        <v>-105530.4</v>
      </c>
      <c r="I11" s="19">
        <f t="shared" si="2"/>
        <v>-0.54976520587594824</v>
      </c>
      <c r="J11" s="38" t="s">
        <v>22</v>
      </c>
      <c r="K11" s="38" t="s">
        <v>29</v>
      </c>
    </row>
    <row r="12" spans="1:11" ht="28.7">
      <c r="A12" s="30" t="str">
        <v>Ashby-Duffy</v>
      </c>
      <c r="B12" s="27" t="str">
        <v>MA</v>
      </c>
      <c r="C12" s="24">
        <v>83884</v>
      </c>
      <c r="D12" s="13">
        <v>228874</v>
      </c>
      <c r="E12" s="13">
        <f t="shared" si="0"/>
        <v>-144990</v>
      </c>
      <c r="F12" s="14">
        <f t="shared" si="3"/>
        <v>-0.63349266408591631</v>
      </c>
      <c r="G12" s="15">
        <v>158269.5</v>
      </c>
      <c r="H12" s="15">
        <f t="shared" si="1"/>
        <v>-74385.5</v>
      </c>
      <c r="I12" s="16">
        <f t="shared" si="2"/>
        <v>-0.46999263913767342</v>
      </c>
      <c r="J12" s="39" t="s">
        <v>30</v>
      </c>
      <c r="K12" s="39" t="s">
        <v>31</v>
      </c>
    </row>
    <row r="13" spans="1:11" ht="15.75">
      <c r="A13" s="28" t="str">
        <v>Ashland</v>
      </c>
      <c r="B13" s="29" t="str">
        <v>MA</v>
      </c>
      <c r="C13" s="11">
        <v>3053</v>
      </c>
      <c r="D13" s="18">
        <v>18082.05</v>
      </c>
      <c r="E13" s="18">
        <f t="shared" si="0"/>
        <v>-15029.05</v>
      </c>
      <c r="F13" s="19">
        <f t="shared" si="3"/>
        <v>-0.83115852461418915</v>
      </c>
      <c r="G13" s="20">
        <v>134293.1</v>
      </c>
      <c r="H13" s="20">
        <f t="shared" si="1"/>
        <v>-131240.1</v>
      </c>
      <c r="I13" s="19">
        <f t="shared" si="2"/>
        <v>-0.97726614397910239</v>
      </c>
      <c r="J13" s="38" t="s">
        <v>22</v>
      </c>
      <c r="K13" s="38" t="s">
        <v>22</v>
      </c>
    </row>
    <row r="14" spans="1:11" ht="42.95">
      <c r="A14" s="30" t="str">
        <v>Barrington</v>
      </c>
      <c r="B14" s="27" t="str">
        <v>MA</v>
      </c>
      <c r="C14" s="24">
        <v>15412</v>
      </c>
      <c r="D14" s="13">
        <v>23642.959999999999</v>
      </c>
      <c r="E14" s="13">
        <f t="shared" si="0"/>
        <v>-8230.9599999999991</v>
      </c>
      <c r="F14" s="14">
        <f t="shared" si="3"/>
        <v>-0.34813576641841798</v>
      </c>
      <c r="G14" s="15">
        <v>35820</v>
      </c>
      <c r="H14" s="15">
        <f t="shared" si="1"/>
        <v>-20408</v>
      </c>
      <c r="I14" s="16">
        <f t="shared" si="2"/>
        <v>-0.56973757677275261</v>
      </c>
      <c r="J14" s="39" t="s">
        <v>32</v>
      </c>
      <c r="K14" s="39" t="s">
        <v>33</v>
      </c>
    </row>
    <row r="15" spans="1:11" ht="15.75">
      <c r="A15" s="28" t="str">
        <v>Bedford - 205 Burlington Rd</v>
      </c>
      <c r="B15" s="29" t="str">
        <v>MA</v>
      </c>
      <c r="C15" s="11">
        <v>7938</v>
      </c>
      <c r="D15" s="18">
        <v>0</v>
      </c>
      <c r="E15" s="18">
        <f t="shared" si="0"/>
        <v>7938</v>
      </c>
      <c r="F15" s="19" t="str">
        <f t="shared" si="3"/>
        <v/>
      </c>
      <c r="G15" s="20">
        <v>0</v>
      </c>
      <c r="H15" s="20">
        <f t="shared" si="1"/>
        <v>7938</v>
      </c>
      <c r="I15" s="19" t="str">
        <f t="shared" si="2"/>
        <v/>
      </c>
      <c r="J15" s="38" t="s">
        <v>22</v>
      </c>
      <c r="K15" s="38" t="s">
        <v>22</v>
      </c>
    </row>
    <row r="16" spans="1:11" ht="15.75">
      <c r="A16" s="30" t="str">
        <v>Billerica - 6 Cook Street</v>
      </c>
      <c r="B16" s="27" t="str">
        <v>MA</v>
      </c>
      <c r="C16" s="24">
        <v>7069</v>
      </c>
      <c r="D16" s="13">
        <v>0</v>
      </c>
      <c r="E16" s="13">
        <f t="shared" si="0"/>
        <v>7069</v>
      </c>
      <c r="F16" s="14" t="str">
        <f t="shared" si="3"/>
        <v/>
      </c>
      <c r="G16" s="15">
        <v>0</v>
      </c>
      <c r="H16" s="15">
        <f t="shared" si="1"/>
        <v>7069</v>
      </c>
      <c r="I16" s="16" t="str">
        <f t="shared" si="2"/>
        <v/>
      </c>
      <c r="J16" s="39" t="s">
        <v>22</v>
      </c>
      <c r="K16" s="39" t="s">
        <v>22</v>
      </c>
    </row>
    <row r="17" spans="1:11" ht="15.75">
      <c r="A17" s="28" t="str">
        <v>Billerica - 780 Boston Road</v>
      </c>
      <c r="B17" s="29" t="str">
        <v>MA</v>
      </c>
      <c r="C17" s="11">
        <v>7922</v>
      </c>
      <c r="D17" s="18">
        <v>0</v>
      </c>
      <c r="E17" s="18">
        <f t="shared" si="0"/>
        <v>7922</v>
      </c>
      <c r="F17" s="19" t="str">
        <f t="shared" si="3"/>
        <v/>
      </c>
      <c r="G17" s="20">
        <v>0</v>
      </c>
      <c r="H17" s="20">
        <f t="shared" si="1"/>
        <v>7922</v>
      </c>
      <c r="I17" s="19" t="str">
        <f t="shared" si="2"/>
        <v/>
      </c>
      <c r="J17" s="38" t="s">
        <v>22</v>
      </c>
      <c r="K17" s="38" t="s">
        <v>22</v>
      </c>
    </row>
    <row r="18" spans="1:11" ht="15.75">
      <c r="A18" s="30" t="str">
        <v>Cheshire</v>
      </c>
      <c r="B18" s="27" t="str">
        <v>MA</v>
      </c>
      <c r="C18" s="24">
        <v>15272</v>
      </c>
      <c r="D18" s="13">
        <v>27330.66</v>
      </c>
      <c r="E18" s="13">
        <f t="shared" si="0"/>
        <v>-12058.66</v>
      </c>
      <c r="F18" s="14">
        <f t="shared" si="3"/>
        <v>-0.44121364065119539</v>
      </c>
      <c r="G18" s="15">
        <v>24314.38</v>
      </c>
      <c r="H18" s="15">
        <f t="shared" si="1"/>
        <v>-9042.380000000001</v>
      </c>
      <c r="I18" s="16">
        <f t="shared" si="2"/>
        <v>-0.37189432755431151</v>
      </c>
      <c r="J18" s="39" t="s">
        <v>22</v>
      </c>
      <c r="K18" s="39" t="s">
        <v>22</v>
      </c>
    </row>
    <row r="19" spans="1:11" ht="15.75">
      <c r="A19" s="28" t="str">
        <v>Lilly Lane</v>
      </c>
      <c r="B19" s="29" t="str">
        <v>MA</v>
      </c>
      <c r="C19" s="11">
        <v>37262</v>
      </c>
      <c r="D19" s="18">
        <v>61721.41</v>
      </c>
      <c r="E19" s="18">
        <f t="shared" si="0"/>
        <v>-24459.410000000003</v>
      </c>
      <c r="F19" s="19">
        <f t="shared" si="3"/>
        <v>-0.39628728507660471</v>
      </c>
      <c r="G19">
        <v>113135.5</v>
      </c>
      <c r="H19" s="20">
        <f t="shared" si="1"/>
        <v>-75873.5</v>
      </c>
      <c r="I19" s="19">
        <f t="shared" si="2"/>
        <v>-0.67064272487415533</v>
      </c>
      <c r="J19" s="38" t="s">
        <v>22</v>
      </c>
      <c r="K19" s="38" t="s">
        <v>22</v>
      </c>
    </row>
    <row r="20" spans="1:11" ht="15.75">
      <c r="A20" s="30" t="str">
        <v>Monument Valley</v>
      </c>
      <c r="B20" s="27" t="str">
        <v>MA</v>
      </c>
      <c r="C20" s="24">
        <v>68801</v>
      </c>
      <c r="D20" s="13">
        <v>28968.03</v>
      </c>
      <c r="E20" s="13">
        <f t="shared" si="0"/>
        <v>39832.97</v>
      </c>
      <c r="F20" s="14">
        <f t="shared" si="3"/>
        <v>1.3750665820216288</v>
      </c>
      <c r="G20" s="15">
        <v>0</v>
      </c>
      <c r="H20" s="15">
        <f t="shared" si="1"/>
        <v>68801</v>
      </c>
      <c r="I20" s="16" t="str">
        <f t="shared" si="2"/>
        <v/>
      </c>
      <c r="J20" s="39" t="s">
        <v>22</v>
      </c>
      <c r="K20" s="39" t="s">
        <v>22</v>
      </c>
    </row>
    <row r="21" spans="1:11" ht="15.75">
      <c r="A21" s="28" t="str">
        <v>Nationwide</v>
      </c>
      <c r="B21" s="29" t="str">
        <v>MA</v>
      </c>
      <c r="C21" s="11">
        <v>98960</v>
      </c>
      <c r="D21" s="18">
        <v>221313.9</v>
      </c>
      <c r="E21" s="18">
        <f t="shared" si="0"/>
        <v>-122353.9</v>
      </c>
      <c r="F21" s="19">
        <f t="shared" si="3"/>
        <v>-0.55285230615880876</v>
      </c>
      <c r="G21" s="20">
        <v>298977.59999999998</v>
      </c>
      <c r="H21" s="20">
        <f t="shared" si="1"/>
        <v>-200017.59999999998</v>
      </c>
      <c r="I21" s="19">
        <f t="shared" si="2"/>
        <v>-0.66900530340734554</v>
      </c>
      <c r="J21" s="38" t="s">
        <v>22</v>
      </c>
      <c r="K21" s="38" t="s">
        <v>22</v>
      </c>
    </row>
    <row r="22" spans="1:11" ht="15.75">
      <c r="A22" s="30" t="str">
        <v>Pulpit Hill</v>
      </c>
      <c r="B22" s="27" t="str">
        <v>MA</v>
      </c>
      <c r="C22" s="24">
        <v>147440</v>
      </c>
      <c r="D22" s="13">
        <v>286661.3</v>
      </c>
      <c r="E22" s="13">
        <f t="shared" si="0"/>
        <v>-139221.29999999999</v>
      </c>
      <c r="F22" s="14">
        <f t="shared" si="3"/>
        <v>-0.48566478977106431</v>
      </c>
      <c r="G22" s="15">
        <v>356965.5</v>
      </c>
      <c r="H22" s="15">
        <f t="shared" si="1"/>
        <v>-209525.5</v>
      </c>
      <c r="I22" s="16">
        <f t="shared" si="2"/>
        <v>-0.58696288576907296</v>
      </c>
      <c r="J22" s="39" t="s">
        <v>34</v>
      </c>
      <c r="K22" s="39" t="s">
        <v>35</v>
      </c>
    </row>
    <row r="23" spans="1:11" ht="15.75">
      <c r="A23" s="28" t="str">
        <v>Sandwich</v>
      </c>
      <c r="B23" s="29" t="str">
        <v>MA</v>
      </c>
      <c r="C23">
        <v>69116</v>
      </c>
      <c r="D23" s="18">
        <v>0</v>
      </c>
      <c r="E23" s="18">
        <f t="shared" si="0"/>
        <v>69116</v>
      </c>
      <c r="F23" s="19" t="str">
        <f t="shared" si="3"/>
        <v/>
      </c>
      <c r="G23" s="20">
        <v>0</v>
      </c>
      <c r="H23" s="20">
        <f t="shared" si="1"/>
        <v>69116</v>
      </c>
      <c r="I23" s="19" t="str">
        <f t="shared" si="2"/>
        <v/>
      </c>
      <c r="J23" s="38" t="s">
        <v>22</v>
      </c>
      <c r="K23" s="38" t="s">
        <v>22</v>
      </c>
    </row>
    <row r="24" spans="1:11" ht="28.7">
      <c r="A24" s="30" t="str">
        <v>Sturbridge Barn</v>
      </c>
      <c r="B24" s="27" t="str">
        <v>MA</v>
      </c>
      <c r="C24" s="24">
        <v>40594</v>
      </c>
      <c r="D24" s="13">
        <v>79345.86</v>
      </c>
      <c r="E24" s="13">
        <f t="shared" si="0"/>
        <v>-38751.86</v>
      </c>
      <c r="F24" s="14">
        <f t="shared" si="3"/>
        <v>-0.48839170688930716</v>
      </c>
      <c r="G24" s="15">
        <v>110612.6</v>
      </c>
      <c r="H24" s="15">
        <f t="shared" si="1"/>
        <v>-70018.600000000006</v>
      </c>
      <c r="I24" s="16">
        <f t="shared" si="2"/>
        <v>-0.63300745123069169</v>
      </c>
      <c r="J24" s="39" t="s">
        <v>36</v>
      </c>
      <c r="K24" s="39" t="s">
        <v>37</v>
      </c>
    </row>
    <row r="25" spans="1:11" ht="15.75">
      <c r="A25" s="28" t="str">
        <v>Sturbridge Garage</v>
      </c>
      <c r="B25" s="29" t="str">
        <v>MA</v>
      </c>
      <c r="C25" s="11">
        <v>20528.25</v>
      </c>
      <c r="D25" s="18">
        <v>36997.33</v>
      </c>
      <c r="E25" s="18">
        <f t="shared" si="0"/>
        <v>-16469.080000000002</v>
      </c>
      <c r="F25" s="19">
        <f t="shared" si="3"/>
        <v>-0.44514239270779815</v>
      </c>
      <c r="G25" s="20">
        <v>55886.080000000002</v>
      </c>
      <c r="H25" s="20">
        <f t="shared" si="1"/>
        <v>-35357.83</v>
      </c>
      <c r="I25" s="19">
        <f t="shared" si="2"/>
        <v>-0.63267686694074809</v>
      </c>
      <c r="J25" s="38" t="s">
        <v>38</v>
      </c>
      <c r="K25" s="38" t="s">
        <v>39</v>
      </c>
    </row>
    <row r="26" spans="1:11" ht="15.75">
      <c r="A26" s="30" t="str">
        <v>Halsey Valley</v>
      </c>
      <c r="B26" s="27" t="str">
        <v>NY</v>
      </c>
      <c r="C26" s="24">
        <v>147564</v>
      </c>
      <c r="D26" s="13">
        <v>292774.59999999998</v>
      </c>
      <c r="E26" s="13">
        <f t="shared" si="0"/>
        <v>-145210.59999999998</v>
      </c>
      <c r="F26" s="14">
        <f t="shared" si="3"/>
        <v>-0.49598086719271406</v>
      </c>
      <c r="G26" s="15">
        <v>384000</v>
      </c>
      <c r="H26" s="15">
        <f t="shared" si="1"/>
        <v>-236436</v>
      </c>
      <c r="I26" s="16">
        <f t="shared" si="2"/>
        <v>-0.61571874999999998</v>
      </c>
      <c r="J26" s="39" t="s">
        <v>40</v>
      </c>
      <c r="K26" s="39" t="s">
        <v>41</v>
      </c>
    </row>
    <row r="27" spans="1:11" ht="57.4">
      <c r="A27" s="28" t="str">
        <v>Hunt Creek</v>
      </c>
      <c r="B27" s="29" t="str">
        <v>NY</v>
      </c>
      <c r="C27" s="11">
        <v>87616.95</v>
      </c>
      <c r="D27" s="18">
        <v>201235.3</v>
      </c>
      <c r="E27" s="18">
        <f t="shared" si="0"/>
        <v>-113618.34999999999</v>
      </c>
      <c r="F27" s="19">
        <f t="shared" si="3"/>
        <v>-0.56460447048803064</v>
      </c>
      <c r="G27" s="20">
        <v>228700</v>
      </c>
      <c r="H27" s="20">
        <f t="shared" si="1"/>
        <v>-141083.04999999999</v>
      </c>
      <c r="I27" s="19">
        <f t="shared" si="2"/>
        <v>-0.61689134236991683</v>
      </c>
      <c r="J27" s="38" t="s">
        <v>42</v>
      </c>
      <c r="K27" s="38" t="s">
        <v>43</v>
      </c>
    </row>
    <row r="28" spans="1:11" ht="15.75">
      <c r="A28" s="30" t="str">
        <v>Smith Creek</v>
      </c>
      <c r="B28" s="27" t="str">
        <v>NY</v>
      </c>
      <c r="C28" s="24">
        <v>140087</v>
      </c>
      <c r="D28" s="13">
        <v>237488.5</v>
      </c>
      <c r="E28" s="13">
        <f t="shared" si="0"/>
        <v>-97401.5</v>
      </c>
      <c r="F28" s="14">
        <f t="shared" si="3"/>
        <v>-0.41013143794331092</v>
      </c>
      <c r="G28" s="15">
        <v>400605.5</v>
      </c>
      <c r="H28" s="15">
        <f t="shared" si="1"/>
        <v>-260518.5</v>
      </c>
      <c r="I28" s="16">
        <f t="shared" si="2"/>
        <v>-0.65031184045151647</v>
      </c>
      <c r="J28" s="39" t="s">
        <v>22</v>
      </c>
      <c r="K28" s="39" t="s">
        <v>22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39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1">
      <c r="C344" s="21"/>
      <c r="D344" s="21"/>
      <c r="E344" s="21"/>
      <c r="F344" s="22"/>
      <c r="G344" s="21"/>
      <c r="H344" s="21"/>
      <c r="I344" s="22"/>
    </row>
  </sheetData>
  <mergeCells count="4">
    <mergeCell ref="A1:C1"/>
    <mergeCell ref="D1:F1"/>
    <mergeCell ref="G1:I1"/>
    <mergeCell ref="A2:B2"/>
  </mergeCells>
  <conditionalFormatting sqref="F2 I2 F4:F102 I4:I102">
    <cfRule type="cellIs" dxfId="47" priority="3" stopIfTrue="1" operator="lessThanOrEqual">
      <formula>-0.1</formula>
    </cfRule>
    <cfRule type="expression" dxfId="4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5"/>
  <sheetViews>
    <sheetView workbookViewId="0">
      <pane xSplit="2" ySplit="3" topLeftCell="C11" activePane="bottomRight" state="frozen"/>
      <selection pane="bottomRight" activeCell="J13" sqref="J13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44</v>
      </c>
      <c r="E1" s="52"/>
      <c r="F1" s="52"/>
      <c r="G1" s="50" t="s">
        <v>45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5730613.6363829793</v>
      </c>
      <c r="D2" s="5">
        <f>SUM(D4:D103)</f>
        <v>5700189.2299999995</v>
      </c>
      <c r="E2" s="5">
        <f>C2-D2</f>
        <v>30424.406382979825</v>
      </c>
      <c r="F2" s="6">
        <f>IFERROR(E2/D2, 0)</f>
        <v>5.3374379613323518E-3</v>
      </c>
      <c r="G2" s="5">
        <f>SUM(G4:G103)</f>
        <v>4428387.1499999994</v>
      </c>
      <c r="H2" s="7">
        <f>C2-G2</f>
        <v>1302226.4863829799</v>
      </c>
      <c r="I2" s="6">
        <f>IFERROR(H2/G2, 0)</f>
        <v>0.29406337844309299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44" t="str" cm="1">
        <f t="array" ref="A4:A28">Sites[Site]</f>
        <v>Barkhamsted</v>
      </c>
      <c r="B4" s="27" t="str" cm="1">
        <f t="array" ref="B4:B28">Sites[State]</f>
        <v>CT</v>
      </c>
      <c r="C4" s="24">
        <v>137901</v>
      </c>
      <c r="D4" s="13">
        <v>155136.70000000001</v>
      </c>
      <c r="E4" s="13">
        <f>IF(AND(ISNUMBER(C4),ISNUMBER(D4)), C4-D4, "")</f>
        <v>-17235.700000000012</v>
      </c>
      <c r="F4" s="14">
        <f>IFERROR(E4/D4, "")</f>
        <v>-0.11110008141207084</v>
      </c>
      <c r="G4" s="15">
        <v>118880.1</v>
      </c>
      <c r="H4" s="15">
        <f>IF(AND(ISNUMBER(C4),ISNUMBER(G4)), C4-G4, "")</f>
        <v>19020.899999999994</v>
      </c>
      <c r="I4" s="16">
        <f>IFERROR(H4/G4, "")</f>
        <v>0.16000070659429116</v>
      </c>
      <c r="J4" s="38"/>
      <c r="K4" s="38"/>
    </row>
    <row r="5" spans="1:11" ht="15.75">
      <c r="A5" s="45" t="str">
        <v>Bunce</v>
      </c>
      <c r="B5" s="29" t="str">
        <v>CT</v>
      </c>
      <c r="C5" s="11">
        <v>255566.25</v>
      </c>
      <c r="D5" s="18">
        <v>264677.8</v>
      </c>
      <c r="E5" s="18">
        <f t="shared" ref="E5:E28" si="0">IF(AND(ISNUMBER(C5),ISNUMBER(D5)), C5-D5, "")</f>
        <v>-9111.5499999999884</v>
      </c>
      <c r="F5" s="19">
        <f>IFERROR(E5/D5, "")</f>
        <v>-3.4425063227818839E-2</v>
      </c>
      <c r="G5" s="20">
        <v>0</v>
      </c>
      <c r="H5" s="20">
        <f t="shared" ref="H5:H28" si="1">IF(AND(ISNUMBER(C5),ISNUMBER(G5)), C5-G5, "")</f>
        <v>255566.25</v>
      </c>
      <c r="I5" s="19" t="str">
        <f t="shared" ref="I5:I28" si="2">IFERROR(H5/G5, "")</f>
        <v/>
      </c>
      <c r="J5" s="39"/>
      <c r="K5" s="39"/>
    </row>
    <row r="6" spans="1:11" ht="15.75">
      <c r="A6" s="44" t="str">
        <v>Norcap North</v>
      </c>
      <c r="B6" s="27" t="str">
        <v>CT</v>
      </c>
      <c r="C6" s="24">
        <v>258225.5</v>
      </c>
      <c r="D6" s="13">
        <v>313527</v>
      </c>
      <c r="E6" s="13">
        <f t="shared" si="0"/>
        <v>-55301.5</v>
      </c>
      <c r="F6" s="14">
        <f t="shared" ref="F6:F28" si="3">IFERROR(E6/D6, "")</f>
        <v>-0.17638512791561811</v>
      </c>
      <c r="G6" s="15">
        <v>213416.4</v>
      </c>
      <c r="H6" s="15">
        <f t="shared" si="1"/>
        <v>44809.100000000006</v>
      </c>
      <c r="I6" s="16">
        <f t="shared" si="2"/>
        <v>0.20996090272350207</v>
      </c>
      <c r="J6" s="38"/>
      <c r="K6" s="38"/>
    </row>
    <row r="7" spans="1:11" ht="71.650000000000006">
      <c r="A7" s="45" t="str">
        <v>Norcap South</v>
      </c>
      <c r="B7" s="29" t="str">
        <v>CT</v>
      </c>
      <c r="C7" s="11">
        <v>270255</v>
      </c>
      <c r="D7" s="18">
        <v>346522.8</v>
      </c>
      <c r="E7" s="18">
        <f t="shared" si="0"/>
        <v>-76267.799999999988</v>
      </c>
      <c r="F7" s="19">
        <f t="shared" si="3"/>
        <v>-0.22009460849329393</v>
      </c>
      <c r="G7" s="20">
        <v>203138.3</v>
      </c>
      <c r="H7" s="20">
        <f t="shared" si="1"/>
        <v>67116.700000000012</v>
      </c>
      <c r="I7" s="19">
        <f t="shared" si="2"/>
        <v>0.33039904341032694</v>
      </c>
      <c r="J7" s="39" t="s">
        <v>46</v>
      </c>
      <c r="K7" s="48" t="s">
        <v>47</v>
      </c>
    </row>
    <row r="8" spans="1:11" ht="15.75">
      <c r="A8" s="44" t="str">
        <v>Platt Hill</v>
      </c>
      <c r="B8" s="27" t="str">
        <v>CT</v>
      </c>
      <c r="C8" s="24">
        <v>291036.50638297899</v>
      </c>
      <c r="D8" s="13">
        <v>311905.09999999998</v>
      </c>
      <c r="E8" s="13">
        <f t="shared" si="0"/>
        <v>-20868.59361702099</v>
      </c>
      <c r="F8" s="14">
        <f t="shared" si="3"/>
        <v>-6.6906868842545347E-2</v>
      </c>
      <c r="G8" s="15">
        <v>274974.59999999998</v>
      </c>
      <c r="H8" s="15">
        <f t="shared" si="1"/>
        <v>16061.90638297901</v>
      </c>
      <c r="I8" s="16">
        <f t="shared" si="2"/>
        <v>5.8412327476716076E-2</v>
      </c>
      <c r="J8" s="38"/>
      <c r="K8" s="38"/>
    </row>
    <row r="9" spans="1:11" ht="15.75">
      <c r="A9" s="45" t="str">
        <v>Powder Hill</v>
      </c>
      <c r="B9" s="29" t="str">
        <v>CT</v>
      </c>
      <c r="C9" s="11">
        <v>245989</v>
      </c>
      <c r="D9" s="18">
        <v>275345.2</v>
      </c>
      <c r="E9" s="18">
        <f t="shared" si="0"/>
        <v>-29356.200000000012</v>
      </c>
      <c r="F9" s="19">
        <f t="shared" si="3"/>
        <v>-0.10661598604224809</v>
      </c>
      <c r="G9" s="20">
        <v>178140</v>
      </c>
      <c r="H9" s="20">
        <f t="shared" si="1"/>
        <v>67849</v>
      </c>
      <c r="I9" s="19">
        <f t="shared" si="2"/>
        <v>0.38087459301672844</v>
      </c>
      <c r="J9" s="39"/>
      <c r="K9" s="39"/>
    </row>
    <row r="10" spans="1:11" ht="15.75">
      <c r="A10" s="44" t="str">
        <v>Sand Road</v>
      </c>
      <c r="B10" s="27" t="str">
        <v>CT</v>
      </c>
      <c r="C10" s="24">
        <v>267257</v>
      </c>
      <c r="D10" s="13">
        <v>262006</v>
      </c>
      <c r="E10" s="13">
        <f t="shared" si="0"/>
        <v>5251</v>
      </c>
      <c r="F10" s="14">
        <f t="shared" si="3"/>
        <v>2.0041525766585497E-2</v>
      </c>
      <c r="G10" s="15">
        <v>179737</v>
      </c>
      <c r="H10" s="15">
        <f t="shared" si="1"/>
        <v>87520</v>
      </c>
      <c r="I10" s="16">
        <f t="shared" si="2"/>
        <v>0.48693368644185669</v>
      </c>
      <c r="J10" s="38"/>
      <c r="K10" s="38"/>
    </row>
    <row r="11" spans="1:11" ht="57.4">
      <c r="A11" s="45" t="str">
        <v>Suffield</v>
      </c>
      <c r="B11" s="29" t="str">
        <v>CT</v>
      </c>
      <c r="C11" s="11">
        <v>246077</v>
      </c>
      <c r="D11" s="18">
        <v>257109</v>
      </c>
      <c r="E11" s="18">
        <f t="shared" si="0"/>
        <v>-11032</v>
      </c>
      <c r="F11" s="19">
        <f t="shared" si="3"/>
        <v>-4.2907871758670446E-2</v>
      </c>
      <c r="G11" s="20">
        <v>223048.4</v>
      </c>
      <c r="H11" s="20">
        <f t="shared" si="1"/>
        <v>23028.600000000006</v>
      </c>
      <c r="I11" s="19">
        <f t="shared" si="2"/>
        <v>0.10324485627334698</v>
      </c>
      <c r="J11" s="39" t="s">
        <v>48</v>
      </c>
      <c r="K11" s="49" t="s">
        <v>49</v>
      </c>
    </row>
    <row r="12" spans="1:11" ht="15.75">
      <c r="A12" s="44" t="str">
        <v>Ashby-Duffy</v>
      </c>
      <c r="B12" s="27" t="str">
        <v>MA</v>
      </c>
      <c r="C12" s="24">
        <v>261552</v>
      </c>
      <c r="D12" s="13">
        <v>374863.5</v>
      </c>
      <c r="E12" s="13">
        <f t="shared" si="0"/>
        <v>-113311.5</v>
      </c>
      <c r="F12" s="14">
        <f t="shared" si="3"/>
        <v>-0.30227402774609957</v>
      </c>
      <c r="G12" s="15">
        <v>210128.9</v>
      </c>
      <c r="H12" s="15">
        <f t="shared" si="1"/>
        <v>51423.100000000006</v>
      </c>
      <c r="I12" s="16">
        <f t="shared" si="2"/>
        <v>0.24472169225651497</v>
      </c>
      <c r="J12" s="38"/>
      <c r="K12" s="38"/>
    </row>
    <row r="13" spans="1:11" ht="28.7">
      <c r="A13" s="45" t="str">
        <v>Ashland</v>
      </c>
      <c r="B13" s="29" t="str">
        <v>MA</v>
      </c>
      <c r="C13" s="11">
        <v>6940.5</v>
      </c>
      <c r="D13" s="18">
        <v>20582.64</v>
      </c>
      <c r="E13" s="18">
        <f t="shared" si="0"/>
        <v>-13642.14</v>
      </c>
      <c r="F13" s="19">
        <f t="shared" si="3"/>
        <v>-0.66279835822809896</v>
      </c>
      <c r="G13" s="20">
        <v>227005.3</v>
      </c>
      <c r="H13" s="20">
        <f t="shared" si="1"/>
        <v>-220064.8</v>
      </c>
      <c r="I13" s="19">
        <f t="shared" si="2"/>
        <v>-0.96942582397855914</v>
      </c>
      <c r="J13" s="39" t="s">
        <v>50</v>
      </c>
      <c r="K13" s="39" t="s">
        <v>51</v>
      </c>
    </row>
    <row r="14" spans="1:11" ht="15.75">
      <c r="A14" s="44" t="str">
        <v>Barrington</v>
      </c>
      <c r="B14" s="27" t="str">
        <v>MA</v>
      </c>
      <c r="C14" s="24">
        <v>57373.5</v>
      </c>
      <c r="D14" s="13">
        <v>51584.33</v>
      </c>
      <c r="E14" s="13">
        <f t="shared" si="0"/>
        <v>5789.1699999999983</v>
      </c>
      <c r="F14" s="14">
        <f t="shared" si="3"/>
        <v>0.11222729848386125</v>
      </c>
      <c r="G14" s="15">
        <v>54460</v>
      </c>
      <c r="H14" s="15">
        <f t="shared" si="1"/>
        <v>2913.5</v>
      </c>
      <c r="I14" s="16">
        <f t="shared" si="2"/>
        <v>5.3497980168931328E-2</v>
      </c>
      <c r="J14" s="38"/>
      <c r="K14" s="38"/>
    </row>
    <row r="15" spans="1:11" ht="15.75">
      <c r="A15" s="45" t="str">
        <v>Bedford - 205 Burlington Rd</v>
      </c>
      <c r="B15" s="29" t="str">
        <v>MA</v>
      </c>
      <c r="C15" s="11">
        <v>27156</v>
      </c>
      <c r="D15" s="18">
        <v>0</v>
      </c>
      <c r="E15" s="18">
        <f t="shared" si="0"/>
        <v>27156</v>
      </c>
      <c r="F15" s="19" t="str">
        <f t="shared" si="3"/>
        <v/>
      </c>
      <c r="G15" s="20">
        <v>0</v>
      </c>
      <c r="H15" s="20">
        <f t="shared" si="1"/>
        <v>27156</v>
      </c>
      <c r="I15" s="19" t="str">
        <f t="shared" si="2"/>
        <v/>
      </c>
      <c r="J15" s="39"/>
      <c r="K15" s="39"/>
    </row>
    <row r="16" spans="1:11" ht="15.75">
      <c r="A16" s="44" t="str">
        <v>Billerica - 6 Cook Street</v>
      </c>
      <c r="B16" s="27" t="str">
        <v>MA</v>
      </c>
      <c r="C16" s="24">
        <v>23191</v>
      </c>
      <c r="D16" s="13">
        <v>0</v>
      </c>
      <c r="E16" s="13">
        <f t="shared" si="0"/>
        <v>23191</v>
      </c>
      <c r="F16" s="14" t="str">
        <f t="shared" si="3"/>
        <v/>
      </c>
      <c r="G16" s="15">
        <v>0</v>
      </c>
      <c r="H16" s="15">
        <f t="shared" si="1"/>
        <v>23191</v>
      </c>
      <c r="I16" s="16" t="str">
        <f t="shared" si="2"/>
        <v/>
      </c>
      <c r="J16" s="38"/>
      <c r="K16" s="38"/>
    </row>
    <row r="17" spans="1:11" ht="15.75">
      <c r="A17" s="45" t="str">
        <v>Billerica - 780 Boston Road</v>
      </c>
      <c r="B17" s="29" t="str">
        <v>MA</v>
      </c>
      <c r="C17" s="11">
        <v>25917</v>
      </c>
      <c r="D17" s="18">
        <v>0</v>
      </c>
      <c r="E17" s="18">
        <f t="shared" si="0"/>
        <v>25917</v>
      </c>
      <c r="F17" s="19" t="str">
        <f t="shared" si="3"/>
        <v/>
      </c>
      <c r="G17" s="20">
        <v>0</v>
      </c>
      <c r="H17" s="20">
        <f t="shared" si="1"/>
        <v>25917</v>
      </c>
      <c r="I17" s="19" t="str">
        <f t="shared" si="2"/>
        <v/>
      </c>
      <c r="J17" s="39" t="s">
        <v>52</v>
      </c>
      <c r="K17" s="39" t="s">
        <v>53</v>
      </c>
    </row>
    <row r="18" spans="1:11" ht="12.75" customHeight="1">
      <c r="A18" s="44" t="str">
        <v>Cheshire</v>
      </c>
      <c r="B18" s="27" t="str">
        <v>MA</v>
      </c>
      <c r="C18" s="24">
        <v>59648.75</v>
      </c>
      <c r="D18" s="13">
        <v>63568.84</v>
      </c>
      <c r="E18" s="13">
        <f t="shared" si="0"/>
        <v>-3920.0899999999965</v>
      </c>
      <c r="F18" s="14">
        <f t="shared" si="3"/>
        <v>-6.1666848097275281E-2</v>
      </c>
      <c r="G18" s="15">
        <v>34278.74</v>
      </c>
      <c r="H18" s="15">
        <f t="shared" si="1"/>
        <v>25370.010000000002</v>
      </c>
      <c r="I18" s="16">
        <f t="shared" si="2"/>
        <v>0.74010917554145816</v>
      </c>
      <c r="J18" s="38"/>
      <c r="K18" s="38"/>
    </row>
    <row r="19" spans="1:11" ht="42.95">
      <c r="A19" s="45" t="str">
        <v>Lilly Lane</v>
      </c>
      <c r="B19" s="29" t="str">
        <v>MA</v>
      </c>
      <c r="C19" s="11">
        <v>106235.5</v>
      </c>
      <c r="D19" s="18">
        <v>114676.2</v>
      </c>
      <c r="E19" s="18">
        <f t="shared" si="0"/>
        <v>-8440.6999999999971</v>
      </c>
      <c r="F19" s="19">
        <f t="shared" si="3"/>
        <v>-7.3604636358721318E-2</v>
      </c>
      <c r="G19" s="20">
        <v>134093</v>
      </c>
      <c r="H19" s="20">
        <f t="shared" si="1"/>
        <v>-27857.5</v>
      </c>
      <c r="I19" s="19">
        <f t="shared" si="2"/>
        <v>-0.20774760800340061</v>
      </c>
      <c r="J19" s="39" t="s">
        <v>54</v>
      </c>
      <c r="K19" s="39" t="s">
        <v>55</v>
      </c>
    </row>
    <row r="20" spans="1:11" ht="15.75">
      <c r="A20" s="44" t="str">
        <v>Monument Valley</v>
      </c>
      <c r="B20" s="27" t="str">
        <v>MA</v>
      </c>
      <c r="C20" s="24">
        <v>256982.68</v>
      </c>
      <c r="D20" s="13">
        <v>60936.71</v>
      </c>
      <c r="E20" s="13">
        <f t="shared" si="0"/>
        <v>196045.97</v>
      </c>
      <c r="F20" s="14">
        <f t="shared" si="3"/>
        <v>3.2172063440904508</v>
      </c>
      <c r="G20" s="15">
        <v>0</v>
      </c>
      <c r="H20" s="15">
        <f t="shared" si="1"/>
        <v>256982.68</v>
      </c>
      <c r="I20" s="16" t="str">
        <f t="shared" si="2"/>
        <v/>
      </c>
      <c r="J20" s="38"/>
      <c r="K20" s="38"/>
    </row>
    <row r="21" spans="1:11" ht="15.75">
      <c r="A21" s="45" t="str">
        <v>Nationwide</v>
      </c>
      <c r="B21" s="29" t="str">
        <v>MA</v>
      </c>
      <c r="C21" s="11">
        <v>335697.5</v>
      </c>
      <c r="D21" s="18">
        <v>411623.2</v>
      </c>
      <c r="E21" s="18">
        <f t="shared" si="0"/>
        <v>-75925.700000000012</v>
      </c>
      <c r="F21" s="19">
        <f t="shared" si="3"/>
        <v>-0.18445437477770935</v>
      </c>
      <c r="G21" s="20">
        <v>341058.3</v>
      </c>
      <c r="H21" s="20">
        <f t="shared" si="1"/>
        <v>-5360.7999999999884</v>
      </c>
      <c r="I21" s="19">
        <f t="shared" si="2"/>
        <v>-1.5718133820522732E-2</v>
      </c>
      <c r="J21" s="39"/>
      <c r="K21" s="39"/>
    </row>
    <row r="22" spans="1:11" ht="15.75">
      <c r="A22" s="44" t="str">
        <v>Pulpit Hill</v>
      </c>
      <c r="B22" s="27" t="str">
        <v>MA</v>
      </c>
      <c r="C22" s="24">
        <v>599611.19999999995</v>
      </c>
      <c r="D22" s="13">
        <v>582439.6</v>
      </c>
      <c r="E22" s="13">
        <f t="shared" si="0"/>
        <v>17171.599999999977</v>
      </c>
      <c r="F22" s="14">
        <f t="shared" si="3"/>
        <v>2.9482198669183855E-2</v>
      </c>
      <c r="G22" s="15">
        <v>492197.3</v>
      </c>
      <c r="H22" s="15">
        <f t="shared" si="1"/>
        <v>107413.89999999997</v>
      </c>
      <c r="I22" s="16">
        <f t="shared" si="2"/>
        <v>0.21823341980949504</v>
      </c>
      <c r="J22" s="38"/>
      <c r="K22" s="38"/>
    </row>
    <row r="23" spans="1:11" ht="28.7">
      <c r="A23" s="45" t="str">
        <v>Sandwich</v>
      </c>
      <c r="B23" s="29" t="str">
        <v>MA</v>
      </c>
      <c r="C23" s="11">
        <v>388044</v>
      </c>
      <c r="D23" s="18">
        <v>0</v>
      </c>
      <c r="E23" s="18">
        <f t="shared" si="0"/>
        <v>388044</v>
      </c>
      <c r="F23" s="19" t="str">
        <f t="shared" si="3"/>
        <v/>
      </c>
      <c r="G23" s="20">
        <v>0</v>
      </c>
      <c r="H23" s="20">
        <f t="shared" si="1"/>
        <v>388044</v>
      </c>
      <c r="I23" s="19" t="str">
        <f t="shared" si="2"/>
        <v/>
      </c>
      <c r="J23" s="39" t="s">
        <v>56</v>
      </c>
      <c r="K23" s="39" t="s">
        <v>57</v>
      </c>
    </row>
    <row r="24" spans="1:11" ht="15.75">
      <c r="A24" s="44" t="str">
        <v>Sturbridge Barn</v>
      </c>
      <c r="B24" s="27" t="str">
        <v>MA</v>
      </c>
      <c r="C24" s="24">
        <v>109399</v>
      </c>
      <c r="D24" s="13">
        <v>145433.5</v>
      </c>
      <c r="E24" s="13">
        <f t="shared" si="0"/>
        <v>-36034.5</v>
      </c>
      <c r="F24" s="14">
        <f t="shared" si="3"/>
        <v>-0.24777303716131427</v>
      </c>
      <c r="G24" s="15">
        <v>134159</v>
      </c>
      <c r="H24" s="15">
        <f t="shared" si="1"/>
        <v>-24760</v>
      </c>
      <c r="I24" s="16">
        <f t="shared" si="2"/>
        <v>-0.1845571299726444</v>
      </c>
      <c r="J24" s="38" t="s">
        <v>58</v>
      </c>
      <c r="K24" s="38" t="s">
        <v>59</v>
      </c>
    </row>
    <row r="25" spans="1:11" ht="15.75">
      <c r="A25" s="45" t="str">
        <v>Sturbridge Garage</v>
      </c>
      <c r="B25" s="29" t="str">
        <v>MA</v>
      </c>
      <c r="C25" s="11">
        <v>54338.25</v>
      </c>
      <c r="D25" s="18">
        <v>70059.81</v>
      </c>
      <c r="E25" s="18">
        <f t="shared" si="0"/>
        <v>-15721.559999999998</v>
      </c>
      <c r="F25" s="19">
        <f t="shared" si="3"/>
        <v>-0.22440197882352234</v>
      </c>
      <c r="G25" s="20">
        <v>66239.009999999995</v>
      </c>
      <c r="H25" s="20">
        <f t="shared" si="1"/>
        <v>-11900.759999999995</v>
      </c>
      <c r="I25" s="19">
        <f t="shared" si="2"/>
        <v>-0.17966391707847076</v>
      </c>
      <c r="J25" s="39" t="s">
        <v>58</v>
      </c>
      <c r="K25" s="39" t="s">
        <v>60</v>
      </c>
    </row>
    <row r="26" spans="1:11" ht="15.75">
      <c r="A26" s="44" t="str">
        <v>Halsey Valley</v>
      </c>
      <c r="B26" s="27" t="str">
        <v>NY</v>
      </c>
      <c r="C26" s="24">
        <v>605139</v>
      </c>
      <c r="D26" s="13">
        <v>647510</v>
      </c>
      <c r="E26" s="13">
        <f t="shared" si="0"/>
        <v>-42371</v>
      </c>
      <c r="F26" s="14">
        <f t="shared" si="3"/>
        <v>-6.5436827230467481E-2</v>
      </c>
      <c r="G26" s="15">
        <v>528000</v>
      </c>
      <c r="H26" s="15">
        <f t="shared" si="1"/>
        <v>77139</v>
      </c>
      <c r="I26" s="16">
        <f t="shared" si="2"/>
        <v>0.14609659090909091</v>
      </c>
      <c r="J26" s="38"/>
      <c r="K26" s="38"/>
    </row>
    <row r="27" spans="1:11" ht="91.5" customHeight="1">
      <c r="A27" s="45" t="str">
        <v>Hunt Creek</v>
      </c>
      <c r="B27" s="29" t="str">
        <v>NY</v>
      </c>
      <c r="C27" s="11">
        <v>375246.5</v>
      </c>
      <c r="D27" s="18">
        <v>461895.2</v>
      </c>
      <c r="E27" s="18">
        <f t="shared" si="0"/>
        <v>-86648.700000000012</v>
      </c>
      <c r="F27" s="19">
        <f t="shared" si="3"/>
        <v>-0.18759385245830659</v>
      </c>
      <c r="G27" s="20">
        <v>340300</v>
      </c>
      <c r="H27" s="20">
        <f t="shared" si="1"/>
        <v>34946.5</v>
      </c>
      <c r="I27" s="19">
        <f t="shared" si="2"/>
        <v>0.10269321187187776</v>
      </c>
      <c r="J27" s="48" t="s">
        <v>61</v>
      </c>
      <c r="K27" s="48" t="s">
        <v>62</v>
      </c>
    </row>
    <row r="28" spans="1:11" ht="66" customHeight="1">
      <c r="A28" s="44" t="str">
        <v>Smith Creek</v>
      </c>
      <c r="B28" s="27" t="str">
        <v>NY</v>
      </c>
      <c r="C28" s="24">
        <v>465834</v>
      </c>
      <c r="D28" s="13">
        <v>508786.1</v>
      </c>
      <c r="E28" s="13">
        <f t="shared" si="0"/>
        <v>-42952.099999999977</v>
      </c>
      <c r="F28" s="14">
        <f t="shared" si="3"/>
        <v>-8.4420741840234986E-2</v>
      </c>
      <c r="G28" s="15">
        <v>475132.8</v>
      </c>
      <c r="H28" s="15">
        <f t="shared" si="1"/>
        <v>-9298.7999999999884</v>
      </c>
      <c r="I28" s="16">
        <f t="shared" si="2"/>
        <v>-1.9570949427191699E-2</v>
      </c>
      <c r="J28" s="38" t="s">
        <v>63</v>
      </c>
      <c r="K28" s="38" t="s">
        <v>64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 F4:F103 I4:I103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5"/>
  <sheetViews>
    <sheetView workbookViewId="0">
      <pane xSplit="2" ySplit="3" topLeftCell="C16" activePane="bottomRight" state="frozen"/>
      <selection pane="bottomRight" activeCell="F6" sqref="F6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6918409.3642211054</v>
      </c>
      <c r="D2" s="5">
        <f>SUM(D4:D103)</f>
        <v>5987399.7100000009</v>
      </c>
      <c r="E2" s="5">
        <f>C2-D2</f>
        <v>931009.65422110446</v>
      </c>
      <c r="F2" s="6">
        <f>IFERROR(E2/D2, 0)</f>
        <v>0.15549482234602713</v>
      </c>
      <c r="G2" s="5">
        <f>SUM(G4:G103)</f>
        <v>5689642.25</v>
      </c>
      <c r="H2" s="7">
        <f>C2-G2</f>
        <v>1228767.1142211054</v>
      </c>
      <c r="I2" s="6">
        <f>IFERROR(H2/G2, 0)</f>
        <v>0.21596561966986683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152494</v>
      </c>
      <c r="D4" s="13">
        <v>154845</v>
      </c>
      <c r="E4" s="13">
        <f>IF(AND(ISNUMBER(C4),ISNUMBER(D4)), C4-D4, "")</f>
        <v>-2351</v>
      </c>
      <c r="F4" s="14">
        <f>IFERROR(E4/D4, "")</f>
        <v>-1.5182924860344215E-2</v>
      </c>
      <c r="G4" s="15">
        <v>164313.1</v>
      </c>
      <c r="H4" s="15">
        <f>IF(AND(ISNUMBER(C4),ISNUMBER(G4)), C4-G4, "")</f>
        <v>-11819.100000000006</v>
      </c>
      <c r="I4" s="16">
        <f>IFERROR(H4/G4, "")</f>
        <v>-7.1930357348257715E-2</v>
      </c>
      <c r="J4" s="38"/>
      <c r="K4" s="38"/>
    </row>
    <row r="5" spans="1:11" ht="28.7">
      <c r="A5" s="28" t="str">
        <v>Bunce</v>
      </c>
      <c r="B5" s="29" t="str">
        <v>CT</v>
      </c>
      <c r="C5" s="11">
        <v>248755.25</v>
      </c>
      <c r="D5" s="18">
        <v>244214.5</v>
      </c>
      <c r="E5" s="18">
        <f t="shared" ref="E5:E28" si="0">IF(AND(ISNUMBER(C5),ISNUMBER(D5)), C5-D5, "")</f>
        <v>4540.75</v>
      </c>
      <c r="F5" s="19">
        <f>IFERROR(E5/D5, "")</f>
        <v>1.8593285820457016E-2</v>
      </c>
      <c r="G5" s="20">
        <v>0</v>
      </c>
      <c r="H5" s="20">
        <f t="shared" ref="H5:H28" si="1">IF(AND(ISNUMBER(C5),ISNUMBER(G5)), C5-G5, "")</f>
        <v>248755.25</v>
      </c>
      <c r="I5" s="19" t="str">
        <f t="shared" ref="I5:I28" si="2">IFERROR(H5/G5, "")</f>
        <v/>
      </c>
      <c r="J5" s="49" t="s">
        <v>65</v>
      </c>
      <c r="K5" s="49" t="s">
        <v>66</v>
      </c>
    </row>
    <row r="6" spans="1:11" ht="28.7">
      <c r="A6" s="30" t="str">
        <v>Norcap North</v>
      </c>
      <c r="B6" s="27" t="str">
        <v>CT</v>
      </c>
      <c r="C6" s="24">
        <v>296983.5</v>
      </c>
      <c r="D6" s="13">
        <v>312371.20000000001</v>
      </c>
      <c r="E6" s="13">
        <f t="shared" si="0"/>
        <v>-15387.700000000012</v>
      </c>
      <c r="F6" s="14">
        <f t="shared" ref="F6:F28" si="3">IFERROR(E6/D6, "")</f>
        <v>-4.9260943390427837E-2</v>
      </c>
      <c r="G6" s="15">
        <v>306960.8</v>
      </c>
      <c r="H6" s="15">
        <f t="shared" si="1"/>
        <v>-9977.2999999999884</v>
      </c>
      <c r="I6" s="16">
        <f t="shared" si="2"/>
        <v>-3.2503498818090087E-2</v>
      </c>
      <c r="J6" s="38" t="s">
        <v>67</v>
      </c>
      <c r="K6" s="38" t="s">
        <v>68</v>
      </c>
    </row>
    <row r="7" spans="1:11" ht="15.75">
      <c r="A7" s="28" t="str">
        <v>Norcap South</v>
      </c>
      <c r="B7" s="29" t="str">
        <v>CT</v>
      </c>
      <c r="C7" s="11">
        <v>302199</v>
      </c>
      <c r="D7" s="18">
        <v>335497.09999999998</v>
      </c>
      <c r="E7" s="18">
        <f t="shared" si="0"/>
        <v>-33298.099999999977</v>
      </c>
      <c r="F7" s="19">
        <f t="shared" si="3"/>
        <v>-9.9250038226857934E-2</v>
      </c>
      <c r="G7" s="20">
        <v>300176.09999999998</v>
      </c>
      <c r="H7" s="20">
        <f t="shared" si="1"/>
        <v>2022.9000000000233</v>
      </c>
      <c r="I7" s="19">
        <f t="shared" si="2"/>
        <v>6.7390441810657922E-3</v>
      </c>
      <c r="J7" s="39" t="s">
        <v>69</v>
      </c>
      <c r="K7" s="39" t="s">
        <v>70</v>
      </c>
    </row>
    <row r="8" spans="1:11" ht="15.75">
      <c r="A8" s="30" t="str">
        <v>Platt Hill</v>
      </c>
      <c r="B8" s="27" t="str">
        <v>CT</v>
      </c>
      <c r="C8" s="24">
        <v>318316.34422110597</v>
      </c>
      <c r="D8" s="13">
        <v>321298.8</v>
      </c>
      <c r="E8" s="13">
        <f t="shared" si="0"/>
        <v>-2982.4557788940147</v>
      </c>
      <c r="F8" s="14">
        <f t="shared" si="3"/>
        <v>-9.2824989663640653E-3</v>
      </c>
      <c r="G8" s="15">
        <v>353986.1</v>
      </c>
      <c r="H8" s="15">
        <f t="shared" si="1"/>
        <v>-35669.755778894003</v>
      </c>
      <c r="I8" s="16">
        <f t="shared" si="2"/>
        <v>-0.1007659786045102</v>
      </c>
      <c r="J8" s="38"/>
      <c r="K8" s="38"/>
    </row>
    <row r="9" spans="1:11" ht="15.75">
      <c r="A9" s="28" t="str">
        <v>Powder Hill</v>
      </c>
      <c r="B9" s="29" t="str">
        <v>CT</v>
      </c>
      <c r="C9" s="11">
        <v>291430</v>
      </c>
      <c r="D9" s="18">
        <v>294562.7</v>
      </c>
      <c r="E9" s="18">
        <f t="shared" si="0"/>
        <v>-3132.7000000000116</v>
      </c>
      <c r="F9" s="19">
        <f t="shared" si="3"/>
        <v>-1.063508719875263E-2</v>
      </c>
      <c r="G9" s="20">
        <v>233148</v>
      </c>
      <c r="H9" s="20">
        <f t="shared" si="1"/>
        <v>58282</v>
      </c>
      <c r="I9" s="19">
        <f t="shared" si="2"/>
        <v>0.24997855439463346</v>
      </c>
      <c r="J9" s="39"/>
      <c r="K9" s="39"/>
    </row>
    <row r="10" spans="1:11" ht="15.75">
      <c r="A10" s="30" t="str">
        <v>Sand Road</v>
      </c>
      <c r="B10" s="27" t="str">
        <v>CT</v>
      </c>
      <c r="C10" s="24">
        <v>294103.5</v>
      </c>
      <c r="D10" s="13">
        <v>274033.7</v>
      </c>
      <c r="E10" s="13">
        <f t="shared" si="0"/>
        <v>20069.799999999988</v>
      </c>
      <c r="F10" s="14">
        <f t="shared" si="3"/>
        <v>7.3238437462253683E-2</v>
      </c>
      <c r="G10" s="15">
        <v>277950</v>
      </c>
      <c r="H10" s="15">
        <f t="shared" si="1"/>
        <v>16153.5</v>
      </c>
      <c r="I10" s="16">
        <f>IFERROR(H10/G10, "")</f>
        <v>5.8116567728008633E-2</v>
      </c>
      <c r="J10" s="38"/>
      <c r="K10" s="38"/>
    </row>
    <row r="11" spans="1:11" ht="15.75">
      <c r="A11" s="28" t="str">
        <v>Suffield</v>
      </c>
      <c r="B11" s="29" t="str">
        <v>CT</v>
      </c>
      <c r="C11" s="11">
        <v>312752</v>
      </c>
      <c r="D11" s="18">
        <v>296756.8</v>
      </c>
      <c r="E11" s="18">
        <f t="shared" si="0"/>
        <v>15995.200000000012</v>
      </c>
      <c r="F11" s="19">
        <f t="shared" si="3"/>
        <v>5.3900028575587865E-2</v>
      </c>
      <c r="G11" s="20">
        <v>317507.7</v>
      </c>
      <c r="H11" s="20">
        <f t="shared" si="1"/>
        <v>-4755.7000000000116</v>
      </c>
      <c r="I11" s="19">
        <f t="shared" si="2"/>
        <v>-1.497821942585963E-2</v>
      </c>
      <c r="J11" s="39"/>
      <c r="K11" s="39"/>
    </row>
    <row r="12" spans="1:11" ht="28.7">
      <c r="A12" s="30" t="str">
        <v>Ashby-Duffy</v>
      </c>
      <c r="B12" s="27" t="str">
        <v>MA</v>
      </c>
      <c r="C12" s="24">
        <v>277622</v>
      </c>
      <c r="D12" s="13">
        <v>407337.7</v>
      </c>
      <c r="E12" s="13">
        <f t="shared" si="0"/>
        <v>-129715.70000000001</v>
      </c>
      <c r="F12" s="14">
        <f t="shared" si="3"/>
        <v>-0.31844756819710035</v>
      </c>
      <c r="G12" s="15">
        <v>283256.09999999998</v>
      </c>
      <c r="H12" s="15">
        <f t="shared" si="1"/>
        <v>-5634.0999999999767</v>
      </c>
      <c r="I12" s="16">
        <f t="shared" si="2"/>
        <v>-1.9890480734571919E-2</v>
      </c>
      <c r="J12" s="38" t="s">
        <v>71</v>
      </c>
      <c r="K12" s="38" t="s">
        <v>72</v>
      </c>
    </row>
    <row r="13" spans="1:11" ht="15.75">
      <c r="A13" s="28" t="str">
        <v>Ashland</v>
      </c>
      <c r="B13" s="29" t="str">
        <v>MA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39" t="s">
        <v>73</v>
      </c>
      <c r="K13" s="39" t="s">
        <v>74</v>
      </c>
    </row>
    <row r="14" spans="1:11" ht="15.75">
      <c r="A14" s="30" t="str">
        <v>Barrington</v>
      </c>
      <c r="B14" s="27" t="str">
        <v>MA</v>
      </c>
      <c r="C14" s="24">
        <v>60464.5</v>
      </c>
      <c r="D14" s="13">
        <v>57130.36</v>
      </c>
      <c r="E14" s="13">
        <f t="shared" si="0"/>
        <v>3334.1399999999994</v>
      </c>
      <c r="F14" s="14">
        <f t="shared" si="3"/>
        <v>5.8360213378665905E-2</v>
      </c>
      <c r="G14" s="15">
        <v>68910</v>
      </c>
      <c r="H14" s="15">
        <f t="shared" si="1"/>
        <v>-8445.5</v>
      </c>
      <c r="I14" s="16">
        <f t="shared" si="2"/>
        <v>-0.12255840951966333</v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>
        <v>33585</v>
      </c>
      <c r="D15" s="18">
        <v>0</v>
      </c>
      <c r="E15" s="18">
        <f t="shared" si="0"/>
        <v>33585</v>
      </c>
      <c r="F15" s="19" t="str">
        <f t="shared" si="3"/>
        <v/>
      </c>
      <c r="G15" s="20">
        <v>0</v>
      </c>
      <c r="H15" s="20">
        <f t="shared" si="1"/>
        <v>33585</v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>
        <v>25398</v>
      </c>
      <c r="D16" s="13">
        <v>0</v>
      </c>
      <c r="E16" s="13">
        <f t="shared" si="0"/>
        <v>25398</v>
      </c>
      <c r="F16" s="14" t="str">
        <f t="shared" si="3"/>
        <v/>
      </c>
      <c r="G16" s="15">
        <v>0</v>
      </c>
      <c r="H16" s="15">
        <f t="shared" si="1"/>
        <v>25398</v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>
        <v>31902</v>
      </c>
      <c r="D17" s="18">
        <v>0</v>
      </c>
      <c r="E17" s="18">
        <f t="shared" si="0"/>
        <v>31902</v>
      </c>
      <c r="F17" s="19" t="str">
        <f t="shared" si="3"/>
        <v/>
      </c>
      <c r="G17" s="20">
        <v>0</v>
      </c>
      <c r="H17" s="20">
        <f t="shared" si="1"/>
        <v>31902</v>
      </c>
      <c r="I17" s="19" t="str">
        <f t="shared" si="2"/>
        <v/>
      </c>
      <c r="J17" s="39" t="s">
        <v>75</v>
      </c>
      <c r="K17" s="39" t="s">
        <v>76</v>
      </c>
    </row>
    <row r="18" spans="1:11" ht="15.75">
      <c r="A18" s="30" t="str">
        <v>Cheshire</v>
      </c>
      <c r="B18" s="27" t="str">
        <v>MA</v>
      </c>
      <c r="C18" s="24">
        <v>61338.75</v>
      </c>
      <c r="D18" s="13">
        <v>65677.320000000007</v>
      </c>
      <c r="E18" s="13">
        <f t="shared" si="0"/>
        <v>-4338.570000000007</v>
      </c>
      <c r="F18" s="14">
        <f t="shared" si="3"/>
        <v>-6.6058876945648923E-2</v>
      </c>
      <c r="G18" s="15">
        <v>47756.72</v>
      </c>
      <c r="H18" s="15">
        <f t="shared" si="1"/>
        <v>13582.029999999999</v>
      </c>
      <c r="I18" s="16">
        <f t="shared" si="2"/>
        <v>0.28440039433193903</v>
      </c>
      <c r="J18" s="38"/>
      <c r="K18" s="38"/>
    </row>
    <row r="19" spans="1:11" ht="15.75">
      <c r="A19" s="28" t="str">
        <v>Lilly Lane</v>
      </c>
      <c r="B19" s="29" t="str">
        <v>MA</v>
      </c>
      <c r="C19" s="11">
        <v>149763.5</v>
      </c>
      <c r="D19" s="18">
        <v>143508.20000000001</v>
      </c>
      <c r="E19" s="18">
        <f t="shared" si="0"/>
        <v>6255.2999999999884</v>
      </c>
      <c r="F19" s="19">
        <f t="shared" si="3"/>
        <v>4.3588449997979124E-2</v>
      </c>
      <c r="G19">
        <v>160456.79999999999</v>
      </c>
      <c r="H19" s="20">
        <f t="shared" si="1"/>
        <v>-10693.299999999988</v>
      </c>
      <c r="I19" s="19">
        <f t="shared" si="2"/>
        <v>-6.664285963573989E-2</v>
      </c>
      <c r="J19" s="39"/>
      <c r="K19" s="39"/>
    </row>
    <row r="20" spans="1:11" ht="15.75">
      <c r="A20" s="30" t="str">
        <v>Monument Valley</v>
      </c>
      <c r="B20" s="27" t="str">
        <v>MA</v>
      </c>
      <c r="C20" s="24">
        <v>272097.32</v>
      </c>
      <c r="D20" s="13">
        <v>58919.47</v>
      </c>
      <c r="E20" s="13">
        <f t="shared" si="0"/>
        <v>213177.85</v>
      </c>
      <c r="F20" s="14">
        <f t="shared" si="3"/>
        <v>3.6181223286631736</v>
      </c>
      <c r="G20" s="15">
        <v>0</v>
      </c>
      <c r="H20" s="15">
        <f t="shared" si="1"/>
        <v>272097.32</v>
      </c>
      <c r="I20" s="16" t="str">
        <f t="shared" si="2"/>
        <v/>
      </c>
      <c r="J20" s="38"/>
      <c r="K20" s="38"/>
    </row>
    <row r="21" spans="1:11" ht="15.75">
      <c r="A21" s="28" t="str">
        <v>Nationwide</v>
      </c>
      <c r="B21" s="29" t="str">
        <v>MA</v>
      </c>
      <c r="C21" s="11">
        <v>518663</v>
      </c>
      <c r="D21" s="18">
        <v>446560.9</v>
      </c>
      <c r="E21" s="18">
        <f t="shared" si="0"/>
        <v>72102.099999999977</v>
      </c>
      <c r="F21" s="19">
        <f t="shared" si="3"/>
        <v>0.16146084442233966</v>
      </c>
      <c r="G21" s="20">
        <v>457743.1</v>
      </c>
      <c r="H21" s="20">
        <f t="shared" si="1"/>
        <v>60919.900000000023</v>
      </c>
      <c r="I21" s="19">
        <f t="shared" si="2"/>
        <v>0.1330875331599756</v>
      </c>
      <c r="J21" s="39"/>
      <c r="K21" s="39"/>
    </row>
    <row r="22" spans="1:11" ht="15.75">
      <c r="A22" s="30" t="str">
        <v>Pulpit Hill</v>
      </c>
      <c r="B22" s="27" t="str">
        <v>MA</v>
      </c>
      <c r="C22" s="24">
        <v>668947.19999999995</v>
      </c>
      <c r="D22" s="13">
        <v>639454.69999999995</v>
      </c>
      <c r="E22" s="13">
        <f t="shared" si="0"/>
        <v>29492.5</v>
      </c>
      <c r="F22" s="14">
        <f t="shared" si="3"/>
        <v>4.6121328062801011E-2</v>
      </c>
      <c r="G22" s="15">
        <v>663928.1</v>
      </c>
      <c r="H22" s="15">
        <f t="shared" si="1"/>
        <v>5019.0999999999767</v>
      </c>
      <c r="I22" s="16">
        <f t="shared" si="2"/>
        <v>7.5597041306129037E-3</v>
      </c>
      <c r="J22" s="38" t="s">
        <v>77</v>
      </c>
      <c r="K22" s="38" t="s">
        <v>78</v>
      </c>
    </row>
    <row r="23" spans="1:11" ht="15.75">
      <c r="A23" s="28" t="str">
        <v>Sandwich</v>
      </c>
      <c r="B23" s="29" t="str">
        <v>MA</v>
      </c>
      <c r="C23">
        <v>758711</v>
      </c>
      <c r="D23" s="18">
        <v>0</v>
      </c>
      <c r="E23" s="18">
        <f t="shared" si="0"/>
        <v>758711</v>
      </c>
      <c r="F23" s="19" t="str">
        <f t="shared" si="3"/>
        <v/>
      </c>
      <c r="G23" s="20">
        <v>0</v>
      </c>
      <c r="H23" s="20">
        <f t="shared" si="1"/>
        <v>758711</v>
      </c>
      <c r="I23" s="19" t="str">
        <f t="shared" si="2"/>
        <v/>
      </c>
      <c r="J23" s="39"/>
      <c r="K23" s="39"/>
    </row>
    <row r="24" spans="1:11" ht="15.75">
      <c r="A24" s="30" t="str">
        <v>Sturbridge Barn</v>
      </c>
      <c r="B24" s="27" t="str">
        <v>MA</v>
      </c>
      <c r="C24" s="24">
        <v>150108</v>
      </c>
      <c r="D24" s="13">
        <v>150140.70000000001</v>
      </c>
      <c r="E24" s="13">
        <f t="shared" si="0"/>
        <v>-32.700000000011642</v>
      </c>
      <c r="F24" s="14">
        <f t="shared" si="3"/>
        <v>-2.1779570762632411E-4</v>
      </c>
      <c r="G24" s="15">
        <v>173208.5</v>
      </c>
      <c r="H24" s="15">
        <f t="shared" si="1"/>
        <v>-23100.5</v>
      </c>
      <c r="I24" s="16">
        <f t="shared" si="2"/>
        <v>-0.13336816611194025</v>
      </c>
      <c r="J24" s="38"/>
      <c r="K24" s="38"/>
    </row>
    <row r="25" spans="1:11" ht="15.75">
      <c r="A25" s="28" t="str">
        <v>Sturbridge Garage</v>
      </c>
      <c r="B25" s="29" t="str">
        <v>MA</v>
      </c>
      <c r="C25" s="11">
        <v>73876.5</v>
      </c>
      <c r="D25" s="18">
        <v>72782.36</v>
      </c>
      <c r="E25" s="18">
        <f t="shared" si="0"/>
        <v>1094.1399999999994</v>
      </c>
      <c r="F25" s="19">
        <f t="shared" si="3"/>
        <v>1.5033038225196317E-2</v>
      </c>
      <c r="G25" s="20">
        <v>79262.23</v>
      </c>
      <c r="H25" s="20">
        <f t="shared" si="1"/>
        <v>-5385.7299999999959</v>
      </c>
      <c r="I25" s="19">
        <f t="shared" si="2"/>
        <v>-6.7948252276020957E-2</v>
      </c>
      <c r="J25" s="39"/>
      <c r="K25" s="39"/>
    </row>
    <row r="26" spans="1:11" ht="15.75">
      <c r="A26" s="30" t="str">
        <v>Halsey Valley</v>
      </c>
      <c r="B26" s="27" t="str">
        <v>NY</v>
      </c>
      <c r="C26" s="24">
        <v>664052</v>
      </c>
      <c r="D26" s="13">
        <v>687350.9</v>
      </c>
      <c r="E26" s="13">
        <f t="shared" si="0"/>
        <v>-23298.900000000023</v>
      </c>
      <c r="F26" s="14">
        <f t="shared" si="3"/>
        <v>-3.389666035208512E-2</v>
      </c>
      <c r="G26" s="15">
        <v>697000</v>
      </c>
      <c r="H26" s="15">
        <f t="shared" si="1"/>
        <v>-32948</v>
      </c>
      <c r="I26" s="16">
        <f t="shared" si="2"/>
        <v>-4.7271162123385939E-2</v>
      </c>
      <c r="J26" s="38" t="s">
        <v>79</v>
      </c>
      <c r="K26" s="38" t="s">
        <v>80</v>
      </c>
    </row>
    <row r="27" spans="1:11" ht="57.4">
      <c r="A27" s="28" t="str">
        <v>Hunt Creek</v>
      </c>
      <c r="B27" s="29" t="str">
        <v>NY</v>
      </c>
      <c r="C27" s="11">
        <v>464245</v>
      </c>
      <c r="D27" s="18">
        <v>492251.1</v>
      </c>
      <c r="E27" s="18">
        <f t="shared" si="0"/>
        <v>-28006.099999999977</v>
      </c>
      <c r="F27" s="19">
        <f t="shared" si="3"/>
        <v>-5.6893930760134367E-2</v>
      </c>
      <c r="G27" s="20">
        <v>498900</v>
      </c>
      <c r="H27" s="20">
        <f t="shared" si="1"/>
        <v>-34655</v>
      </c>
      <c r="I27" s="19">
        <f t="shared" si="2"/>
        <v>-6.9462818200040091E-2</v>
      </c>
      <c r="J27" s="49" t="s">
        <v>81</v>
      </c>
      <c r="K27" s="49" t="s">
        <v>82</v>
      </c>
    </row>
    <row r="28" spans="1:11" ht="57.4">
      <c r="A28" s="30" t="str">
        <v>Smith Creek</v>
      </c>
      <c r="B28" s="27" t="str">
        <v>NY</v>
      </c>
      <c r="C28" s="24">
        <v>490602</v>
      </c>
      <c r="D28" s="13">
        <v>532706.19999999995</v>
      </c>
      <c r="E28" s="13">
        <f t="shared" si="0"/>
        <v>-42104.199999999953</v>
      </c>
      <c r="F28" s="14">
        <f t="shared" si="3"/>
        <v>-7.9038314177683602E-2</v>
      </c>
      <c r="G28" s="15">
        <v>605178.9</v>
      </c>
      <c r="H28" s="15">
        <f t="shared" si="1"/>
        <v>-114576.90000000002</v>
      </c>
      <c r="I28" s="16">
        <f t="shared" si="2"/>
        <v>-0.18932732122683063</v>
      </c>
      <c r="J28" s="38" t="s">
        <v>83</v>
      </c>
      <c r="K28" s="38" t="s">
        <v>84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43" priority="3" stopIfTrue="1" operator="lessThanOrEqual">
      <formula>-0.1</formula>
    </cfRule>
    <cfRule type="expression" dxfId="42" priority="4">
      <formula>AND(ISNUMBER(F2), F2&gt;=0.1)</formula>
    </cfRule>
  </conditionalFormatting>
  <conditionalFormatting sqref="F4:F103 I4:I103">
    <cfRule type="cellIs" dxfId="41" priority="1" stopIfTrue="1" operator="lessThanOrEqual">
      <formula>-0.1</formula>
    </cfRule>
    <cfRule type="expression" dxfId="4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85</v>
      </c>
      <c r="E1" s="52"/>
      <c r="F1" s="52"/>
      <c r="G1" s="50" t="s">
        <v>86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3 I4:I103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87</v>
      </c>
      <c r="E1" s="52"/>
      <c r="F1" s="52"/>
      <c r="G1" s="50" t="s">
        <v>88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5.75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3 I4:I103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89</v>
      </c>
      <c r="E1" s="52"/>
      <c r="F1" s="52"/>
      <c r="G1" s="50" t="s">
        <v>90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3 I4:I103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91</v>
      </c>
      <c r="E1" s="52"/>
      <c r="F1" s="52"/>
      <c r="G1" s="50" t="s">
        <v>92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3 I4:I103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93</v>
      </c>
      <c r="E1" s="52"/>
      <c r="F1" s="52"/>
      <c r="G1" s="50" t="s">
        <v>94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3 I4:I103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95</v>
      </c>
      <c r="E1" s="52"/>
      <c r="F1" s="52"/>
      <c r="G1" s="50" t="s">
        <v>96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3 I4:I103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97</v>
      </c>
      <c r="E1" s="52"/>
      <c r="F1" s="52"/>
      <c r="G1" s="50" t="s">
        <v>98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3 I4:I103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99</v>
      </c>
      <c r="E1" s="52"/>
      <c r="F1" s="52"/>
      <c r="G1" s="50" t="s">
        <v>100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3 I4:I103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H32" sqref="H32"/>
      <selection pane="topRight" activeCell="H32" sqref="H32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Lodestar</v>
      </c>
      <c r="B1" s="51"/>
      <c r="C1" s="51"/>
      <c r="D1" s="52" t="s">
        <v>101</v>
      </c>
      <c r="E1" s="52"/>
      <c r="F1" s="52"/>
      <c r="G1" s="50" t="s">
        <v>102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75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75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75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75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75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75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75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75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75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75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75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75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75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75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75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75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75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75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75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75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75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75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75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75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 ht="14.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3 I4:I103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:A2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103</v>
      </c>
      <c r="B1" s="46" t="s">
        <v>104</v>
      </c>
    </row>
    <row r="3" spans="1:12">
      <c r="A3" t="s">
        <v>105</v>
      </c>
      <c r="B3" t="s">
        <v>3</v>
      </c>
      <c r="C3" t="s">
        <v>4</v>
      </c>
      <c r="D3" t="s">
        <v>106</v>
      </c>
      <c r="E3" s="2" t="s">
        <v>107</v>
      </c>
    </row>
    <row r="4" spans="1:12" ht="14.45">
      <c r="A4" s="47" t="s">
        <v>108</v>
      </c>
      <c r="B4" s="47" t="s">
        <v>109</v>
      </c>
      <c r="C4" s="47" t="s">
        <v>110</v>
      </c>
      <c r="D4" t="s">
        <v>111</v>
      </c>
      <c r="E4" s="47" t="s">
        <v>112</v>
      </c>
      <c r="G4" s="3"/>
    </row>
    <row r="5" spans="1:12" ht="14.45">
      <c r="A5" s="47" t="s">
        <v>113</v>
      </c>
      <c r="B5" s="47" t="s">
        <v>114</v>
      </c>
      <c r="C5" s="47" t="s">
        <v>110</v>
      </c>
      <c r="D5" t="s">
        <v>111</v>
      </c>
      <c r="E5" s="47" t="s">
        <v>112</v>
      </c>
      <c r="G5" s="3"/>
    </row>
    <row r="6" spans="1:12" ht="14.45">
      <c r="A6" s="47" t="s">
        <v>115</v>
      </c>
      <c r="B6" s="47" t="s">
        <v>115</v>
      </c>
      <c r="C6" s="47" t="s">
        <v>110</v>
      </c>
      <c r="D6" t="s">
        <v>111</v>
      </c>
      <c r="E6" s="47" t="s">
        <v>112</v>
      </c>
      <c r="G6" s="3"/>
    </row>
    <row r="7" spans="1:12" ht="12.75" customHeight="1">
      <c r="A7" s="47" t="s">
        <v>116</v>
      </c>
      <c r="B7" s="47" t="s">
        <v>116</v>
      </c>
      <c r="C7" s="47" t="s">
        <v>110</v>
      </c>
      <c r="D7" t="s">
        <v>111</v>
      </c>
      <c r="E7" s="47" t="s">
        <v>112</v>
      </c>
    </row>
    <row r="8" spans="1:12" ht="12.75" customHeight="1">
      <c r="A8" s="47" t="s">
        <v>117</v>
      </c>
      <c r="B8" s="47" t="s">
        <v>117</v>
      </c>
      <c r="C8" s="47" t="s">
        <v>110</v>
      </c>
      <c r="D8" t="s">
        <v>111</v>
      </c>
      <c r="E8" s="47" t="s">
        <v>112</v>
      </c>
    </row>
    <row r="9" spans="1:12" ht="12.75" customHeight="1">
      <c r="A9" s="47" t="s">
        <v>118</v>
      </c>
      <c r="B9" s="47" t="s">
        <v>118</v>
      </c>
      <c r="C9" s="47" t="s">
        <v>110</v>
      </c>
      <c r="D9" t="s">
        <v>111</v>
      </c>
      <c r="E9" s="47" t="s">
        <v>112</v>
      </c>
    </row>
    <row r="10" spans="1:12" ht="12.75" customHeight="1">
      <c r="A10" s="47" t="s">
        <v>119</v>
      </c>
      <c r="B10" s="47" t="s">
        <v>120</v>
      </c>
      <c r="C10" s="47" t="s">
        <v>110</v>
      </c>
      <c r="D10" t="s">
        <v>111</v>
      </c>
      <c r="E10" s="47" t="s">
        <v>112</v>
      </c>
      <c r="K10" s="40"/>
      <c r="L10" s="40"/>
    </row>
    <row r="11" spans="1:12" ht="12.75" customHeight="1">
      <c r="A11" s="47" t="s">
        <v>121</v>
      </c>
      <c r="B11" s="47" t="s">
        <v>122</v>
      </c>
      <c r="C11" s="47" t="s">
        <v>110</v>
      </c>
      <c r="D11" t="s">
        <v>111</v>
      </c>
      <c r="E11" s="47" t="s">
        <v>112</v>
      </c>
      <c r="K11" s="40"/>
      <c r="L11" s="40"/>
    </row>
    <row r="12" spans="1:12" ht="12.75" customHeight="1">
      <c r="A12" s="47" t="s">
        <v>123</v>
      </c>
      <c r="B12" s="47" t="s">
        <v>123</v>
      </c>
      <c r="C12" s="47" t="s">
        <v>124</v>
      </c>
      <c r="D12" t="s">
        <v>111</v>
      </c>
      <c r="E12" s="47" t="s">
        <v>112</v>
      </c>
      <c r="K12" s="40"/>
      <c r="L12" s="40"/>
    </row>
    <row r="13" spans="1:12" ht="12.75" customHeight="1">
      <c r="A13" s="47" t="s">
        <v>125</v>
      </c>
      <c r="B13" s="47" t="s">
        <v>126</v>
      </c>
      <c r="C13" s="47" t="s">
        <v>124</v>
      </c>
      <c r="D13" t="s">
        <v>111</v>
      </c>
      <c r="E13" s="47" t="s">
        <v>112</v>
      </c>
      <c r="K13" s="40"/>
      <c r="L13" s="40"/>
    </row>
    <row r="14" spans="1:12" ht="12.75" customHeight="1">
      <c r="A14" s="47" t="s">
        <v>127</v>
      </c>
      <c r="B14" s="47" t="s">
        <v>128</v>
      </c>
      <c r="C14" s="47" t="s">
        <v>124</v>
      </c>
      <c r="D14" t="s">
        <v>111</v>
      </c>
      <c r="E14" s="47" t="s">
        <v>112</v>
      </c>
      <c r="K14" s="40"/>
      <c r="L14" s="40"/>
    </row>
    <row r="15" spans="1:12" ht="12.75" customHeight="1">
      <c r="A15" s="47" t="s">
        <v>129</v>
      </c>
      <c r="B15" t="s">
        <v>130</v>
      </c>
      <c r="C15" s="47" t="s">
        <v>124</v>
      </c>
      <c r="E15" t="s">
        <v>131</v>
      </c>
      <c r="K15" s="40"/>
      <c r="L15" s="40"/>
    </row>
    <row r="16" spans="1:12" ht="12.75" customHeight="1">
      <c r="A16" s="47" t="s">
        <v>132</v>
      </c>
      <c r="B16" t="s">
        <v>133</v>
      </c>
      <c r="C16" s="47" t="s">
        <v>124</v>
      </c>
      <c r="E16" t="s">
        <v>131</v>
      </c>
      <c r="K16" s="40"/>
      <c r="L16" s="40"/>
    </row>
    <row r="17" spans="1:12" ht="12.75" customHeight="1">
      <c r="A17" s="47" t="s">
        <v>134</v>
      </c>
      <c r="B17" t="s">
        <v>135</v>
      </c>
      <c r="C17" s="47" t="s">
        <v>124</v>
      </c>
      <c r="E17" t="s">
        <v>131</v>
      </c>
      <c r="K17" s="40"/>
      <c r="L17" s="40"/>
    </row>
    <row r="18" spans="1:12" ht="12.75" customHeight="1">
      <c r="A18" s="47" t="s">
        <v>136</v>
      </c>
      <c r="B18" s="47" t="s">
        <v>137</v>
      </c>
      <c r="C18" s="47" t="s">
        <v>124</v>
      </c>
      <c r="D18" t="s">
        <v>111</v>
      </c>
      <c r="E18" s="47" t="s">
        <v>112</v>
      </c>
      <c r="K18" s="40"/>
      <c r="L18" s="40"/>
    </row>
    <row r="19" spans="1:12" ht="12.75" customHeight="1">
      <c r="A19" s="47" t="s">
        <v>138</v>
      </c>
      <c r="B19" s="47" t="s">
        <v>139</v>
      </c>
      <c r="C19" s="47" t="s">
        <v>124</v>
      </c>
      <c r="D19" t="s">
        <v>111</v>
      </c>
      <c r="E19" s="47" t="s">
        <v>112</v>
      </c>
      <c r="K19" s="40"/>
      <c r="L19" s="40"/>
    </row>
    <row r="20" spans="1:12" ht="12.75" customHeight="1">
      <c r="A20" s="47" t="s">
        <v>140</v>
      </c>
      <c r="B20" s="47" t="s">
        <v>140</v>
      </c>
      <c r="C20" s="47" t="s">
        <v>124</v>
      </c>
      <c r="D20" t="s">
        <v>111</v>
      </c>
      <c r="E20" s="47" t="s">
        <v>112</v>
      </c>
      <c r="K20" s="40"/>
      <c r="L20" s="40"/>
    </row>
    <row r="21" spans="1:12" ht="12.75" customHeight="1">
      <c r="A21" s="47" t="s">
        <v>141</v>
      </c>
      <c r="B21" s="47" t="s">
        <v>141</v>
      </c>
      <c r="C21" s="47" t="s">
        <v>124</v>
      </c>
      <c r="D21" t="s">
        <v>111</v>
      </c>
      <c r="E21" s="47" t="s">
        <v>112</v>
      </c>
      <c r="K21" s="40"/>
      <c r="L21" s="40"/>
    </row>
    <row r="22" spans="1:12" ht="12.75" customHeight="1">
      <c r="A22" s="47" t="s">
        <v>142</v>
      </c>
      <c r="B22" s="47" t="s">
        <v>142</v>
      </c>
      <c r="C22" s="47" t="s">
        <v>124</v>
      </c>
      <c r="D22" t="s">
        <v>111</v>
      </c>
      <c r="E22" s="47" t="s">
        <v>112</v>
      </c>
      <c r="K22" s="40"/>
      <c r="L22" s="40"/>
    </row>
    <row r="23" spans="1:12" ht="12.75" customHeight="1">
      <c r="A23" s="47" t="s">
        <v>143</v>
      </c>
      <c r="B23" t="s">
        <v>144</v>
      </c>
      <c r="C23" s="47" t="s">
        <v>124</v>
      </c>
      <c r="E23" t="s">
        <v>112</v>
      </c>
      <c r="K23" s="40"/>
      <c r="L23" s="40"/>
    </row>
    <row r="24" spans="1:12" ht="12.75" customHeight="1">
      <c r="A24" s="47" t="s">
        <v>145</v>
      </c>
      <c r="B24" s="47" t="s">
        <v>146</v>
      </c>
      <c r="C24" s="47" t="s">
        <v>124</v>
      </c>
      <c r="D24" t="s">
        <v>111</v>
      </c>
      <c r="E24" s="47" t="s">
        <v>112</v>
      </c>
      <c r="K24" s="40"/>
      <c r="L24" s="40"/>
    </row>
    <row r="25" spans="1:12" ht="12.75" customHeight="1">
      <c r="A25" s="47" t="s">
        <v>147</v>
      </c>
      <c r="B25" s="47" t="s">
        <v>148</v>
      </c>
      <c r="C25" s="47" t="s">
        <v>124</v>
      </c>
      <c r="D25" t="s">
        <v>111</v>
      </c>
      <c r="E25" s="47" t="s">
        <v>112</v>
      </c>
      <c r="K25" s="40"/>
      <c r="L25" s="40"/>
    </row>
    <row r="26" spans="1:12" ht="12.75" customHeight="1">
      <c r="A26" s="47" t="s">
        <v>149</v>
      </c>
      <c r="B26" s="47" t="s">
        <v>149</v>
      </c>
      <c r="C26" s="47" t="s">
        <v>150</v>
      </c>
      <c r="D26" t="s">
        <v>111</v>
      </c>
      <c r="E26" s="47" t="s">
        <v>112</v>
      </c>
      <c r="K26" s="40"/>
      <c r="L26" s="40"/>
    </row>
    <row r="27" spans="1:12" ht="12.75" customHeight="1">
      <c r="A27" s="47" t="s">
        <v>151</v>
      </c>
      <c r="B27" s="47" t="s">
        <v>152</v>
      </c>
      <c r="C27" s="47" t="s">
        <v>150</v>
      </c>
      <c r="D27" t="s">
        <v>111</v>
      </c>
      <c r="E27" s="47" t="s">
        <v>112</v>
      </c>
      <c r="K27" s="40"/>
      <c r="L27" s="40"/>
    </row>
    <row r="28" spans="1:12" ht="12.75" customHeight="1">
      <c r="A28" s="47" t="s">
        <v>153</v>
      </c>
      <c r="B28" s="47" t="s">
        <v>154</v>
      </c>
      <c r="C28" s="47" t="s">
        <v>150</v>
      </c>
      <c r="D28" t="s">
        <v>111</v>
      </c>
      <c r="E28" s="47" t="s">
        <v>112</v>
      </c>
      <c r="K28" s="40"/>
      <c r="L28" s="40"/>
    </row>
    <row r="29" spans="1:12" ht="12.75" customHeight="1">
      <c r="K29" s="40"/>
      <c r="L29" s="40"/>
    </row>
    <row r="30" spans="1:12" ht="12.75" customHeight="1">
      <c r="K30" s="40"/>
      <c r="L30" s="40"/>
    </row>
    <row r="31" spans="1:12" ht="12.75" customHeight="1">
      <c r="K31" s="40"/>
      <c r="L31" s="4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Kurakula [Libsys]</cp:lastModifiedBy>
  <cp:revision/>
  <dcterms:created xsi:type="dcterms:W3CDTF">2021-01-01T16:39:53Z</dcterms:created>
  <dcterms:modified xsi:type="dcterms:W3CDTF">2024-04-18T08:14:49Z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