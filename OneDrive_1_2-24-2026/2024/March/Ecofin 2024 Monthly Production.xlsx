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34310F70-A3F7-4692-81F3-098E1A98FEC4}" xr6:coauthVersionLast="47" xr6:coauthVersionMax="47" xr10:uidLastSave="{00000000-0000-0000-0000-000000000000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3" l="1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9" i="4"/>
  <c r="I9" i="4" s="1"/>
  <c r="E9" i="4"/>
  <c r="F9" i="4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F5" i="3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7" i="1"/>
  <c r="G8" i="1"/>
  <c r="G5" i="1"/>
  <c r="G4" i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D2" i="30" s="1"/>
  <c r="C5" i="30"/>
  <c r="D4" i="30"/>
  <c r="C4" i="30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E5" i="30"/>
  <c r="F5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I9" i="26"/>
  <c r="I12" i="26"/>
  <c r="I15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<sst xmlns="http://schemas.openxmlformats.org/spreadsheetml/2006/main" count="270" uniqueCount="75">
  <si>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</si>
  <si>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</si>
  <si>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</si>
  <si>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</si>
  <si>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</si>
  <si>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</si>
  <si>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</si>
  <si>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</si>
  <si>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</si>
  <si>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</si>
  <si>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</si>
  <si>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</si>
  <si>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</si>
  <si>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</si>
  <si>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</si>
  <si>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</si>
  <si>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</si>
  <si>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</si>
  <si>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</si>
  <si>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</si>
  <si>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</si>
  <si>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</si>
  <si>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offline on 01/09, 01/10, 01/12, 01/17.</t>
  </si>
  <si>
    <t>1. SR080094</t>
  </si>
  <si>
    <t>1. Site was not communicating from 04/22</t>
  </si>
  <si>
    <t>1. SR077495</t>
  </si>
  <si>
    <t>1. Inverter was barely produced on 1/13, 1/14 and 1/15</t>
  </si>
  <si>
    <t>1. SR080235</t>
  </si>
  <si>
    <t>1. Site was not communicating from 05/23/2022</t>
  </si>
  <si>
    <t>1. SR079089</t>
  </si>
  <si>
    <t>February Actual v. Expected</t>
  </si>
  <si>
    <t>February Actual v. Forecasted</t>
  </si>
  <si>
    <t>1. Site stopped communicating from 04/22</t>
  </si>
  <si>
    <t>1. SR077494</t>
  </si>
  <si>
    <t xml:space="preserve">1.(A) Inverter 2 was taken offline by technician on 02/26/2024 at 13:30 to 15:00 &amp; inverter 1 at 15:00 - 16:15.
1.(B) Inverter 2 tripped offline on 02/27/2024 at 15:48 &amp; back online at 12:00 on 02/28/2024. </t>
  </si>
  <si>
    <t>1. SR081345</t>
  </si>
  <si>
    <t>March Actual v. Expected</t>
  </si>
  <si>
    <t>March Actual v. Forecasted</t>
  </si>
  <si>
    <t>1. Site stopped communicating from 04/22/20223 and communication regained on 04/03</t>
  </si>
  <si>
    <t>1. Inverter 2 is derating, due to overheating 2 modules are offline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</si>
  <si>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</si>
  <si>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</si>
  <si>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</si>
  <si>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</si>
  <si>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</si>
  <si>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</si>
  <si>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</si>
  <si>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</si>
  <si>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</si>
  <si>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</si>
  <si>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</si>
  <si>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</si>
  <si>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</si>
  <si>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</si>
  <si>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</si>
  <si>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</si>
  <si>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</si>
  <si>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</si>
  <si>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</si>
  <si>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Ecofin</t>
  </si>
  <si>
    <t>Site DAS Name</t>
  </si>
  <si>
    <t>Update</t>
  </si>
  <si>
    <t>DAS</t>
  </si>
  <si>
    <t>003 - Alamosa School District</t>
  </si>
  <si>
    <t>Alamosa School District</t>
  </si>
  <si>
    <t>CO</t>
  </si>
  <si>
    <t>002 - San Luis Valley Regional MC</t>
  </si>
  <si>
    <t>San Luis Valley</t>
  </si>
  <si>
    <t>002 - NREL 2</t>
  </si>
  <si>
    <t>Golden NREL 2</t>
  </si>
  <si>
    <t>004 - NREL Wind 3</t>
  </si>
  <si>
    <t>Golden NREL Wind 3</t>
  </si>
  <si>
    <t>Kenyon Energy KS Solar</t>
  </si>
  <si>
    <t>Pratt Solar Farm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</si>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</sst>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5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3" fillId="0" borderId="0" xfId="0" applyFont="1"/>
    <xf numFmtId="0" fontId="36" fillId="0" borderId="0" xfId="0" applyFont="1"/>
    <xf numFmtId="49" fontId="37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3" fontId="31" fillId="4" borderId="0" xfId="1" applyNumberFormat="1" applyFont="1" applyFill="1" applyBorder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Ecofin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6">
        <f>SUM(C4:C91)</f>
        <v>2107421</v>
      </c>
      <c r="D2" s="6">
        <f>SUM(D4:D91)</f>
        <v>2460365.2046759999</v>
      </c>
      <c r="E2" s="6">
        <f>C2-D2</f>
        <v>-352944.20467599994</v>
      </c>
      <c r="F2" s="7">
        <f>IFERROR(E2/D2, 0)</f>
        <v>-0.14345195745949366</v>
      </c>
      <c r="G2" s="6">
        <f>SUM(G4:G91)</f>
        <v>0</v>
      </c>
      <c r="H2" s="8">
        <f>C2-G2</f>
        <v>2107421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SUM('1st Qtr'!C4, '2nd Qtr'!C4, '3rd Qtr'!C4, '4th Qtr'!C4)</f>
        <v>288610</v>
      </c>
      <c r="D4" s="14">
        <f>SUM('1st Qtr'!D4, '2nd Qtr'!D4, '3rd Qtr'!D4, '4th Qtr'!D4)</f>
        <v>269702.0699</v>
      </c>
      <c r="E4" s="14">
        <f>IF(AND(ISNUMBER(C4),ISNUMBER(D4)), C4-D4, "")</f>
        <v>18907.930099999998</v>
      </c>
      <c r="F4" s="15">
        <f>IFERROR(E4/D4, "")</f>
        <v>7.0106729648054505E-2</v>
      </c>
      <c r="G4" s="16"/>
      <c r="H4" s="16">
        <f>SUM('1st Qtr'!H4, '2nd Qtr'!H4, '3rd Qtr'!H4, '4th Qtr'!H4)</f>
        <v>-23091.300000000003</v>
      </c>
      <c r="I4" s="17" t="str">
        <f>IFERROR(H4/G4, "")</f>
        <v/>
      </c>
    </row>
    <row r="5" spans="1:9" ht="15.75">
      <c r="A5" s="18" t="str">
        <v>San Luis Valley</v>
      </c>
      <c r="B5" s="11" t="str">
        <v>CO</v>
      </c>
      <c r="C5" s="12">
        <f>SUM(Jan!C5, Feb!C5, Mar!C5)</f>
        <v>0</v>
      </c>
      <c r="D5" s="19">
        <f>SUM(Jan!D5, Feb!D5, Mar!D5)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SUM(Jan!H5, Feb!H5, Mar!H5)</f>
        <v>0</v>
      </c>
      <c r="I5" s="20" t="str">
        <f>IFERROR(H5/G5, "")</f>
        <v/>
      </c>
    </row>
    <row r="6" spans="1:9" ht="15.75">
      <c r="A6" s="13" t="str">
        <v>Golden NREL 2</v>
      </c>
      <c r="B6" s="10" t="str">
        <v>CO</v>
      </c>
      <c r="C6" s="25">
        <f>SUM(Jan!C6, Feb!C6, Mar!C6)</f>
        <v>22181</v>
      </c>
      <c r="D6" s="14">
        <f>SUM(Jan!D6, Feb!D6, Mar!D6)</f>
        <v>22245.205775999999</v>
      </c>
      <c r="E6" s="14">
        <f t="shared" si="0"/>
        <v>-64.205775999998878</v>
      </c>
      <c r="F6" s="15">
        <f t="shared" ref="F6:F8" si="1">IFERROR(E6/D6, "")</f>
        <v>-2.88627476169582E-3</v>
      </c>
      <c r="G6" s="16"/>
      <c r="H6" s="16">
        <f>SUM(Jan!H6, Feb!H6, Mar!H6)</f>
        <v>-6550.9600000000009</v>
      </c>
      <c r="I6" s="17" t="str">
        <f t="shared" ref="I6:I8" si="2">IFERROR(H6/G6, "")</f>
        <v/>
      </c>
    </row>
    <row r="7" spans="1:9" ht="15.75">
      <c r="A7" s="18" t="str">
        <v>Golden NREL Wind 3</v>
      </c>
      <c r="B7" s="11" t="str">
        <v>CO</v>
      </c>
      <c r="C7" s="12">
        <f>SUM(Jan!C7, Feb!C7, Mar!C7)</f>
        <v>0</v>
      </c>
      <c r="D7" s="19">
        <f>SUM(Jan!D7, Feb!D7, Mar!D7)</f>
        <v>0</v>
      </c>
      <c r="E7" s="19">
        <f t="shared" si="0"/>
        <v>0</v>
      </c>
      <c r="F7" s="20" t="str">
        <f t="shared" si="1"/>
        <v/>
      </c>
      <c r="G7" s="21"/>
      <c r="H7" s="21">
        <f>SUM(Jan!H7, Feb!H7, Mar!H7)</f>
        <v>0</v>
      </c>
      <c r="I7" s="20" t="str">
        <f t="shared" si="2"/>
        <v/>
      </c>
    </row>
    <row r="8" spans="1:9" ht="15.75">
      <c r="A8" s="13" t="str">
        <v>Pratt Solar Farm</v>
      </c>
      <c r="B8" s="10" t="str">
        <v>KS</v>
      </c>
      <c r="C8" s="25">
        <f>SUM(Jan!C8, Feb!C8, Mar!C8)</f>
        <v>1796630</v>
      </c>
      <c r="D8" s="14">
        <f>SUM(Jan!D8, Feb!D8, Mar!D8)</f>
        <v>2168417.929</v>
      </c>
      <c r="E8" s="14">
        <f t="shared" si="0"/>
        <v>-371787.929</v>
      </c>
      <c r="F8" s="15">
        <f t="shared" si="1"/>
        <v>-0.1714558453090525</v>
      </c>
      <c r="G8" s="16"/>
      <c r="H8" s="16">
        <f>SUM(Jan!H8, Feb!H8, Mar!H8)</f>
        <v>-83098.040000000037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2.95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2.95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2.95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2.9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95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2.9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2.9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2.9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2.9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2.9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2.9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B27" sqref="B2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Ecofin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6">
        <f>SUM(C4:C91)</f>
        <v>2107421</v>
      </c>
      <c r="D2" s="6">
        <f>SUM(D4:D91)</f>
        <v>2460365.2046759999</v>
      </c>
      <c r="E2" s="6">
        <f>C2-D2</f>
        <v>-352944.20467599994</v>
      </c>
      <c r="F2" s="7">
        <f>IFERROR(E2/D2, 0)</f>
        <v>-0.14345195745949366</v>
      </c>
      <c r="G2" s="6">
        <f>SUM(G4:G91)</f>
        <v>2220161.2999999998</v>
      </c>
      <c r="H2" s="8">
        <f>C2-G2</f>
        <v>-112740.29999999981</v>
      </c>
      <c r="I2" s="7">
        <f>IFERROR(H2/G2, 0)</f>
        <v>-5.0780229346399211E-2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SUM(Jan!C4, Feb!C4, Mar!C4)</f>
        <v>288610</v>
      </c>
      <c r="D4" s="14">
        <f>SUM(Jan!D4, Feb!D4, Mar!D4)</f>
        <v>269702.0699</v>
      </c>
      <c r="E4" s="14">
        <f>IF(AND(ISNUMBER(C4),ISNUMBER(D4)), C4-D4, "")</f>
        <v>18907.930099999998</v>
      </c>
      <c r="F4" s="15">
        <f>IFERROR(E4/D4, "")</f>
        <v>7.0106729648054505E-2</v>
      </c>
      <c r="G4" s="16">
        <f>SUM(Jan!G4, Feb!G4, Mar!G4)</f>
        <v>311701.3</v>
      </c>
      <c r="H4" s="16">
        <f>SUM(Jan!H4, Feb!H4, Mar!H4)</f>
        <v>-23091.300000000003</v>
      </c>
      <c r="I4" s="17">
        <f>IFERROR(H4/G4, "")</f>
        <v>-7.4081500462141167E-2</v>
      </c>
    </row>
    <row r="5" spans="1:9" ht="15.75">
      <c r="A5" s="18" t="str">
        <v>San Luis Valley</v>
      </c>
      <c r="B5" s="11" t="str">
        <v>CO</v>
      </c>
      <c r="C5" s="12">
        <f>SUM(Jan!C5, Feb!C5, Mar!C5)</f>
        <v>0</v>
      </c>
      <c r="D5" s="19">
        <f>SUM(Jan!D5, Feb!D5, Mar!D5)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>
        <f>SUM(Jan!G5, Feb!G5, Mar!G5)</f>
        <v>0</v>
      </c>
      <c r="H5" s="21">
        <f>SUM(Jan!H5, Feb!H5, Mar!H5)</f>
        <v>0</v>
      </c>
      <c r="I5" s="20" t="str">
        <f>IFERROR(H5/G5, "")</f>
        <v/>
      </c>
    </row>
    <row r="6" spans="1:9" ht="15.75">
      <c r="A6" s="13" t="str">
        <v>Golden NREL 2</v>
      </c>
      <c r="B6" s="10" t="str">
        <v>CO</v>
      </c>
      <c r="C6" s="25">
        <f>SUM(Jan!C6, Feb!C6, Mar!C6)</f>
        <v>22181</v>
      </c>
      <c r="D6" s="14">
        <f>SUM(Jan!D6, Feb!D6, Mar!D6)</f>
        <v>22245.205775999999</v>
      </c>
      <c r="E6" s="14">
        <f t="shared" si="0"/>
        <v>-64.205775999998878</v>
      </c>
      <c r="F6" s="15">
        <f t="shared" ref="F6:F8" si="1">IFERROR(E6/D6, "")</f>
        <v>-2.88627476169582E-3</v>
      </c>
      <c r="G6" s="16">
        <f>SUM(Jan!G6, Feb!G6, Mar!G6)</f>
        <v>28731.96</v>
      </c>
      <c r="H6" s="16">
        <f>SUM(Jan!H6, Feb!H6, Mar!H6)</f>
        <v>-6550.9600000000009</v>
      </c>
      <c r="I6" s="17">
        <f t="shared" ref="I6:I8" si="2">IFERROR(H6/G6, "")</f>
        <v>-0.22800254490121805</v>
      </c>
    </row>
    <row r="7" spans="1:9" ht="15.75">
      <c r="A7" s="18" t="str">
        <v>Golden NREL Wind 3</v>
      </c>
      <c r="B7" s="11" t="str">
        <v>CO</v>
      </c>
      <c r="C7" s="12">
        <f>SUM(Jan!C7, Feb!C7, Mar!C7)</f>
        <v>0</v>
      </c>
      <c r="D7" s="19">
        <f>SUM(Jan!D7, Feb!D7, Mar!D7)</f>
        <v>0</v>
      </c>
      <c r="E7" s="19">
        <f t="shared" si="0"/>
        <v>0</v>
      </c>
      <c r="F7" s="20" t="str">
        <f t="shared" si="1"/>
        <v/>
      </c>
      <c r="G7" s="21">
        <f>SUM(Jan!G7, Feb!G7, Mar!G7)</f>
        <v>0</v>
      </c>
      <c r="H7" s="21">
        <f>SUM(Jan!H7, Feb!H7, Mar!H7)</f>
        <v>0</v>
      </c>
      <c r="I7" s="20" t="str">
        <f t="shared" si="2"/>
        <v/>
      </c>
    </row>
    <row r="8" spans="1:9" ht="15.75">
      <c r="A8" s="13" t="str">
        <v>Pratt Solar Farm</v>
      </c>
      <c r="B8" s="10" t="str">
        <v>KS</v>
      </c>
      <c r="C8" s="25">
        <f>SUM(Jan!C8, Feb!C8, Mar!C8)</f>
        <v>1796630</v>
      </c>
      <c r="D8" s="14">
        <f>SUM(Jan!D8, Feb!D8, Mar!D8)</f>
        <v>2168417.929</v>
      </c>
      <c r="E8" s="14">
        <f t="shared" si="0"/>
        <v>-371787.929</v>
      </c>
      <c r="F8" s="15">
        <f t="shared" si="1"/>
        <v>-0.1714558453090525</v>
      </c>
      <c r="G8" s="16">
        <f>SUM(Jan!G8, Feb!G8, Mar!G8)</f>
        <v>1879728.04</v>
      </c>
      <c r="H8" s="16">
        <f>SUM(Jan!H8, Feb!H8, Mar!H8)</f>
        <v>-83098.040000000037</v>
      </c>
      <c r="I8" s="17">
        <f t="shared" si="2"/>
        <v>-4.4207480141648596E-2</v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2.95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2.95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2.95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2.9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95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2.9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2.9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2.9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2.9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2.9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2.9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A9" sqref="A9:XFD1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Ecofin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8" t="str">
        <v>San Luis Valley</v>
      </c>
      <c r="B5" s="11" t="str">
        <v>CO</v>
      </c>
      <c r="C5" s="12">
        <f>SUM(Apr!C5, May!C5, Jun!C5)</f>
        <v>0</v>
      </c>
      <c r="D5" s="19">
        <f>SUM(Apr!D5, May!D5, Jun!D5)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SUM(Apr!H5, May!H5, Jun!H5)</f>
        <v>0</v>
      </c>
      <c r="I5" s="20" t="str">
        <f>IFERROR(H5/G5, "")</f>
        <v/>
      </c>
    </row>
    <row r="6" spans="1:9" ht="15.75">
      <c r="A6" s="13" t="str">
        <v>Golden NREL 2</v>
      </c>
      <c r="B6" s="10" t="str">
        <v>CO</v>
      </c>
      <c r="C6" s="25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SUM(Apr!H6, May!H6, Jun!H6)</f>
        <v>0</v>
      </c>
      <c r="I6" s="17" t="str">
        <f t="shared" ref="I6:I8" si="2">IFERROR(H6/G6, "")</f>
        <v/>
      </c>
    </row>
    <row r="7" spans="1:9" ht="15.75">
      <c r="A7" s="18" t="str">
        <v>Golden NREL Wind 3</v>
      </c>
      <c r="B7" s="11" t="str">
        <v>CO</v>
      </c>
      <c r="C7" s="12">
        <f>SUM(Apr!C7, May!C7, Jun!C7)</f>
        <v>0</v>
      </c>
      <c r="D7" s="19">
        <f>SUM(Apr!D7, May!D7, Jun!D7)</f>
        <v>0</v>
      </c>
      <c r="E7" s="19">
        <f t="shared" si="0"/>
        <v>0</v>
      </c>
      <c r="F7" s="20" t="str">
        <f t="shared" si="1"/>
        <v/>
      </c>
      <c r="G7" s="21"/>
      <c r="H7" s="21">
        <f>SUM(Apr!H7, May!H7, Jun!H7)</f>
        <v>0</v>
      </c>
      <c r="I7" s="20" t="str">
        <f t="shared" si="2"/>
        <v/>
      </c>
    </row>
    <row r="8" spans="1:9" ht="15.75">
      <c r="A8" s="13" t="str">
        <v>Pratt Solar Farm</v>
      </c>
      <c r="B8" s="10" t="str">
        <v>KS</v>
      </c>
      <c r="C8" s="25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2.95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2.95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2.95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2.9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95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2.9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2.9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2.9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2.9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2.9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2.9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A9" sqref="A9:XFD1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Ecofin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8" t="str">
        <v>San Luis Valley</v>
      </c>
      <c r="B5" s="11" t="str">
        <v>CO</v>
      </c>
      <c r="C5" s="12">
        <f>SUM(Jul!C5, Aug!C5, Sep!C5)</f>
        <v>0</v>
      </c>
      <c r="D5" s="19">
        <f>SUM(Jul!D5, Aug!D5, Sep!D5)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5.75">
      <c r="A6" s="13" t="str">
        <v>Golden NREL 2</v>
      </c>
      <c r="B6" s="10" t="str">
        <v>CO</v>
      </c>
      <c r="C6" s="25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SUM(Jul!H6, Aug!H6, Sep!H6)</f>
        <v>0</v>
      </c>
      <c r="I6" s="17" t="str">
        <f t="shared" ref="I6:I8" si="2">IFERROR(H6/G6, "")</f>
        <v/>
      </c>
    </row>
    <row r="7" spans="1:9" ht="15.75">
      <c r="A7" s="18" t="str">
        <v>Golden NREL Wind 3</v>
      </c>
      <c r="B7" s="11" t="str">
        <v>CO</v>
      </c>
      <c r="C7" s="12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5.75">
      <c r="A8" s="13" t="str">
        <v>Pratt Solar Farm</v>
      </c>
      <c r="B8" s="10" t="str">
        <v>KS</v>
      </c>
      <c r="C8" s="25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2.95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2.95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2.95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2.9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95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2.9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2.9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2.9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2.9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2.9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2.9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9" activePane="bottomRight" state="frozen"/>
      <selection pane="bottomRight" activeCell="A9" sqref="A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Ecofin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8" t="str">
        <v>San Luis Valley</v>
      </c>
      <c r="B5" s="11" t="str">
        <v>CO</v>
      </c>
      <c r="C5" s="12">
        <f>SUM(Oct!C5, Nov!C5, Dec!C5)</f>
        <v>0</v>
      </c>
      <c r="D5" s="19">
        <f>SUM(Oct!D5, Nov!D5, Dec!D5)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5.75">
      <c r="A6" s="13" t="str">
        <v>Golden NREL 2</v>
      </c>
      <c r="B6" s="10" t="str">
        <v>CO</v>
      </c>
      <c r="C6" s="25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SUM(Oct!H6, Nov!H6, Dec!H6)</f>
        <v>0</v>
      </c>
      <c r="I6" s="17" t="str">
        <f t="shared" ref="I6:I8" si="2">IFERROR(H6/G6, "")</f>
        <v/>
      </c>
    </row>
    <row r="7" spans="1:9" ht="15.75">
      <c r="A7" s="18" t="str">
        <v>Golden NREL Wind 3</v>
      </c>
      <c r="B7" s="11" t="str">
        <v>CO</v>
      </c>
      <c r="C7" s="12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5.75">
      <c r="A8" s="13" t="str">
        <v>Pratt Solar Farm</v>
      </c>
      <c r="B8" s="10" t="str">
        <v>KS</v>
      </c>
      <c r="C8" s="25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2.95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2.95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2.95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2.9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95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2.9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2.9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2.9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2.9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2.9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2.9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4"/>
  <sheetViews>
    <sheetView workbookViewId="0">
      <pane xSplit="2" ySplit="3" topLeftCell="C4" activePane="bottomRight" state="frozen"/>
      <selection pane="bottomRight" activeCell="J7" sqref="J7:K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Ecofin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SUM(C4:C82)</f>
        <v>78991</v>
      </c>
      <c r="D2" s="6">
        <f>SUM(D4:D82)</f>
        <v>79673</v>
      </c>
      <c r="E2" s="6">
        <f>C2-D2</f>
        <v>-682</v>
      </c>
      <c r="F2" s="7">
        <f>IFERROR(E2/D2, 0)</f>
        <v>-8.5599889548529616E-3</v>
      </c>
      <c r="G2" s="6">
        <f>SUM(G4:G82)</f>
        <v>100783</v>
      </c>
      <c r="H2" s="8">
        <f>C2-G2</f>
        <v>-21792</v>
      </c>
      <c r="I2" s="7">
        <f>IFERROR(H2/G2, 0)</f>
        <v>-0.21622694303602791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8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>
        <v>72896</v>
      </c>
      <c r="D4" s="14">
        <v>73786</v>
      </c>
      <c r="E4" s="14">
        <f>IF(AND(ISNUMBER(C4),ISNUMBER(D4)), C4-D4, "")</f>
        <v>-890</v>
      </c>
      <c r="F4" s="15">
        <f>IFERROR(E4/D4, "")</f>
        <v>-1.2061908763180007E-2</v>
      </c>
      <c r="G4" s="16">
        <v>93005</v>
      </c>
      <c r="H4" s="16">
        <f>IF(AND(ISNUMBER(C4),ISNUMBER(G4)), C4-G4, "")</f>
        <v>-20109</v>
      </c>
      <c r="I4" s="17">
        <f>IFERROR(H4/G4, "")</f>
        <v>-0.21621418203322401</v>
      </c>
      <c r="J4" s="42" t="s">
        <v>22</v>
      </c>
      <c r="K4" s="42" t="s">
        <v>23</v>
      </c>
    </row>
    <row r="5" spans="1:11" ht="15.75">
      <c r="A5" s="31" t="str">
        <v>San Luis Valley</v>
      </c>
      <c r="B5" s="32" t="str">
        <v>CO</v>
      </c>
      <c r="C5" s="12">
        <v>0</v>
      </c>
      <c r="D5" s="19"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>
        <v>0</v>
      </c>
      <c r="H5" s="21">
        <f t="shared" ref="H5:H6" si="1">IF(AND(ISNUMBER(C5),ISNUMBER(G5)), C5-G5, "")</f>
        <v>0</v>
      </c>
      <c r="I5" s="20" t="str">
        <f t="shared" ref="I5:I6" si="2">IFERROR(H5/G5, "")</f>
        <v/>
      </c>
      <c r="J5" s="43" t="s">
        <v>24</v>
      </c>
      <c r="K5" s="43" t="s">
        <v>25</v>
      </c>
    </row>
    <row r="6" spans="1:11" ht="15.75">
      <c r="A6" s="29" t="str">
        <v>Golden NREL 2</v>
      </c>
      <c r="B6" s="30" t="str">
        <v>CO</v>
      </c>
      <c r="C6" s="25">
        <v>6095</v>
      </c>
      <c r="D6" s="14">
        <v>5887</v>
      </c>
      <c r="E6" s="14">
        <f t="shared" si="0"/>
        <v>208</v>
      </c>
      <c r="F6" s="15">
        <f t="shared" ref="F6:F8" si="3">IFERROR(E6/D6, "")</f>
        <v>3.5332087650755906E-2</v>
      </c>
      <c r="G6" s="16">
        <v>7778</v>
      </c>
      <c r="H6" s="16">
        <f t="shared" si="1"/>
        <v>-1683</v>
      </c>
      <c r="I6" s="17">
        <f t="shared" si="2"/>
        <v>-0.21637953201337104</v>
      </c>
      <c r="J6" s="42" t="s">
        <v>26</v>
      </c>
      <c r="K6" s="42" t="s">
        <v>27</v>
      </c>
    </row>
    <row r="7" spans="1:11" ht="15.75">
      <c r="A7" s="31" t="str">
        <v>Golden NREL Wind 3</v>
      </c>
      <c r="B7" s="32" t="str">
        <v>CO</v>
      </c>
      <c r="C7" s="12">
        <v>0</v>
      </c>
      <c r="D7" s="19">
        <v>0</v>
      </c>
      <c r="E7" s="19">
        <f t="shared" si="0"/>
        <v>0</v>
      </c>
      <c r="F7" s="20" t="str">
        <f t="shared" si="3"/>
        <v/>
      </c>
      <c r="G7" s="21">
        <v>0</v>
      </c>
      <c r="H7" s="21">
        <f t="shared" ref="H7:H8" si="4">IF(AND(ISNUMBER(C7),ISNUMBER(G7)), C7-G7, "")</f>
        <v>0</v>
      </c>
      <c r="I7" s="20" t="str">
        <f t="shared" ref="I7:I8" si="5">IFERROR(H7/G7, "")</f>
        <v/>
      </c>
      <c r="J7" s="43" t="s">
        <v>28</v>
      </c>
      <c r="K7" s="44" t="s">
        <v>29</v>
      </c>
    </row>
    <row r="8" spans="1:11" ht="15.75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4"/>
        <v/>
      </c>
      <c r="I8" s="17" t="str">
        <f t="shared" si="5"/>
        <v/>
      </c>
      <c r="J8" s="42"/>
      <c r="K8" s="42"/>
    </row>
    <row r="9" spans="1:11" ht="14.45">
      <c r="A9" s="22"/>
      <c r="B9" s="34"/>
      <c r="C9" s="22"/>
      <c r="D9" s="22"/>
      <c r="E9" s="22"/>
      <c r="F9" s="22"/>
      <c r="G9" s="22"/>
      <c r="H9" s="22"/>
      <c r="I9" s="22"/>
      <c r="J9" s="22"/>
      <c r="K9" s="22"/>
    </row>
    <row r="10" spans="1:11" ht="14.45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3"/>
      <c r="G15" s="22"/>
      <c r="H15" s="22"/>
      <c r="I15" s="23"/>
      <c r="J15" s="22"/>
      <c r="K15" s="22"/>
    </row>
    <row r="16" spans="1:11" ht="14.45">
      <c r="A16" s="22"/>
      <c r="B16" s="34"/>
      <c r="C16" s="22"/>
      <c r="D16" s="22"/>
      <c r="E16" s="22"/>
      <c r="F16" s="23"/>
      <c r="G16" s="22"/>
      <c r="H16" s="22"/>
      <c r="I16" s="23"/>
      <c r="J16" s="22"/>
      <c r="K16" s="22"/>
    </row>
    <row r="17" spans="1:11" ht="14.45">
      <c r="A17" s="22"/>
      <c r="B17" s="34"/>
      <c r="C17" s="22"/>
      <c r="D17" s="22"/>
      <c r="E17" s="22"/>
      <c r="F17" s="23"/>
      <c r="G17" s="22"/>
      <c r="H17" s="22"/>
      <c r="I17" s="23"/>
      <c r="J17" s="22"/>
      <c r="K17" s="22"/>
    </row>
    <row r="18" spans="1:11" ht="14.45">
      <c r="A18" s="22"/>
      <c r="B18" s="34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</sheetData>
  <mergeCells count="4">
    <mergeCell ref="D1:F1"/>
    <mergeCell ref="A1:C1"/>
    <mergeCell ref="G1:I1"/>
    <mergeCell ref="A2:B2"/>
  </mergeCells>
  <conditionalFormatting sqref="F2 I2 F4:F82 I4:I82">
    <cfRule type="cellIs" dxfId="40" priority="4" stopIfTrue="1" operator="lessThanOrEqual">
      <formula>-0.1</formula>
    </cfRule>
    <cfRule type="expression" dxfId="39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workbookViewId="0">
      <pane xSplit="2" ySplit="3" topLeftCell="C4" activePane="bottomRight" state="frozen"/>
      <selection pane="bottomRight" activeCell="J7" sqref="J7:K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Ecofin</v>
      </c>
      <c r="B1" s="52"/>
      <c r="C1" s="52"/>
      <c r="D1" s="53" t="s">
        <v>30</v>
      </c>
      <c r="E1" s="53"/>
      <c r="F1" s="53"/>
      <c r="G1" s="51" t="s">
        <v>31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SUM(C4:C91)</f>
        <v>911881</v>
      </c>
      <c r="D2" s="6">
        <f>SUM(D4:D91)</f>
        <v>1076640.5530000001</v>
      </c>
      <c r="E2" s="6">
        <f>C2-D2</f>
        <v>-164759.55300000007</v>
      </c>
      <c r="F2" s="7">
        <f>IFERROR(E2/D2, 0)</f>
        <v>-0.15303116025205124</v>
      </c>
      <c r="G2" s="6">
        <f>SUM(G4:G91)</f>
        <v>944891.36</v>
      </c>
      <c r="H2" s="8">
        <f>C2-G2</f>
        <v>-33010.359999999986</v>
      </c>
      <c r="I2" s="7">
        <f>IFERROR(H2/G2, 0)</f>
        <v>-3.4935614185317543E-2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>
        <v>100394</v>
      </c>
      <c r="D4" s="14">
        <v>90505.5</v>
      </c>
      <c r="E4" s="14">
        <f>IF(AND(ISNUMBER(C4),ISNUMBER(D4)), C4-D4, "")</f>
        <v>9888.5</v>
      </c>
      <c r="F4" s="15">
        <f>IFERROR(E4/D4, "")</f>
        <v>0.10925855334758661</v>
      </c>
      <c r="G4" s="16">
        <v>97813.3</v>
      </c>
      <c r="H4" s="16">
        <f>IF(AND(ISNUMBER(C4),ISNUMBER(G4)), C4-G4, "")</f>
        <v>2580.6999999999971</v>
      </c>
      <c r="I4" s="17">
        <f>IFERROR(H4/G4, "")</f>
        <v>2.6383937562683164E-2</v>
      </c>
      <c r="J4" s="47"/>
      <c r="K4" s="47"/>
    </row>
    <row r="5" spans="1:11" ht="15.75">
      <c r="A5" s="31" t="str">
        <v>San Luis Valley</v>
      </c>
      <c r="B5" s="32" t="str">
        <v>CO</v>
      </c>
      <c r="C5" s="12">
        <v>0</v>
      </c>
      <c r="D5" s="46">
        <v>0</v>
      </c>
      <c r="E5" s="19">
        <v>0</v>
      </c>
      <c r="F5" s="20" t="str">
        <f>IFERROR(E5/D5, "")</f>
        <v/>
      </c>
      <c r="G5" s="46">
        <v>0</v>
      </c>
      <c r="H5" s="21">
        <f t="shared" ref="H5:H8" si="0">IF(AND(ISNUMBER(C5),ISNUMBER(G5)), C5-G5, "")</f>
        <v>0</v>
      </c>
      <c r="I5" s="20" t="str">
        <f t="shared" ref="I5:I8" si="1">IFERROR(H5/G5, "")</f>
        <v/>
      </c>
      <c r="J5" s="55" t="s">
        <v>32</v>
      </c>
      <c r="K5" s="55" t="s">
        <v>33</v>
      </c>
    </row>
    <row r="6" spans="1:11" ht="15.75">
      <c r="A6" s="29" t="str">
        <v>Golden NREL 2</v>
      </c>
      <c r="B6" s="30" t="str">
        <v>CO</v>
      </c>
      <c r="C6" s="25">
        <v>6597</v>
      </c>
      <c r="D6" s="14">
        <v>7237.8</v>
      </c>
      <c r="E6" s="14">
        <f t="shared" ref="E6:E8" si="2">IF(AND(ISNUMBER(C6),ISNUMBER(D6)), C6-D6, "")</f>
        <v>-640.80000000000018</v>
      </c>
      <c r="F6" s="15">
        <f t="shared" ref="F6:F8" si="3">IFERROR(E6/D6, "")</f>
        <v>-8.8535190251181325E-2</v>
      </c>
      <c r="G6" s="16">
        <v>8862.2000000000007</v>
      </c>
      <c r="H6" s="16">
        <f t="shared" si="0"/>
        <v>-2265.2000000000007</v>
      </c>
      <c r="I6" s="17">
        <f t="shared" si="1"/>
        <v>-0.25560244634515139</v>
      </c>
      <c r="J6" s="47"/>
      <c r="K6" s="47"/>
    </row>
    <row r="7" spans="1:11" ht="15.75">
      <c r="A7" s="31" t="str">
        <v>Golden NREL Wind 3</v>
      </c>
      <c r="B7" s="32" t="str">
        <v>CO</v>
      </c>
      <c r="C7" s="12">
        <v>0</v>
      </c>
      <c r="D7" s="46">
        <v>0</v>
      </c>
      <c r="E7" s="19">
        <f t="shared" si="2"/>
        <v>0</v>
      </c>
      <c r="F7" s="20" t="str">
        <f t="shared" si="3"/>
        <v/>
      </c>
      <c r="G7" s="46">
        <v>0</v>
      </c>
      <c r="H7" s="21">
        <f t="shared" si="0"/>
        <v>0</v>
      </c>
      <c r="I7" s="20" t="str">
        <f t="shared" si="1"/>
        <v/>
      </c>
      <c r="J7" s="55" t="s">
        <v>28</v>
      </c>
      <c r="K7" s="55" t="s">
        <v>29</v>
      </c>
    </row>
    <row r="8" spans="1:11" ht="57.4">
      <c r="A8" s="29" t="str">
        <v>Pratt Solar Farm</v>
      </c>
      <c r="B8" s="30" t="str">
        <v>KS</v>
      </c>
      <c r="C8" s="25">
        <v>804890</v>
      </c>
      <c r="D8" s="14">
        <v>978897.25300000003</v>
      </c>
      <c r="E8" s="14">
        <f t="shared" si="2"/>
        <v>-174007.25300000003</v>
      </c>
      <c r="F8" s="15">
        <f t="shared" si="3"/>
        <v>-0.17775844448099604</v>
      </c>
      <c r="G8" s="16">
        <v>838215.86</v>
      </c>
      <c r="H8" s="16">
        <f t="shared" si="0"/>
        <v>-33325.859999999986</v>
      </c>
      <c r="I8" s="17">
        <f t="shared" si="1"/>
        <v>-3.9758088089624055E-2</v>
      </c>
      <c r="J8" s="47" t="s">
        <v>34</v>
      </c>
      <c r="K8" s="47" t="s">
        <v>35</v>
      </c>
    </row>
    <row r="9" spans="1:11" ht="12.75" customHeight="1">
      <c r="A9" s="22"/>
      <c r="B9" s="34"/>
      <c r="C9" s="22"/>
      <c r="D9" s="22"/>
      <c r="E9" s="22"/>
      <c r="F9" s="22"/>
      <c r="G9" s="22"/>
      <c r="H9" s="22"/>
      <c r="I9" s="22"/>
      <c r="J9" s="22"/>
      <c r="K9" s="22"/>
    </row>
    <row r="10" spans="1:11" ht="14.45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1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4"/>
  <sheetViews>
    <sheetView tabSelected="1" workbookViewId="0">
      <pane xSplit="2" ySplit="3" topLeftCell="C4" activePane="bottomRight" state="frozen"/>
      <selection pane="bottomRight" activeCell="J14" sqref="J14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Ecofin</v>
      </c>
      <c r="B1" s="52"/>
      <c r="C1" s="52"/>
      <c r="D1" s="53" t="s">
        <v>36</v>
      </c>
      <c r="E1" s="53"/>
      <c r="F1" s="53"/>
      <c r="G1" s="51" t="s">
        <v>37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SUM(C4:C92)</f>
        <v>1116549</v>
      </c>
      <c r="D2" s="6">
        <f>SUM(D4:D92)</f>
        <v>1304051.6516760001</v>
      </c>
      <c r="E2" s="6">
        <f>C2-D2</f>
        <v>-187502.6516760001</v>
      </c>
      <c r="F2" s="7">
        <f>IFERROR(E2/D2, 0)</f>
        <v>-0.14378468171488221</v>
      </c>
      <c r="G2" s="6">
        <f>SUM(G4:G92)</f>
        <v>1174486.94</v>
      </c>
      <c r="H2" s="8">
        <f>C2-G2</f>
        <v>-57937.939999999944</v>
      </c>
      <c r="I2" s="7">
        <f>IFERROR(H2/G2, 0)</f>
        <v>-4.9330425079056175E-2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48">
        <v>115320</v>
      </c>
      <c r="D4" s="14">
        <v>105410.5699</v>
      </c>
      <c r="E4" s="14">
        <f>IF(AND(ISNUMBER(C4),ISNUMBER(D4)), C4-D4, "")</f>
        <v>9909.4300999999978</v>
      </c>
      <c r="F4" s="15">
        <f>IFERROR(E4/D4, "")</f>
        <v>9.4007935915732088E-2</v>
      </c>
      <c r="G4" s="49">
        <v>120883</v>
      </c>
      <c r="H4" s="16">
        <f>IF(AND(ISNUMBER(C4),ISNUMBER(G4)), C4-G4, "")</f>
        <v>-5563</v>
      </c>
      <c r="I4" s="17">
        <f>IFERROR(H4/G4, "")</f>
        <v>-4.6019705004012146E-2</v>
      </c>
      <c r="J4" s="42"/>
      <c r="K4" s="42"/>
    </row>
    <row r="5" spans="1:11" ht="28.7">
      <c r="A5" s="31" t="str">
        <v>San Luis Valley</v>
      </c>
      <c r="B5" s="32" t="str">
        <v>CO</v>
      </c>
      <c r="C5" s="12">
        <v>0</v>
      </c>
      <c r="D5" s="19">
        <v>0</v>
      </c>
      <c r="E5" s="19">
        <f t="shared" ref="E5:E9" si="0">IF(AND(ISNUMBER(C5),ISNUMBER(D5)), C5-D5, "")</f>
        <v>0</v>
      </c>
      <c r="F5" s="20" t="str">
        <f>IFERROR(E5/D5, "")</f>
        <v/>
      </c>
      <c r="G5" s="21">
        <v>0</v>
      </c>
      <c r="H5" s="21">
        <f t="shared" ref="H5:H9" si="1">IF(AND(ISNUMBER(C5),ISNUMBER(G5)), C5-G5, "")</f>
        <v>0</v>
      </c>
      <c r="I5" s="20" t="str">
        <f t="shared" ref="I5:I9" si="2">IFERROR(H5/G5, "")</f>
        <v/>
      </c>
      <c r="J5" s="50" t="s">
        <v>38</v>
      </c>
      <c r="K5" s="50" t="s">
        <v>33</v>
      </c>
    </row>
    <row r="6" spans="1:11" ht="15.75">
      <c r="A6" s="29" t="str">
        <v>Golden NREL 2</v>
      </c>
      <c r="B6" s="30" t="str">
        <v>CO</v>
      </c>
      <c r="C6" s="25">
        <v>9489</v>
      </c>
      <c r="D6" s="14">
        <v>9120.4057759999996</v>
      </c>
      <c r="E6" s="14">
        <f t="shared" si="0"/>
        <v>368.59422400000039</v>
      </c>
      <c r="F6" s="15">
        <f t="shared" ref="F6:F9" si="3">IFERROR(E6/D6, "")</f>
        <v>4.041423518347638E-2</v>
      </c>
      <c r="G6" s="16">
        <v>12091.76</v>
      </c>
      <c r="H6" s="16">
        <f t="shared" si="1"/>
        <v>-2602.7600000000002</v>
      </c>
      <c r="I6" s="17">
        <f t="shared" si="2"/>
        <v>-0.21525071619019895</v>
      </c>
      <c r="J6" s="42"/>
      <c r="K6" s="42"/>
    </row>
    <row r="7" spans="1:11" ht="15.75">
      <c r="A7" s="31" t="str">
        <v>Golden NREL Wind 3</v>
      </c>
      <c r="B7" s="32" t="str">
        <v>CO</v>
      </c>
      <c r="C7" s="12">
        <v>0</v>
      </c>
      <c r="D7" s="12">
        <v>0</v>
      </c>
      <c r="E7" s="19">
        <f t="shared" si="0"/>
        <v>0</v>
      </c>
      <c r="F7" s="20" t="str">
        <f t="shared" si="3"/>
        <v/>
      </c>
      <c r="G7" s="21">
        <v>0</v>
      </c>
      <c r="H7" s="21">
        <f t="shared" si="1"/>
        <v>0</v>
      </c>
      <c r="I7" s="20" t="str">
        <f t="shared" si="2"/>
        <v/>
      </c>
      <c r="J7" s="55" t="s">
        <v>28</v>
      </c>
      <c r="K7" s="55" t="s">
        <v>29</v>
      </c>
    </row>
    <row r="8" spans="1:11" ht="15.75">
      <c r="A8" s="29" t="str">
        <v>Pratt Solar Farm</v>
      </c>
      <c r="B8" s="30" t="str">
        <v>KS</v>
      </c>
      <c r="C8" s="48">
        <v>991740</v>
      </c>
      <c r="D8" s="14">
        <v>1189520.676</v>
      </c>
      <c r="E8" s="14">
        <f t="shared" si="0"/>
        <v>-197780.67599999998</v>
      </c>
      <c r="F8" s="15">
        <f t="shared" si="3"/>
        <v>-0.16626922086388349</v>
      </c>
      <c r="G8" s="16">
        <v>1041512.18</v>
      </c>
      <c r="H8" s="16">
        <f t="shared" si="1"/>
        <v>-49772.180000000051</v>
      </c>
      <c r="I8" s="17">
        <f t="shared" si="2"/>
        <v>-4.7788380160854238E-2</v>
      </c>
      <c r="J8" s="42" t="s">
        <v>39</v>
      </c>
      <c r="K8" s="42" t="s">
        <v>35</v>
      </c>
    </row>
    <row r="9" spans="1:11" ht="15.75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2.75" customHeight="1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1">
      <c r="C334" s="22"/>
      <c r="D334" s="22"/>
      <c r="E334" s="22"/>
      <c r="F334" s="23"/>
      <c r="G334" s="22"/>
      <c r="H334" s="22"/>
      <c r="I334" s="23"/>
      <c r="J334" s="22"/>
      <c r="K334" s="22"/>
    </row>
  </sheetData>
  <mergeCells count="4">
    <mergeCell ref="G1:I1"/>
    <mergeCell ref="A1:C1"/>
    <mergeCell ref="D1:F1"/>
    <mergeCell ref="A2:B2"/>
  </mergeCells>
  <conditionalFormatting sqref="F2 I2 F4:F92 I4:I9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workbookViewId="0">
      <pane xSplit="2" ySplit="3" topLeftCell="C4" activePane="bottomRight" state="frozen"/>
      <selection pane="bottomRight" activeCell="J9" sqref="J9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Ecofin</v>
      </c>
      <c r="B1" s="52"/>
      <c r="C1" s="52"/>
      <c r="D1" s="53" t="s">
        <v>40</v>
      </c>
      <c r="E1" s="53"/>
      <c r="F1" s="53"/>
      <c r="G1" s="51" t="s">
        <v>41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75">
      <c r="A5" s="31" t="str">
        <v>San Luis Valley</v>
      </c>
      <c r="B5" s="32" t="str">
        <v>CO</v>
      </c>
      <c r="C5" s="12"/>
      <c r="D5" s="19"/>
      <c r="E5" s="19" t="str">
        <f t="shared" ref="E5:E8" si="0">IF(AND(ISNUMBER(C5),ISNUMBER(D5)), C5-D5, "")</f>
        <v/>
      </c>
      <c r="F5" s="20" t="str">
        <f>IFERROR(E5/D5, "")</f>
        <v/>
      </c>
      <c r="G5" s="21"/>
      <c r="H5" s="21" t="str">
        <f t="shared" ref="H5:H8" si="1">IF(AND(ISNUMBER(C5),ISNUMBER(G5)), C5-G5, "")</f>
        <v/>
      </c>
      <c r="I5" s="20" t="str">
        <f t="shared" ref="I5:I8" si="2">IFERROR(H5/G5, "")</f>
        <v/>
      </c>
      <c r="J5" s="43"/>
      <c r="K5" s="43"/>
    </row>
    <row r="6" spans="1:11" ht="15.75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75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75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2.75" customHeight="1">
      <c r="A9" s="22"/>
      <c r="B9" s="34"/>
      <c r="C9" s="22"/>
      <c r="D9" s="22"/>
      <c r="E9" s="22"/>
      <c r="F9" s="22"/>
      <c r="G9" s="22"/>
      <c r="H9" s="22"/>
      <c r="I9" s="22"/>
      <c r="J9" s="22"/>
      <c r="K9" s="22"/>
    </row>
    <row r="10" spans="1:11" ht="14.45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1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Ecofin</v>
      </c>
      <c r="B1" s="52"/>
      <c r="C1" s="52"/>
      <c r="D1" s="53" t="s">
        <v>42</v>
      </c>
      <c r="E1" s="53"/>
      <c r="F1" s="53"/>
      <c r="G1" s="51" t="s">
        <v>43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75">
      <c r="A5" s="31" t="str">
        <v>San Luis Valley</v>
      </c>
      <c r="B5" s="32" t="str">
        <v>CO</v>
      </c>
      <c r="C5" s="12"/>
      <c r="D5" s="19"/>
      <c r="E5" s="19" t="str">
        <f t="shared" ref="E5:E8" si="0">IF(AND(ISNUMBER(C5),ISNUMBER(D5)), C5-D5, "")</f>
        <v/>
      </c>
      <c r="F5" s="20" t="str">
        <f>IFERROR(E5/D5, "")</f>
        <v/>
      </c>
      <c r="G5" s="21"/>
      <c r="H5" s="21" t="str">
        <f t="shared" ref="H5:H8" si="1">IF(AND(ISNUMBER(C5),ISNUMBER(G5)), C5-G5, "")</f>
        <v/>
      </c>
      <c r="I5" s="20" t="str">
        <f t="shared" ref="I5:I8" si="2">IFERROR(H5/G5, "")</f>
        <v/>
      </c>
      <c r="J5" s="43"/>
      <c r="K5" s="43"/>
    </row>
    <row r="6" spans="1:11" ht="15.75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75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75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4.45">
      <c r="A9" s="22"/>
      <c r="B9" s="34"/>
      <c r="C9" s="22"/>
      <c r="D9" s="22"/>
      <c r="E9" s="22"/>
      <c r="F9" s="22"/>
      <c r="G9" s="22"/>
      <c r="H9" s="22"/>
      <c r="I9" s="22"/>
      <c r="J9" s="22"/>
      <c r="K9" s="22"/>
    </row>
    <row r="10" spans="1:11" ht="14.45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1">
      <c r="C332" s="22"/>
      <c r="D332" s="22"/>
      <c r="E332" s="22"/>
      <c r="F332" s="23"/>
      <c r="G332" s="22"/>
      <c r="H332" s="22"/>
      <c r="I332" s="23"/>
      <c r="J332" s="22"/>
      <c r="K332" s="22"/>
    </row>
  </sheetData>
  <mergeCells count="4">
    <mergeCell ref="G1:I1"/>
    <mergeCell ref="A1:C1"/>
    <mergeCell ref="D1:F1"/>
    <mergeCell ref="A2:B2"/>
  </mergeCells>
  <conditionalFormatting sqref="F2 I2 F4:F90 I4:I90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2" t="str" cm="1">
        <f t="array" ref="A1">portfolio</f>
        <v>Ecofin</v>
      </c>
      <c r="B1" s="52"/>
      <c r="C1" s="52"/>
      <c r="D1" s="53" t="s">
        <v>44</v>
      </c>
      <c r="E1" s="53"/>
      <c r="F1" s="53"/>
      <c r="G1" s="51" t="s">
        <v>45</v>
      </c>
      <c r="H1" s="51"/>
      <c r="I1" s="51"/>
      <c r="J1" s="5"/>
      <c r="K1" s="5"/>
    </row>
    <row r="2" spans="1:14" ht="19.5" customHeight="1">
      <c r="A2" s="54" t="s">
        <v>2</v>
      </c>
      <c r="B2" s="5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4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4" ht="15.75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4" ht="15.75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4" ht="15.75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4" ht="15.75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4" ht="12.95">
      <c r="A9" s="22"/>
      <c r="B9" s="22"/>
      <c r="C9" s="22"/>
      <c r="D9" s="22"/>
      <c r="E9" s="22" t="str">
        <f t="shared" si="0"/>
        <v/>
      </c>
      <c r="F9" s="22" t="str">
        <f t="shared" si="3"/>
        <v/>
      </c>
      <c r="G9" s="22"/>
      <c r="H9" s="22" t="str">
        <f t="shared" si="1"/>
        <v/>
      </c>
      <c r="I9" s="22" t="str">
        <f t="shared" si="2"/>
        <v/>
      </c>
      <c r="J9" s="22"/>
      <c r="K9" s="22"/>
      <c r="L9" s="22"/>
      <c r="M9" s="22"/>
      <c r="N9" s="22"/>
    </row>
    <row r="10" spans="1:14" ht="12.95">
      <c r="A10" s="22"/>
      <c r="B10" s="22"/>
      <c r="C10" s="22"/>
      <c r="D10" s="22"/>
      <c r="E10" s="22" t="str">
        <f t="shared" si="0"/>
        <v/>
      </c>
      <c r="F10" s="22" t="str">
        <f t="shared" si="3"/>
        <v/>
      </c>
      <c r="G10" s="22"/>
      <c r="H10" s="22" t="str">
        <f t="shared" si="1"/>
        <v/>
      </c>
      <c r="I10" s="22" t="str">
        <f t="shared" si="2"/>
        <v/>
      </c>
      <c r="J10" s="22"/>
      <c r="K10" s="22"/>
      <c r="L10" s="22"/>
      <c r="M10" s="22"/>
      <c r="N10" s="22"/>
    </row>
    <row r="11" spans="1:14" ht="12.95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  <c r="N11" s="22"/>
    </row>
    <row r="12" spans="1:14" ht="12.95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  <c r="N12" s="22"/>
    </row>
    <row r="13" spans="1:14" ht="12.95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  <c r="N13" s="22"/>
    </row>
    <row r="14" spans="1:14" ht="12.95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  <c r="N14" s="22"/>
    </row>
    <row r="15" spans="1:14" ht="12.95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  <c r="N15" s="22"/>
    </row>
    <row r="16" spans="1:14" ht="12.95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  <c r="N16" s="22"/>
    </row>
    <row r="17" spans="1:14" ht="12.95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  <c r="N17" s="22"/>
    </row>
    <row r="18" spans="1:14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4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4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8 I4:I8 F18:F100 I18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2" t="str" cm="1">
        <f t="array" ref="A1">portfolio</f>
        <v>Ecofin</v>
      </c>
      <c r="B1" s="52"/>
      <c r="C1" s="52"/>
      <c r="D1" s="53" t="s">
        <v>46</v>
      </c>
      <c r="E1" s="53"/>
      <c r="F1" s="53"/>
      <c r="G1" s="51" t="s">
        <v>47</v>
      </c>
      <c r="H1" s="51"/>
      <c r="I1" s="51"/>
      <c r="J1" s="5"/>
      <c r="K1" s="5"/>
    </row>
    <row r="2" spans="1:15" ht="19.5" customHeight="1">
      <c r="A2" s="54" t="s">
        <v>2</v>
      </c>
      <c r="B2" s="5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5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5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5" ht="15.75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5" ht="15.75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5" ht="15.75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5" ht="15.75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5" ht="15.75">
      <c r="A9" s="29"/>
      <c r="B9" s="29"/>
      <c r="C9" s="29"/>
      <c r="D9" s="29"/>
      <c r="E9" s="29" t="str">
        <f t="shared" si="0"/>
        <v/>
      </c>
      <c r="F9" s="29" t="str">
        <f t="shared" si="3"/>
        <v/>
      </c>
      <c r="G9" s="29"/>
      <c r="H9" s="29" t="str">
        <f t="shared" si="1"/>
        <v/>
      </c>
      <c r="I9" s="29" t="str">
        <f t="shared" si="2"/>
        <v/>
      </c>
      <c r="J9" s="29"/>
      <c r="K9" s="29"/>
      <c r="L9" s="29"/>
      <c r="M9" s="29"/>
      <c r="N9" s="29"/>
      <c r="O9" s="29"/>
    </row>
    <row r="10" spans="1:15" ht="15.75">
      <c r="A10" s="29"/>
      <c r="B10" s="29"/>
      <c r="C10" s="29"/>
      <c r="D10" s="29"/>
      <c r="E10" s="29" t="str">
        <f t="shared" si="0"/>
        <v/>
      </c>
      <c r="F10" s="29" t="str">
        <f t="shared" si="3"/>
        <v/>
      </c>
      <c r="G10" s="29"/>
      <c r="H10" s="29" t="str">
        <f t="shared" si="1"/>
        <v/>
      </c>
      <c r="I10" s="29" t="str">
        <f t="shared" si="2"/>
        <v/>
      </c>
      <c r="J10" s="29"/>
      <c r="K10" s="29"/>
      <c r="L10" s="29"/>
      <c r="M10" s="29"/>
      <c r="N10" s="29"/>
      <c r="O10" s="29"/>
    </row>
    <row r="11" spans="1:15" ht="15.75">
      <c r="A11" s="29"/>
      <c r="B11" s="29"/>
      <c r="C11" s="29"/>
      <c r="D11" s="29"/>
      <c r="E11" s="29" t="str">
        <f t="shared" si="0"/>
        <v/>
      </c>
      <c r="F11" s="29" t="str">
        <f t="shared" si="3"/>
        <v/>
      </c>
      <c r="G11" s="29"/>
      <c r="H11" s="29" t="str">
        <f t="shared" si="1"/>
        <v/>
      </c>
      <c r="I11" s="29" t="str">
        <f t="shared" si="2"/>
        <v/>
      </c>
      <c r="J11" s="29"/>
      <c r="K11" s="29"/>
      <c r="L11" s="29"/>
      <c r="M11" s="29"/>
      <c r="N11" s="29"/>
      <c r="O11" s="29"/>
    </row>
    <row r="12" spans="1:15" ht="15.75">
      <c r="A12" s="29"/>
      <c r="B12" s="29"/>
      <c r="C12" s="29"/>
      <c r="D12" s="29"/>
      <c r="E12" s="29" t="str">
        <f t="shared" si="0"/>
        <v/>
      </c>
      <c r="F12" s="29" t="str">
        <f t="shared" si="3"/>
        <v/>
      </c>
      <c r="G12" s="29"/>
      <c r="H12" s="29" t="str">
        <f t="shared" si="1"/>
        <v/>
      </c>
      <c r="I12" s="29" t="str">
        <f t="shared" si="2"/>
        <v/>
      </c>
      <c r="J12" s="29"/>
      <c r="K12" s="29"/>
      <c r="L12" s="29"/>
      <c r="M12" s="29"/>
      <c r="N12" s="29"/>
      <c r="O12" s="29"/>
    </row>
    <row r="13" spans="1:15" ht="15.75">
      <c r="A13" s="29"/>
      <c r="B13" s="29"/>
      <c r="C13" s="29"/>
      <c r="D13" s="29"/>
      <c r="E13" s="29" t="str">
        <f t="shared" si="0"/>
        <v/>
      </c>
      <c r="F13" s="29" t="str">
        <f t="shared" si="3"/>
        <v/>
      </c>
      <c r="G13" s="29"/>
      <c r="H13" s="29" t="str">
        <f t="shared" si="1"/>
        <v/>
      </c>
      <c r="I13" s="29" t="str">
        <f t="shared" si="2"/>
        <v/>
      </c>
      <c r="J13" s="29"/>
      <c r="K13" s="29"/>
      <c r="L13" s="29"/>
      <c r="M13" s="29"/>
      <c r="N13" s="29"/>
      <c r="O13" s="29"/>
    </row>
    <row r="14" spans="1:15" ht="15.75">
      <c r="A14" s="29"/>
      <c r="B14" s="29"/>
      <c r="C14" s="29"/>
      <c r="D14" s="29"/>
      <c r="E14" s="29" t="str">
        <f t="shared" si="0"/>
        <v/>
      </c>
      <c r="F14" s="29" t="str">
        <f t="shared" si="3"/>
        <v/>
      </c>
      <c r="G14" s="29"/>
      <c r="H14" s="29" t="str">
        <f t="shared" si="1"/>
        <v/>
      </c>
      <c r="I14" s="29" t="str">
        <f t="shared" si="2"/>
        <v/>
      </c>
      <c r="J14" s="29"/>
      <c r="K14" s="29"/>
      <c r="L14" s="29"/>
      <c r="M14" s="29"/>
      <c r="N14" s="29"/>
      <c r="O14" s="29"/>
    </row>
    <row r="15" spans="1:15" ht="15.75">
      <c r="A15" s="29"/>
      <c r="B15" s="29"/>
      <c r="C15" s="29"/>
      <c r="D15" s="29"/>
      <c r="E15" s="29" t="str">
        <f t="shared" si="0"/>
        <v/>
      </c>
      <c r="F15" s="29" t="str">
        <f t="shared" si="3"/>
        <v/>
      </c>
      <c r="G15" s="29"/>
      <c r="H15" s="29" t="str">
        <f t="shared" si="1"/>
        <v/>
      </c>
      <c r="I15" s="29" t="str">
        <f t="shared" si="2"/>
        <v/>
      </c>
      <c r="J15" s="29"/>
      <c r="K15" s="29"/>
      <c r="L15" s="29"/>
      <c r="M15" s="29"/>
      <c r="N15" s="29"/>
      <c r="O15" s="29"/>
    </row>
    <row r="16" spans="1:15" ht="15.75">
      <c r="A16" s="29"/>
      <c r="B16" s="29"/>
      <c r="C16" s="29"/>
      <c r="D16" s="29"/>
      <c r="E16" s="29" t="str">
        <f t="shared" si="0"/>
        <v/>
      </c>
      <c r="F16" s="29" t="str">
        <f t="shared" si="3"/>
        <v/>
      </c>
      <c r="G16" s="29"/>
      <c r="H16" s="29" t="str">
        <f t="shared" si="1"/>
        <v/>
      </c>
      <c r="I16" s="29" t="str">
        <f t="shared" si="2"/>
        <v/>
      </c>
      <c r="J16" s="29"/>
      <c r="K16" s="29"/>
      <c r="L16" s="29"/>
      <c r="M16" s="29"/>
      <c r="N16" s="29"/>
      <c r="O16" s="29"/>
    </row>
    <row r="17" spans="1:15" ht="15.75">
      <c r="A17" s="29"/>
      <c r="B17" s="29"/>
      <c r="C17" s="29"/>
      <c r="D17" s="29"/>
      <c r="E17" s="29" t="str">
        <f t="shared" si="0"/>
        <v/>
      </c>
      <c r="F17" s="29" t="str">
        <f t="shared" si="3"/>
        <v/>
      </c>
      <c r="G17" s="29"/>
      <c r="H17" s="29" t="str">
        <f t="shared" si="1"/>
        <v/>
      </c>
      <c r="I17" s="29" t="str">
        <f t="shared" si="2"/>
        <v/>
      </c>
      <c r="J17" s="29"/>
      <c r="K17" s="29"/>
      <c r="L17" s="29"/>
      <c r="M17" s="29"/>
      <c r="N17" s="29"/>
      <c r="O17" s="29"/>
    </row>
    <row r="18" spans="1:15" ht="12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5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5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5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5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5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5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5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5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5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5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5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5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1">
      <c r="C342" s="22"/>
      <c r="D342" s="22"/>
      <c r="E342" s="22"/>
      <c r="F342" s="23"/>
      <c r="G342" s="22"/>
      <c r="H342" s="22"/>
      <c r="I342" s="23"/>
      <c r="J342" s="22"/>
      <c r="K342" s="22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2" t="str" cm="1">
        <f t="array" ref="A1">portfolio</f>
        <v>Ecofin</v>
      </c>
      <c r="B1" s="52"/>
      <c r="C1" s="52"/>
      <c r="D1" s="53" t="s">
        <v>48</v>
      </c>
      <c r="E1" s="53"/>
      <c r="F1" s="53"/>
      <c r="G1" s="51" t="s">
        <v>49</v>
      </c>
      <c r="H1" s="51"/>
      <c r="I1" s="51"/>
      <c r="J1" s="5"/>
      <c r="K1" s="5"/>
    </row>
    <row r="2" spans="1:12" ht="19.5" customHeight="1">
      <c r="A2" s="54" t="s">
        <v>2</v>
      </c>
      <c r="B2" s="5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2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2" ht="15.75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2" ht="15.75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2" ht="15.75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2" ht="15.75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2" ht="12.95">
      <c r="A9" s="22"/>
      <c r="B9" s="22"/>
      <c r="C9" s="22"/>
      <c r="D9" s="22"/>
      <c r="E9" s="22" t="str">
        <f t="shared" si="0"/>
        <v/>
      </c>
      <c r="F9" s="22" t="str">
        <f t="shared" si="3"/>
        <v/>
      </c>
      <c r="G9" s="22"/>
      <c r="H9" s="22" t="str">
        <f t="shared" si="1"/>
        <v/>
      </c>
      <c r="I9" s="22" t="str">
        <f t="shared" si="2"/>
        <v/>
      </c>
      <c r="J9" s="22"/>
      <c r="K9" s="22"/>
      <c r="L9" s="22"/>
    </row>
    <row r="10" spans="1:12" ht="12.95">
      <c r="A10" s="22"/>
      <c r="B10" s="22"/>
      <c r="C10" s="22"/>
      <c r="D10" s="22"/>
      <c r="E10" s="22" t="str">
        <f t="shared" si="0"/>
        <v/>
      </c>
      <c r="F10" s="22" t="str">
        <f t="shared" si="3"/>
        <v/>
      </c>
      <c r="G10" s="22"/>
      <c r="H10" s="22" t="str">
        <f t="shared" si="1"/>
        <v/>
      </c>
      <c r="I10" s="22" t="str">
        <f t="shared" si="2"/>
        <v/>
      </c>
      <c r="J10" s="22"/>
      <c r="K10" s="22"/>
      <c r="L10" s="22"/>
    </row>
    <row r="11" spans="1:12" ht="12.95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</row>
    <row r="12" spans="1:12" ht="12.95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</row>
    <row r="13" spans="1:12" ht="12.95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</row>
    <row r="14" spans="1:12" ht="12.95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</row>
    <row r="15" spans="1:12" ht="12.95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</row>
    <row r="16" spans="1:12" ht="12.95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</row>
    <row r="17" spans="1:12" ht="12.95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</row>
    <row r="18" spans="1:12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ht="12.9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ht="12.9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2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2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2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52" t="str" cm="1">
        <f t="array" ref="A1">portfolio</f>
        <v>Ecofin</v>
      </c>
      <c r="B1" s="52"/>
      <c r="C1" s="52"/>
      <c r="D1" s="53" t="s">
        <v>50</v>
      </c>
      <c r="E1" s="53"/>
      <c r="F1" s="53"/>
      <c r="G1" s="51" t="s">
        <v>51</v>
      </c>
      <c r="H1" s="51"/>
      <c r="I1" s="51"/>
      <c r="J1" s="5"/>
      <c r="K1" s="5"/>
    </row>
    <row r="2" spans="1:13" ht="19.5" customHeight="1">
      <c r="A2" s="54" t="s">
        <v>2</v>
      </c>
      <c r="B2" s="5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3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3" ht="15.75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3" ht="15.75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3" ht="15.75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3" ht="15.75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3" ht="12.95">
      <c r="A9" s="22"/>
      <c r="B9" s="22"/>
      <c r="C9" s="22"/>
      <c r="D9" s="22"/>
      <c r="E9" s="22" t="str">
        <f t="shared" si="0"/>
        <v/>
      </c>
      <c r="F9" s="22" t="str">
        <f t="shared" si="3"/>
        <v/>
      </c>
      <c r="G9" s="22"/>
      <c r="H9" s="22" t="str">
        <f t="shared" si="1"/>
        <v/>
      </c>
      <c r="I9" s="22" t="str">
        <f t="shared" si="2"/>
        <v/>
      </c>
      <c r="J9" s="22"/>
      <c r="K9" s="22"/>
      <c r="L9" s="22"/>
      <c r="M9" s="22"/>
    </row>
    <row r="10" spans="1:13" ht="12.95">
      <c r="A10" s="22"/>
      <c r="B10" s="22"/>
      <c r="C10" s="22"/>
      <c r="D10" s="22"/>
      <c r="E10" s="22" t="str">
        <f t="shared" si="0"/>
        <v/>
      </c>
      <c r="F10" s="22" t="str">
        <f t="shared" si="3"/>
        <v/>
      </c>
      <c r="G10" s="22"/>
      <c r="H10" s="22" t="str">
        <f t="shared" si="1"/>
        <v/>
      </c>
      <c r="I10" s="22" t="str">
        <f t="shared" si="2"/>
        <v/>
      </c>
      <c r="J10" s="22"/>
      <c r="K10" s="22"/>
      <c r="L10" s="22"/>
      <c r="M10" s="22"/>
    </row>
    <row r="11" spans="1:13" ht="12.95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</row>
    <row r="12" spans="1:13" ht="12.95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</row>
    <row r="13" spans="1:13" ht="12.95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</row>
    <row r="14" spans="1:13" ht="12.95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</row>
    <row r="15" spans="1:13" ht="12.95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</row>
    <row r="16" spans="1:13" ht="12.95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</row>
    <row r="17" spans="1:13" ht="12.95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</row>
    <row r="18" spans="1:13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3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3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3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3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3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3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3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3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3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3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3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3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3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3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8 I4:I8 F18:F100 I18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N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2" t="str" cm="1">
        <f t="array" ref="A1">portfolio</f>
        <v>Ecofin</v>
      </c>
      <c r="B1" s="52"/>
      <c r="C1" s="52"/>
      <c r="D1" s="53" t="s">
        <v>52</v>
      </c>
      <c r="E1" s="53"/>
      <c r="F1" s="53"/>
      <c r="G1" s="51" t="s">
        <v>53</v>
      </c>
      <c r="H1" s="51"/>
      <c r="I1" s="51"/>
      <c r="J1" s="5"/>
      <c r="K1" s="5"/>
    </row>
    <row r="2" spans="1:14" ht="19.5" customHeight="1">
      <c r="A2" s="54" t="s">
        <v>2</v>
      </c>
      <c r="B2" s="5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4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4" ht="15.75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4" ht="15.75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4" ht="15.75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4" ht="15.75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4" ht="15.75">
      <c r="A9" s="29"/>
      <c r="B9" s="29"/>
      <c r="C9" s="29"/>
      <c r="D9" s="29"/>
      <c r="E9" s="29" t="str">
        <f t="shared" si="0"/>
        <v/>
      </c>
      <c r="F9" s="29" t="str">
        <f t="shared" si="3"/>
        <v/>
      </c>
      <c r="G9" s="29"/>
      <c r="H9" s="29" t="str">
        <f t="shared" si="1"/>
        <v/>
      </c>
      <c r="I9" s="29" t="str">
        <f t="shared" si="2"/>
        <v/>
      </c>
      <c r="J9" s="29"/>
      <c r="K9" s="29"/>
      <c r="L9" s="29"/>
      <c r="M9" s="29"/>
      <c r="N9" s="29"/>
    </row>
    <row r="10" spans="1:14" ht="15.75">
      <c r="A10" s="29"/>
      <c r="B10" s="29"/>
      <c r="C10" s="29"/>
      <c r="D10" s="29"/>
      <c r="E10" s="29" t="str">
        <f t="shared" si="0"/>
        <v/>
      </c>
      <c r="F10" s="29" t="str">
        <f t="shared" si="3"/>
        <v/>
      </c>
      <c r="G10" s="29"/>
      <c r="H10" s="29" t="str">
        <f t="shared" si="1"/>
        <v/>
      </c>
      <c r="I10" s="29" t="str">
        <f t="shared" si="2"/>
        <v/>
      </c>
      <c r="J10" s="29"/>
      <c r="K10" s="29"/>
      <c r="L10" s="29"/>
      <c r="M10" s="29"/>
      <c r="N10" s="29"/>
    </row>
    <row r="11" spans="1:14" ht="15.75">
      <c r="A11" s="29"/>
      <c r="B11" s="29"/>
      <c r="C11" s="29"/>
      <c r="D11" s="29"/>
      <c r="E11" s="29" t="str">
        <f t="shared" si="0"/>
        <v/>
      </c>
      <c r="F11" s="29" t="str">
        <f t="shared" si="3"/>
        <v/>
      </c>
      <c r="G11" s="29"/>
      <c r="H11" s="29" t="str">
        <f t="shared" si="1"/>
        <v/>
      </c>
      <c r="I11" s="29" t="str">
        <f t="shared" si="2"/>
        <v/>
      </c>
      <c r="J11" s="29"/>
      <c r="K11" s="29"/>
      <c r="L11" s="29"/>
      <c r="M11" s="29"/>
      <c r="N11" s="29"/>
    </row>
    <row r="12" spans="1:14" ht="15.75">
      <c r="A12" s="29"/>
      <c r="B12" s="29"/>
      <c r="C12" s="29"/>
      <c r="D12" s="29"/>
      <c r="E12" s="29" t="str">
        <f t="shared" si="0"/>
        <v/>
      </c>
      <c r="F12" s="29" t="str">
        <f t="shared" si="3"/>
        <v/>
      </c>
      <c r="G12" s="29"/>
      <c r="H12" s="29" t="str">
        <f t="shared" si="1"/>
        <v/>
      </c>
      <c r="I12" s="29" t="str">
        <f t="shared" si="2"/>
        <v/>
      </c>
      <c r="J12" s="29"/>
      <c r="K12" s="29"/>
      <c r="L12" s="29"/>
      <c r="M12" s="29"/>
      <c r="N12" s="29"/>
    </row>
    <row r="13" spans="1:14" ht="15.75">
      <c r="A13" s="29"/>
      <c r="B13" s="29"/>
      <c r="C13" s="29"/>
      <c r="D13" s="29"/>
      <c r="E13" s="29" t="str">
        <f t="shared" si="0"/>
        <v/>
      </c>
      <c r="F13" s="29" t="str">
        <f t="shared" si="3"/>
        <v/>
      </c>
      <c r="G13" s="29"/>
      <c r="H13" s="29" t="str">
        <f t="shared" si="1"/>
        <v/>
      </c>
      <c r="I13" s="29" t="str">
        <f t="shared" si="2"/>
        <v/>
      </c>
      <c r="J13" s="29"/>
      <c r="K13" s="29"/>
      <c r="L13" s="29"/>
      <c r="M13" s="29"/>
      <c r="N13" s="29"/>
    </row>
    <row r="14" spans="1:14" ht="15.75">
      <c r="A14" s="29"/>
      <c r="B14" s="29"/>
      <c r="C14" s="29"/>
      <c r="D14" s="29"/>
      <c r="E14" s="29" t="str">
        <f t="shared" si="0"/>
        <v/>
      </c>
      <c r="F14" s="29" t="str">
        <f t="shared" si="3"/>
        <v/>
      </c>
      <c r="G14" s="29"/>
      <c r="H14" s="29" t="str">
        <f t="shared" si="1"/>
        <v/>
      </c>
      <c r="I14" s="29" t="str">
        <f t="shared" si="2"/>
        <v/>
      </c>
      <c r="J14" s="29"/>
      <c r="K14" s="29"/>
      <c r="L14" s="29"/>
      <c r="M14" s="29"/>
      <c r="N14" s="29"/>
    </row>
    <row r="15" spans="1:14" ht="15.75">
      <c r="A15" s="29"/>
      <c r="B15" s="29"/>
      <c r="C15" s="29"/>
      <c r="D15" s="29"/>
      <c r="E15" s="29" t="str">
        <f t="shared" si="0"/>
        <v/>
      </c>
      <c r="F15" s="29" t="str">
        <f t="shared" si="3"/>
        <v/>
      </c>
      <c r="G15" s="29"/>
      <c r="H15" s="29" t="str">
        <f t="shared" si="1"/>
        <v/>
      </c>
      <c r="I15" s="29" t="str">
        <f t="shared" si="2"/>
        <v/>
      </c>
      <c r="J15" s="29"/>
      <c r="K15" s="29"/>
      <c r="L15" s="29"/>
      <c r="M15" s="29"/>
      <c r="N15" s="29"/>
    </row>
    <row r="16" spans="1:14" ht="15.75">
      <c r="A16" s="29"/>
      <c r="B16" s="29"/>
      <c r="C16" s="29"/>
      <c r="D16" s="29"/>
      <c r="E16" s="29" t="str">
        <f t="shared" si="0"/>
        <v/>
      </c>
      <c r="F16" s="29" t="str">
        <f t="shared" si="3"/>
        <v/>
      </c>
      <c r="G16" s="29"/>
      <c r="H16" s="29" t="str">
        <f t="shared" si="1"/>
        <v/>
      </c>
      <c r="I16" s="29" t="str">
        <f t="shared" si="2"/>
        <v/>
      </c>
      <c r="J16" s="29"/>
      <c r="K16" s="29"/>
      <c r="L16" s="29"/>
      <c r="M16" s="29"/>
      <c r="N16" s="29"/>
    </row>
    <row r="17" spans="1:14" ht="15.75">
      <c r="A17" s="29"/>
      <c r="B17" s="29"/>
      <c r="C17" s="29"/>
      <c r="D17" s="29"/>
      <c r="E17" s="29" t="str">
        <f t="shared" si="0"/>
        <v/>
      </c>
      <c r="F17" s="29" t="str">
        <f t="shared" si="3"/>
        <v/>
      </c>
      <c r="G17" s="29"/>
      <c r="H17" s="29" t="str">
        <f t="shared" si="1"/>
        <v/>
      </c>
      <c r="I17" s="29" t="str">
        <f t="shared" si="2"/>
        <v/>
      </c>
      <c r="J17" s="29"/>
      <c r="K17" s="29"/>
      <c r="L17" s="29"/>
      <c r="M17" s="29"/>
      <c r="N17" s="29"/>
    </row>
    <row r="18" spans="1:14" ht="12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 ht="15.7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1:14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2" t="str" cm="1">
        <f t="array" ref="A1">portfolio</f>
        <v>Ecofin</v>
      </c>
      <c r="B1" s="52"/>
      <c r="C1" s="52"/>
      <c r="D1" s="53" t="s">
        <v>54</v>
      </c>
      <c r="E1" s="53"/>
      <c r="F1" s="53"/>
      <c r="G1" s="51" t="s">
        <v>55</v>
      </c>
      <c r="H1" s="51"/>
      <c r="I1" s="51"/>
      <c r="J1" s="5"/>
      <c r="K1" s="5"/>
    </row>
    <row r="2" spans="1:12" ht="19.5" customHeight="1">
      <c r="A2" s="54" t="s">
        <v>2</v>
      </c>
      <c r="B2" s="5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2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2" ht="15.75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2" ht="15.75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2" ht="15.75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2" ht="15.75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2" ht="15.75">
      <c r="A9" s="31"/>
      <c r="B9" s="31"/>
      <c r="C9" s="31"/>
      <c r="D9" s="31"/>
      <c r="E9" s="31" t="str">
        <f t="shared" si="0"/>
        <v/>
      </c>
      <c r="F9" s="31" t="str">
        <f t="shared" si="3"/>
        <v/>
      </c>
      <c r="G9" s="31"/>
      <c r="H9" s="31" t="str">
        <f t="shared" si="1"/>
        <v/>
      </c>
      <c r="I9" s="31" t="str">
        <f t="shared" si="2"/>
        <v/>
      </c>
      <c r="J9" s="31"/>
      <c r="K9" s="31"/>
      <c r="L9" s="31"/>
    </row>
    <row r="10" spans="1:12" ht="15.75">
      <c r="A10" s="31"/>
      <c r="B10" s="31"/>
      <c r="C10" s="31"/>
      <c r="D10" s="31"/>
      <c r="E10" s="31" t="str">
        <f t="shared" si="0"/>
        <v/>
      </c>
      <c r="F10" s="31" t="str">
        <f t="shared" si="3"/>
        <v/>
      </c>
      <c r="G10" s="31"/>
      <c r="H10" s="31" t="str">
        <f t="shared" si="1"/>
        <v/>
      </c>
      <c r="I10" s="31" t="str">
        <f t="shared" si="2"/>
        <v/>
      </c>
      <c r="J10" s="31"/>
      <c r="K10" s="31"/>
      <c r="L10" s="31"/>
    </row>
    <row r="11" spans="1:12" ht="15.75">
      <c r="A11" s="31"/>
      <c r="B11" s="31"/>
      <c r="C11" s="31"/>
      <c r="D11" s="31"/>
      <c r="E11" s="31" t="str">
        <f t="shared" si="0"/>
        <v/>
      </c>
      <c r="F11" s="31" t="str">
        <f t="shared" si="3"/>
        <v/>
      </c>
      <c r="G11" s="31"/>
      <c r="H11" s="31" t="str">
        <f t="shared" si="1"/>
        <v/>
      </c>
      <c r="I11" s="31" t="str">
        <f t="shared" si="2"/>
        <v/>
      </c>
      <c r="J11" s="31"/>
      <c r="K11" s="31"/>
      <c r="L11" s="31"/>
    </row>
    <row r="12" spans="1:12" ht="15.75">
      <c r="A12" s="31"/>
      <c r="B12" s="31"/>
      <c r="C12" s="31"/>
      <c r="D12" s="31"/>
      <c r="E12" s="31" t="str">
        <f t="shared" si="0"/>
        <v/>
      </c>
      <c r="F12" s="31" t="str">
        <f t="shared" si="3"/>
        <v/>
      </c>
      <c r="G12" s="31"/>
      <c r="H12" s="31" t="str">
        <f t="shared" si="1"/>
        <v/>
      </c>
      <c r="I12" s="31" t="str">
        <f t="shared" si="2"/>
        <v/>
      </c>
      <c r="J12" s="31"/>
      <c r="K12" s="31"/>
      <c r="L12" s="31"/>
    </row>
    <row r="13" spans="1:12" ht="15.75">
      <c r="A13" s="31"/>
      <c r="B13" s="31"/>
      <c r="C13" s="31"/>
      <c r="D13" s="31"/>
      <c r="E13" s="31" t="str">
        <f t="shared" si="0"/>
        <v/>
      </c>
      <c r="F13" s="31" t="str">
        <f t="shared" si="3"/>
        <v/>
      </c>
      <c r="G13" s="31"/>
      <c r="H13" s="31" t="str">
        <f t="shared" si="1"/>
        <v/>
      </c>
      <c r="I13" s="31" t="str">
        <f t="shared" si="2"/>
        <v/>
      </c>
      <c r="J13" s="31"/>
      <c r="K13" s="31"/>
      <c r="L13" s="31"/>
    </row>
    <row r="14" spans="1:12" ht="15.75">
      <c r="A14" s="31"/>
      <c r="B14" s="31"/>
      <c r="C14" s="31"/>
      <c r="D14" s="31"/>
      <c r="E14" s="31" t="str">
        <f t="shared" si="0"/>
        <v/>
      </c>
      <c r="F14" s="31" t="str">
        <f t="shared" si="3"/>
        <v/>
      </c>
      <c r="G14" s="31"/>
      <c r="H14" s="31" t="str">
        <f t="shared" si="1"/>
        <v/>
      </c>
      <c r="I14" s="31" t="str">
        <f t="shared" si="2"/>
        <v/>
      </c>
      <c r="J14" s="31"/>
      <c r="K14" s="31"/>
      <c r="L14" s="31"/>
    </row>
    <row r="15" spans="1:12" ht="15.75">
      <c r="A15" s="31"/>
      <c r="B15" s="31"/>
      <c r="C15" s="31"/>
      <c r="D15" s="31"/>
      <c r="E15" s="31" t="str">
        <f t="shared" si="0"/>
        <v/>
      </c>
      <c r="F15" s="31" t="str">
        <f t="shared" si="3"/>
        <v/>
      </c>
      <c r="G15" s="31"/>
      <c r="H15" s="31" t="str">
        <f t="shared" si="1"/>
        <v/>
      </c>
      <c r="I15" s="31" t="str">
        <f t="shared" si="2"/>
        <v/>
      </c>
      <c r="J15" s="31"/>
      <c r="K15" s="31"/>
      <c r="L15" s="31"/>
    </row>
    <row r="16" spans="1:12" ht="15.75">
      <c r="A16" s="31"/>
      <c r="B16" s="31"/>
      <c r="C16" s="31"/>
      <c r="D16" s="31"/>
      <c r="E16" s="31" t="str">
        <f t="shared" si="0"/>
        <v/>
      </c>
      <c r="F16" s="31" t="str">
        <f t="shared" si="3"/>
        <v/>
      </c>
      <c r="G16" s="31"/>
      <c r="H16" s="31" t="str">
        <f t="shared" si="1"/>
        <v/>
      </c>
      <c r="I16" s="31" t="str">
        <f t="shared" si="2"/>
        <v/>
      </c>
      <c r="J16" s="31"/>
      <c r="K16" s="31"/>
      <c r="L16" s="31"/>
    </row>
    <row r="17" spans="1:12" ht="15.75">
      <c r="A17" s="31"/>
      <c r="B17" s="31"/>
      <c r="C17" s="31"/>
      <c r="D17" s="31"/>
      <c r="E17" s="31" t="str">
        <f t="shared" si="0"/>
        <v/>
      </c>
      <c r="F17" s="31" t="str">
        <f t="shared" si="3"/>
        <v/>
      </c>
      <c r="G17" s="31"/>
      <c r="H17" s="31" t="str">
        <f t="shared" si="1"/>
        <v/>
      </c>
      <c r="I17" s="31" t="str">
        <f t="shared" si="2"/>
        <v/>
      </c>
      <c r="J17" s="31"/>
      <c r="K17" s="31"/>
      <c r="L17" s="31"/>
    </row>
    <row r="18" spans="1:12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12" ht="15.7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15.7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 ht="15.7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ht="15.7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2" ht="15.7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1:12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2" t="str" cm="1">
        <f t="array" ref="A1">portfolio</f>
        <v>Ecofin</v>
      </c>
      <c r="B1" s="52"/>
      <c r="C1" s="52"/>
      <c r="D1" s="53" t="s">
        <v>56</v>
      </c>
      <c r="E1" s="53"/>
      <c r="F1" s="53"/>
      <c r="G1" s="51" t="s">
        <v>57</v>
      </c>
      <c r="H1" s="51"/>
      <c r="I1" s="51"/>
      <c r="J1" s="5"/>
      <c r="K1" s="5"/>
    </row>
    <row r="2" spans="1:14" ht="19.5" customHeight="1">
      <c r="A2" s="54" t="s">
        <v>2</v>
      </c>
      <c r="B2" s="54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4" ht="15.75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4" ht="15.75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4" ht="15.75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4" ht="15.75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4" ht="15.75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4" ht="12.95">
      <c r="A9" s="22"/>
      <c r="B9" s="22"/>
      <c r="C9" s="22"/>
      <c r="D9" s="22"/>
      <c r="E9" s="22" t="str">
        <f t="shared" si="0"/>
        <v/>
      </c>
      <c r="F9" s="22" t="str">
        <f t="shared" si="3"/>
        <v/>
      </c>
      <c r="G9" s="22"/>
      <c r="H9" s="22" t="str">
        <f t="shared" si="1"/>
        <v/>
      </c>
      <c r="I9" s="22" t="str">
        <f t="shared" si="2"/>
        <v/>
      </c>
      <c r="J9" s="22"/>
      <c r="K9" s="22"/>
      <c r="L9" s="22"/>
      <c r="M9" s="22"/>
      <c r="N9" s="22"/>
    </row>
    <row r="10" spans="1:14" ht="12.95">
      <c r="A10" s="22"/>
      <c r="B10" s="22"/>
      <c r="C10" s="22"/>
      <c r="D10" s="22"/>
      <c r="E10" s="22" t="str">
        <f t="shared" si="0"/>
        <v/>
      </c>
      <c r="F10" s="22" t="str">
        <f t="shared" si="3"/>
        <v/>
      </c>
      <c r="G10" s="22"/>
      <c r="H10" s="22" t="str">
        <f t="shared" si="1"/>
        <v/>
      </c>
      <c r="I10" s="22" t="str">
        <f t="shared" si="2"/>
        <v/>
      </c>
      <c r="J10" s="22"/>
      <c r="K10" s="22"/>
      <c r="L10" s="22"/>
      <c r="M10" s="22"/>
      <c r="N10" s="22"/>
    </row>
    <row r="11" spans="1:14" ht="12.95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  <c r="N11" s="22"/>
    </row>
    <row r="12" spans="1:14" ht="12.95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  <c r="N12" s="22"/>
    </row>
    <row r="13" spans="1:14" ht="12.95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  <c r="N13" s="22"/>
    </row>
    <row r="14" spans="1:14" ht="12.95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  <c r="N14" s="22"/>
    </row>
    <row r="15" spans="1:14" ht="12.95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  <c r="N15" s="22"/>
    </row>
    <row r="16" spans="1:14" ht="12.95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  <c r="N16" s="22"/>
    </row>
    <row r="17" spans="1:14" ht="12.95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  <c r="N17" s="22"/>
    </row>
    <row r="18" spans="1:14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14" ht="12.9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8 I4:I8 F20:F100 I20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8"/>
  <sheetViews>
    <sheetView workbookViewId="0">
      <pane ySplit="3" topLeftCell="A4" activePane="bottomLeft" state="frozen"/>
      <selection pane="bottomLeft" activeCell="A9" sqref="A9:XFD17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58</v>
      </c>
      <c r="B1" s="45" t="s">
        <v>59</v>
      </c>
    </row>
    <row r="3" spans="1:7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45">
      <c r="A4" s="3" t="s">
        <v>63</v>
      </c>
      <c r="B4" t="s">
        <v>64</v>
      </c>
      <c r="C4" s="4" t="s">
        <v>65</v>
      </c>
      <c r="G4" s="3"/>
    </row>
    <row r="5" spans="1:7" ht="14.45">
      <c r="A5" s="3" t="s">
        <v>66</v>
      </c>
      <c r="B5" t="s">
        <v>67</v>
      </c>
      <c r="C5" s="4" t="s">
        <v>65</v>
      </c>
      <c r="G5" s="3"/>
    </row>
    <row r="6" spans="1:7" ht="14.45">
      <c r="A6" s="45" t="s">
        <v>68</v>
      </c>
      <c r="B6" t="s">
        <v>69</v>
      </c>
      <c r="C6" t="s">
        <v>65</v>
      </c>
      <c r="G6" s="3"/>
    </row>
    <row r="7" spans="1:7" ht="12.75" customHeight="1">
      <c r="A7" s="45" t="s">
        <v>70</v>
      </c>
      <c r="B7" t="s">
        <v>71</v>
      </c>
      <c r="C7" t="s">
        <v>65</v>
      </c>
    </row>
    <row r="8" spans="1:7" ht="12.75" customHeight="1">
      <c r="A8" s="4" t="s">
        <v>72</v>
      </c>
      <c r="B8" s="4" t="s">
        <v>73</v>
      </c>
      <c r="C8" s="4" t="s">
        <v>74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2024-04-14T16:51:17Z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