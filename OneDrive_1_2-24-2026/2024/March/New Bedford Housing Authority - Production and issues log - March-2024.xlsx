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5"/>
  <workbookPr/>
  <mc:AlternateContent xmlns:mc="http://schemas.openxmlformats.org/markup-compatibility/2006">
    <mc:Choice Requires="x15">
      <x15ac:absPath xmlns:x15ac="http://schemas.microsoft.com/office/spreadsheetml/2010/11/ac" url="https://libsysit-my.sharepoint.com/personal/yatinb_amgsol_com/Documents/Microsoft Teams Chat Files/"/>
    </mc:Choice>
  </mc:AlternateContent>
  <xr:revisionPtr revIDLastSave="45" documentId="8_{5470F7A9-43E9-411C-BDF5-722F470197D8}" xr6:coauthVersionLast="47" xr6:coauthVersionMax="47" xr10:uidLastSave="{92463159-E1FE-40C3-9FE9-AA03FE596CE3}"/>
  <bookViews>
    <workbookView xWindow="-108" yWindow="-108" windowWidth="23256" windowHeight="12456" firstSheet="1" activeTab="1" xr2:uid="{00000000-000D-0000-FFFF-FFFF00000000}"/>
  </bookViews>
  <sheets>
    <sheet name="Production" sheetId="1" r:id="rId1"/>
    <sheet name="Open Item" sheetId="2" r:id="rId2"/>
  </sheets>
  <definedNames>
    <definedName name="__bookmark_1">Production!$A$3:$B$7</definedName>
    <definedName name="__bookmark_2">Production!$A$9:$S$22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2" l="1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<sst xmlns="http://schemas.openxmlformats.org/spreadsheetml/2006/main" count="445" uniqueCount="139">
  <si>
    <t>Monthly Site Performance Summary</t>
  </si>
  <si>
    <t>Account:</t>
  </si>
  <si>
    <t>Ameresco</t>
  </si>
  <si>
    <t>Report's period:</t>
  </si>
  <si>
    <r>
      <t>03/01/2024</t>
    </r>
    <r>
      <rPr>
        <sz val="10"/>
        <color rgb="FF303030"/>
        <rFont val="Calibri"/>
      </rPr>
      <t xml:space="preserve"> - 03/31/2024</t>
    </r>
  </si>
  <si>
    <t>Sites:</t>
  </si>
  <si>
    <t>Manually selected sites</t>
  </si>
  <si>
    <t># of sites:</t>
  </si>
  <si>
    <t>Generated on:</t>
  </si>
  <si>
    <t>04/09/2024 02:05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</si>
  <si>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</si>
  <si>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</si>
  <si>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</si>
  <si>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</si>
  <si>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</si>
  <si>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</si>
  <si>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#</t>
  </si>
  <si>
    <t>Site Name</t>
  </si>
  <si>
    <t>Country</t>
  </si>
  <si>
    <t>State</t>
  </si>
  <si>
    <t>City</t>
  </si>
  <si>
    <t>Peak Power (kWp)</t>
  </si>
  <si>
    <t>Highest Alert Impact</t>
  </si>
  <si>
    <t>kWh</t>
  </si>
  <si>
    <t>kWh/kWp</t>
  </si>
  <si>
    <t>Revenue</t>
  </si>
  <si>
    <t>NBHA Adams st</t>
  </si>
  <si>
    <t>United States</t>
  </si>
  <si>
    <t>Massachusetts</t>
  </si>
  <si>
    <t>New Bedford</t>
  </si>
  <si>
    <t>1</t>
  </si>
  <si>
    <t>NBHA Ben Rose</t>
  </si>
  <si>
    <t>5</t>
  </si>
  <si>
    <t>NBHA Brickenwood</t>
  </si>
  <si>
    <t>6</t>
  </si>
  <si>
    <t>NBHA Chaffee Fairfield</t>
  </si>
  <si>
    <t>2</t>
  </si>
  <si>
    <t>NBHA DeMedeiros</t>
  </si>
  <si>
    <t>NBHA Dottin Place 1</t>
  </si>
  <si>
    <t>NBHA Hillside</t>
  </si>
  <si>
    <t>NBHA Presidential</t>
  </si>
  <si>
    <t>NBHA Satellite</t>
  </si>
  <si>
    <t>NBHA Shawmut Village</t>
  </si>
  <si>
    <t>NBHA Westlawn</t>
  </si>
  <si>
    <t>Total</t>
  </si>
  <si>
    <t>Owner</t>
  </si>
  <si>
    <t>Asset</t>
  </si>
  <si>
    <t>Site Equipment</t>
  </si>
  <si>
    <t>kW Down</t>
  </si>
  <si>
    <t>Date</t>
  </si>
  <si>
    <t>Description</t>
  </si>
  <si>
    <t>Account Manager</t>
  </si>
  <si>
    <t>Status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</si>
  <si>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</si>
  <si>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</si>
  <si>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</si>
  <si>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</si>
  <si>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</si>
  <si>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</si>
  <si>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</si>
  <si>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Presidential - 164 Van-Buren St Bldg 8 - Inverter 32</t>
  </si>
  <si>
    <t>9</t>
  </si>
  <si>
    <t>3/30/24 - inverter 32 is offline, reporting AC voltage too low.</t>
  </si>
  <si>
    <t>Diana Balayan</t>
  </si>
  <si>
    <t>New</t>
  </si>
  <si>
    <t/>
  </si>
  <si>
    <t>PV-Monitoring-ROC</t>
  </si>
  <si>
    <t>Ameresco UM - Inverter Troubleshooting</t>
  </si>
  <si>
    <t>1006999</t>
  </si>
  <si>
    <t>Brickenwood - 88 Malden - Inverter 27</t>
  </si>
  <si>
    <t>Inv comms</t>
  </si>
  <si>
    <t>11/7 - Inverter 27 stopped communicating, possibly offline.</t>
  </si>
  <si>
    <t>Brickenwood - 872 Shawmut - Inverter 2</t>
  </si>
  <si>
    <t>3/12 - Inverter 2 is offline.</t>
  </si>
  <si>
    <t>Ameresco UM - Communications Failure / Production Not Confirmed</t>
  </si>
  <si>
    <t>Ben Rose - 676 S 1St St - Inverter 15</t>
  </si>
  <si>
    <t>3/8 - Inverter 15 tripped offline.</t>
  </si>
  <si>
    <t>Presidential - 310 Mt-Pleasant St Bldg 2 - Inverter 1</t>
  </si>
  <si>
    <t>3/4 - Inverter 1 is offline.</t>
  </si>
  <si>
    <t>Brickenwood - 240 Harvard - Inverter 46</t>
  </si>
  <si>
    <t>3/4 - Inverter 46 at Brickenwood is offline.</t>
  </si>
  <si>
    <t>DeMedeiros - 43 Whitman St West - Inverter 1</t>
  </si>
  <si>
    <t>3/4 - Inverter 1 at DeMedeiros is offline.</t>
  </si>
  <si>
    <t>Westlawn - 197 Liberty St Bldg 45 - Inverter 23</t>
  </si>
  <si>
    <t>2/20/24 - Inverter 23 stopped communicating; cannot confirm production.</t>
  </si>
  <si>
    <t>Ben Rose - 26 Delano St - Inverter 16</t>
  </si>
  <si>
    <t>12/18 - Inverter 16 tripped offline on a DC isolation fault.</t>
  </si>
  <si>
    <t>Pending Reoccurring Events</t>
  </si>
  <si>
    <t>Shawmut Village - 29 Mohawk CT - Inverter 6</t>
  </si>
  <si>
    <t>12/4 - Inverter 6 has been tripping offline on isolation faults due to wet weather. See prior history on SR073371 and SR068558.</t>
  </si>
  <si>
    <t>PV Monitoring - Minor</t>
  </si>
  <si>
    <t>Shawmut Village - 111 Mashpee CT - Inverter 49</t>
  </si>
  <si>
    <t>10/17/23 - Inverter 49 is not communicating from 07/09, possibly offline</t>
  </si>
  <si>
    <t>Satellite - 104 Aries Dr - Inverter 13</t>
  </si>
  <si>
    <t>comms ?</t>
  </si>
  <si>
    <t>10/16/23 - While examining the quarterly production log it appears that inverter 13 at Satellite is not communicating (production can't be confirmed).</t>
  </si>
  <si>
    <t>Satellite - 90 Libra Dr - Inverter 11</t>
  </si>
  <si>
    <t xml:space="preserve">6 </t>
  </si>
  <si>
    <t>10/5/23 - Inverter 11 stopped communicating, possibly offline.</t>
  </si>
  <si>
    <t>Ameresco UM - Communications Failure</t>
  </si>
  <si>
    <t>Adams St - 14 Adams St - Inverter 4</t>
  </si>
  <si>
    <t>&lt;12</t>
  </si>
  <si>
    <t>10/16/23 - Inverter is still offline.
08/31/23 - Inverter 4 tripped offline.</t>
  </si>
  <si>
    <t>10/16/23 - The inverter is still offline. 
08/19/2023 - Inverter 1 tripped offline.</t>
  </si>
  <si>
    <t>Brickenwood - 21 Malden - Inverter 18</t>
  </si>
  <si>
    <t>comms</t>
  </si>
  <si>
    <t>10/17/23 - Inverter 18 again lost communication at 12:34 from 10/14
08/17/23 - Inverter 18 stopped communicating.</t>
  </si>
  <si>
    <t>Inv 24 Solect36K(89%)</t>
  </si>
  <si>
    <t>7.6 ?</t>
  </si>
  <si>
    <t xml:space="preserve">10/17/23 - Inverter 10 still not communicating or possibly offline from 08/10 
8/10/23 - Inverter 10 stopped communicating overnight, possibly offline.
</t>
  </si>
  <si>
    <t>Shawmut Village - 121 Mashpee CT - Inverter 25</t>
  </si>
  <si>
    <t>7.6</t>
  </si>
  <si>
    <t>10/17/2023 - Inverter is still not reporting, possibly offline
8/9 - Inverter 25 stopped communicating.</t>
  </si>
  <si>
    <t>Shawmut Village - 27 Mohawk CT - Inverter 7</t>
  </si>
  <si>
    <t>10/17/2023 - Inverter is still not communicating, possibly offline
07/16/2023 - Inverter 7 is not communicating.</t>
  </si>
  <si>
    <t>Shawmut Village - 45 Cherokee CT - Inverter 37</t>
  </si>
  <si>
    <t>10/17/2023 - Inverter is still not communicating from 07/10, possibly offline
7/13 - Inverter 37 stopped communicating, possibly offline. S/N: 73086310-EE</t>
  </si>
  <si>
    <t>Brickenwood - 190 Harvard - Inverter 35</t>
  </si>
  <si>
    <t>10/17/23 - Inverter 35 is still offline 
07/11/23 - Inverter 35 tripped offline.</t>
  </si>
  <si>
    <t>Dottin Place 1 - Amanda Ave Bldg 5 (61) - Inverter 4</t>
  </si>
  <si>
    <t>07/07/2023 - Inverter 4 tripped offline.</t>
  </si>
  <si>
    <t>Satellite - 87 Libra Dr - Inverter 10</t>
  </si>
  <si>
    <t>6 ?</t>
  </si>
  <si>
    <t>10/16/23 - Inverter 10 is not communicating and production can't be confirmed. 
06/15/23 - Inverter 10 is not communicating.</t>
  </si>
  <si>
    <t>Shawmut Village - 83 Pawnee CT - Inverter 26</t>
  </si>
  <si>
    <t>10/17/2023 - Inverter is still not communicating, possibly offline
06/01/23 - Inverter 26 is not communicating.</t>
  </si>
  <si>
    <t>05/22/23 - Inverter 46 tripped offline.</t>
  </si>
  <si>
    <t>Brickenwood - 174 Harvard - Inverter 52</t>
  </si>
  <si>
    <t xml:space="preserve">comms </t>
  </si>
  <si>
    <t>10/17/23 - Inverter 52 is having frequent communication losses. Inverter is currently online. 
04/18/23 - Inverter 52 is stopped communication at 09:09.</t>
  </si>
  <si>
    <t>Shawmut Village - 63 Apache CT - Inverter 42</t>
  </si>
  <si>
    <t>10/17/2023 - Inverter is still not communicating from 05/07, possibly offline
5/9 - Inverter 42 stopped communicating, possibly offline.</t>
  </si>
  <si>
    <t>Westlawn - 197 Liberty St Bldg 25 - Inverter 8</t>
  </si>
  <si>
    <t>10/16/23 - Inverter has a history of tripping offline and self-resolves.
04/30/23 - Inverter has not started for the production on 04/29</t>
  </si>
  <si>
    <t>Shawmut Village - 67 Apache CT - Inverter 48</t>
  </si>
  <si>
    <t>10/17/2023 - Inverter is still not communicating from 04/11, possibly offline
4/21 - Inverter 48 stopped communicating.</t>
  </si>
  <si>
    <t>Presidential - 119 Fillmore St Bldg 9 - Inverter 21</t>
  </si>
  <si>
    <t>9 ?</t>
  </si>
  <si>
    <t>10/17/2023 - Issue still exists
4/3/23 - Issue still exists.
1/3/23 - Inverter 21 lost communications on 8/23/22.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</si>
</sst>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#0.###"/>
    <numFmt numFmtId="165" formatCode="yyyy\-mm\-dd\ hh:mm"/>
  </numFmts>
  <fonts count="12">
    <font>
      <sz val="11"/>
      <color indexed="8"/>
      <name val="Aptos Narrow"/>
      <family val="2"/>
      <scheme val="minor"/>
    </font>
    <font>
      <sz val="10"/>
      <color rgb="FF000000"/>
      <name val="Verdana"/>
    </font>
    <font>
      <sz val="16"/>
      <color rgb="FFD41317"/>
      <name val="Calibri"/>
    </font>
    <font>
      <b/>
      <sz val="10"/>
      <color rgb="FF303030"/>
      <name val="Calibri"/>
    </font>
    <font>
      <sz val="10"/>
      <color rgb="FF303030"/>
      <name val="Calibri"/>
    </font>
    <font>
      <sz val="10"/>
      <color rgb="FF000000"/>
      <name val="Arial"/>
    </font>
    <font>
      <sz val="12"/>
      <color rgb="FFD41317"/>
      <name val="Calibri"/>
    </font>
    <font>
      <sz val="11"/>
      <name val="Calibri"/>
    </font>
    <font>
      <b/>
      <sz val="10"/>
      <color rgb="FFD41317"/>
      <name val="Calibri"/>
    </font>
    <font>
      <sz val="10"/>
      <color rgb="FF428BCA"/>
      <name val="Calibri"/>
    </font>
    <font>
      <b/>
      <sz val="10"/>
      <color rgb="FFFFFFFF"/>
      <name val="Arial"/>
    </font>
    <font>
      <u/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rgb="FF0065A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vertical="top"/>
    </xf>
    <xf numFmtId="164" fontId="3" fillId="4" borderId="1" xfId="0" applyNumberFormat="1" applyFont="1" applyFill="1" applyBorder="1" applyAlignment="1">
      <alignment horizontal="left" vertical="top"/>
    </xf>
    <xf numFmtId="0" fontId="10" fillId="5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right"/>
    </xf>
    <xf numFmtId="0" fontId="11" fillId="0" borderId="0" xfId="0" applyFont="1"/>
    <xf numFmtId="0" fontId="0" fillId="6" borderId="0" xfId="0" applyFill="1"/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2" xfId="0" applyFont="1" applyBorder="1" applyAlignment="1"/>
    <xf numFmtId="0" fontId="7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1176752</xdr:colOff>
      <xdr:row>1</xdr:row>
      <xdr:rowOff>629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/" TargetMode="External"/><Relationship Id="rId3" Type="http://schemas.openxmlformats.org/officeDocument/2006/relationships/hyperlink" Target="https://monitoring.solaredge.com/solaredge-web/p/site/2747637/" TargetMode="External"/><Relationship Id="rId7" Type="http://schemas.openxmlformats.org/officeDocument/2006/relationships/hyperlink" Target="https://monitoring.solaredge.com/solaredge-web/p/site/2331864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/" TargetMode="External"/><Relationship Id="rId1" Type="http://schemas.openxmlformats.org/officeDocument/2006/relationships/hyperlink" Target="https://monitoring.solaredge.com/solaredge-web/p/site/2484387/" TargetMode="External"/><Relationship Id="rId6" Type="http://schemas.openxmlformats.org/officeDocument/2006/relationships/hyperlink" Target="https://monitoring.solaredge.com/solaredge-web/p/site/1735791/" TargetMode="External"/><Relationship Id="rId11" Type="http://schemas.openxmlformats.org/officeDocument/2006/relationships/hyperlink" Target="https://monitoring.solaredge.com/solaredge-web/p/site/2753485/" TargetMode="External"/><Relationship Id="rId5" Type="http://schemas.openxmlformats.org/officeDocument/2006/relationships/hyperlink" Target="https://monitoring.solaredge.com/solaredge-web/p/site/2660184/" TargetMode="External"/><Relationship Id="rId10" Type="http://schemas.openxmlformats.org/officeDocument/2006/relationships/hyperlink" Target="https://monitoring.solaredge.com/solaredge-web/p/site/2382372/" TargetMode="External"/><Relationship Id="rId4" Type="http://schemas.openxmlformats.org/officeDocument/2006/relationships/hyperlink" Target="https://monitoring.solaredge.com/solaredge-web/p/site/1735612/" TargetMode="External"/><Relationship Id="rId9" Type="http://schemas.openxmlformats.org/officeDocument/2006/relationships/hyperlink" Target="https://monitoring.solaredge.com/solaredge-web/p/site/25978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showGridLines="0" workbookViewId="0">
      <selection activeCell="C3" sqref="C3"/>
    </sheetView>
  </sheetViews>
  <sheetFormatPr defaultRowHeight="14.45"/>
  <cols>
    <col min="1" max="1" width="54" customWidth="1"/>
    <col min="2" max="2" width="32" customWidth="1"/>
    <col min="3" max="3" width="15.5703125" customWidth="1"/>
    <col min="4" max="5" width="13.7109375" customWidth="1"/>
    <col min="6" max="6" width="19.140625" customWidth="1"/>
    <col min="7" max="7" width="17.7109375" customWidth="1"/>
    <col min="8" max="8" width="10.28515625" customWidth="1"/>
    <col min="9" max="9" width="17.7109375" customWidth="1"/>
    <col min="10" max="10" width="13" customWidth="1"/>
    <col min="11" max="12" width="10.28515625" customWidth="1"/>
    <col min="13" max="13" width="13" customWidth="1"/>
    <col min="14" max="15" width="10.28515625" customWidth="1"/>
    <col min="16" max="16" width="13" customWidth="1"/>
    <col min="17" max="18" width="10.28515625" customWidth="1"/>
    <col min="19" max="19" width="13" customWidth="1"/>
    <col min="20" max="25" width="2.85546875" customWidth="1"/>
    <col min="29" max="32" width="2.85546875" customWidth="1"/>
    <col min="33" max="33" width="32.85546875" customWidth="1"/>
  </cols>
  <sheetData>
    <row r="1" spans="1:33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1">
      <c r="A2" s="2" t="s">
        <v>0</v>
      </c>
    </row>
    <row r="3" spans="1:33">
      <c r="A3" s="3" t="s">
        <v>1</v>
      </c>
      <c r="B3" s="4" t="s">
        <v>2</v>
      </c>
    </row>
    <row r="4" spans="1:33">
      <c r="A4" s="3" t="s">
        <v>3</v>
      </c>
      <c r="B4" s="5" t="s">
        <v>4</v>
      </c>
    </row>
    <row r="5" spans="1:33">
      <c r="A5" s="3" t="s">
        <v>5</v>
      </c>
      <c r="B5" s="4" t="s">
        <v>6</v>
      </c>
    </row>
    <row r="6" spans="1:33">
      <c r="A6" s="3" t="s">
        <v>7</v>
      </c>
      <c r="B6" s="6">
        <v>11</v>
      </c>
    </row>
    <row r="7" spans="1:33">
      <c r="A7" s="3" t="s">
        <v>8</v>
      </c>
      <c r="B7" s="4" t="s">
        <v>9</v>
      </c>
    </row>
    <row r="8" spans="1:33">
      <c r="A8" s="7"/>
    </row>
    <row r="9" spans="1:33" ht="16.5" customHeight="1">
      <c r="A9" s="20" t="s">
        <v>10</v>
      </c>
      <c r="B9" s="22"/>
      <c r="C9" s="22"/>
      <c r="D9" s="22"/>
      <c r="E9" s="22"/>
      <c r="F9" s="23"/>
      <c r="G9" s="8" t="s">
        <v>11</v>
      </c>
      <c r="H9" s="20" t="s">
        <v>12</v>
      </c>
      <c r="I9" s="22"/>
      <c r="J9" s="23"/>
      <c r="K9" s="20" t="s">
        <v>13</v>
      </c>
      <c r="L9" s="22"/>
      <c r="M9" s="23"/>
      <c r="N9" s="20" t="s">
        <v>14</v>
      </c>
      <c r="O9" s="22"/>
      <c r="P9" s="23"/>
      <c r="Q9" s="20" t="s">
        <v>15</v>
      </c>
      <c r="R9" s="22"/>
      <c r="S9" s="23"/>
    </row>
    <row r="10" spans="1:33">
      <c r="A10" s="9" t="s">
        <v>16</v>
      </c>
      <c r="B10" s="9" t="s">
        <v>17</v>
      </c>
      <c r="C10" s="9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9" t="s">
        <v>24</v>
      </c>
      <c r="J10" s="9" t="s">
        <v>25</v>
      </c>
      <c r="K10" s="9" t="s">
        <v>23</v>
      </c>
      <c r="L10" s="9" t="s">
        <v>24</v>
      </c>
      <c r="M10" s="9" t="s">
        <v>25</v>
      </c>
      <c r="N10" s="9" t="s">
        <v>23</v>
      </c>
      <c r="O10" s="9" t="s">
        <v>24</v>
      </c>
      <c r="P10" s="9" t="s">
        <v>25</v>
      </c>
      <c r="Q10" s="9" t="s">
        <v>23</v>
      </c>
      <c r="R10" s="9" t="s">
        <v>24</v>
      </c>
      <c r="S10" s="9" t="s">
        <v>25</v>
      </c>
    </row>
    <row r="11" spans="1:33">
      <c r="A11" s="10">
        <v>1</v>
      </c>
      <c r="B11" s="11" t="s">
        <v>26</v>
      </c>
      <c r="C11" s="10" t="s">
        <v>27</v>
      </c>
      <c r="D11" s="10" t="s">
        <v>28</v>
      </c>
      <c r="E11" s="10" t="s">
        <v>29</v>
      </c>
      <c r="F11" s="10">
        <v>69.254999999999995</v>
      </c>
      <c r="G11" s="12" t="s">
        <v>30</v>
      </c>
      <c r="H11" s="10">
        <v>4706.6000000000004</v>
      </c>
      <c r="I11" s="10">
        <v>68</v>
      </c>
      <c r="J11" s="12"/>
      <c r="K11" s="10">
        <v>2013.9</v>
      </c>
      <c r="L11" s="10">
        <v>29.1</v>
      </c>
      <c r="M11" s="12"/>
      <c r="N11" s="10">
        <v>7091.5</v>
      </c>
      <c r="O11" s="10">
        <v>102.4</v>
      </c>
      <c r="P11" s="12"/>
      <c r="Q11" s="10">
        <v>71553.8</v>
      </c>
      <c r="R11" s="10">
        <v>1033.2</v>
      </c>
      <c r="S11" s="12"/>
    </row>
    <row r="12" spans="1:33">
      <c r="A12" s="10">
        <v>2</v>
      </c>
      <c r="B12" s="11" t="s">
        <v>31</v>
      </c>
      <c r="C12" s="10" t="s">
        <v>27</v>
      </c>
      <c r="D12" s="10" t="s">
        <v>28</v>
      </c>
      <c r="E12" s="10" t="s">
        <v>29</v>
      </c>
      <c r="F12" s="10">
        <v>152.42500000000001</v>
      </c>
      <c r="G12" s="12" t="s">
        <v>32</v>
      </c>
      <c r="H12" s="10">
        <v>14631</v>
      </c>
      <c r="I12" s="10">
        <v>96</v>
      </c>
      <c r="J12" s="12"/>
      <c r="K12" s="10">
        <v>9639.6</v>
      </c>
      <c r="L12" s="10">
        <v>63.2</v>
      </c>
      <c r="M12" s="12"/>
      <c r="N12" s="10">
        <v>15378.6</v>
      </c>
      <c r="O12" s="10">
        <v>100.9</v>
      </c>
      <c r="P12" s="12"/>
      <c r="Q12" s="10">
        <v>164334.5</v>
      </c>
      <c r="R12" s="10">
        <v>1078.0999999999999</v>
      </c>
      <c r="S12" s="12"/>
    </row>
    <row r="13" spans="1:33">
      <c r="A13" s="10">
        <v>3</v>
      </c>
      <c r="B13" s="11" t="s">
        <v>33</v>
      </c>
      <c r="C13" s="10" t="s">
        <v>27</v>
      </c>
      <c r="D13" s="10" t="s">
        <v>28</v>
      </c>
      <c r="E13" s="10" t="s">
        <v>29</v>
      </c>
      <c r="F13" s="10">
        <v>572.32500000000005</v>
      </c>
      <c r="G13" s="12" t="s">
        <v>34</v>
      </c>
      <c r="H13" s="10">
        <v>54147.199999999997</v>
      </c>
      <c r="I13" s="10">
        <v>94.6</v>
      </c>
      <c r="J13" s="12"/>
      <c r="K13" s="10">
        <v>39166.9</v>
      </c>
      <c r="L13" s="10">
        <v>68.400000000000006</v>
      </c>
      <c r="M13" s="12"/>
      <c r="N13" s="10">
        <v>58992.4</v>
      </c>
      <c r="O13" s="10">
        <v>103.1</v>
      </c>
      <c r="P13" s="12"/>
      <c r="Q13" s="10">
        <v>663142.5</v>
      </c>
      <c r="R13" s="10">
        <v>1158.7</v>
      </c>
      <c r="S13" s="12"/>
    </row>
    <row r="14" spans="1:33">
      <c r="A14" s="10">
        <v>4</v>
      </c>
      <c r="B14" s="11" t="s">
        <v>35</v>
      </c>
      <c r="C14" s="10" t="s">
        <v>27</v>
      </c>
      <c r="D14" s="10" t="s">
        <v>28</v>
      </c>
      <c r="E14" s="10" t="s">
        <v>29</v>
      </c>
      <c r="F14" s="10">
        <v>49.4</v>
      </c>
      <c r="G14" s="12" t="s">
        <v>36</v>
      </c>
      <c r="H14" s="10">
        <v>5129</v>
      </c>
      <c r="I14" s="10">
        <v>103.8</v>
      </c>
      <c r="J14" s="12"/>
      <c r="K14" s="10">
        <v>3415.3</v>
      </c>
      <c r="L14" s="10">
        <v>69.099999999999994</v>
      </c>
      <c r="M14" s="12"/>
      <c r="N14" s="10">
        <v>2213.1</v>
      </c>
      <c r="O14" s="10">
        <v>44.8</v>
      </c>
      <c r="P14" s="12"/>
      <c r="Q14" s="10">
        <v>54941</v>
      </c>
      <c r="R14" s="10">
        <v>1112.2</v>
      </c>
      <c r="S14" s="12"/>
    </row>
    <row r="15" spans="1:33">
      <c r="A15" s="10">
        <v>5</v>
      </c>
      <c r="B15" s="11" t="s">
        <v>37</v>
      </c>
      <c r="C15" s="10" t="s">
        <v>27</v>
      </c>
      <c r="D15" s="10" t="s">
        <v>28</v>
      </c>
      <c r="E15" s="10" t="s">
        <v>29</v>
      </c>
      <c r="F15" s="10">
        <v>64.349999999999994</v>
      </c>
      <c r="G15" s="12" t="s">
        <v>36</v>
      </c>
      <c r="H15" s="10">
        <v>4922.3</v>
      </c>
      <c r="I15" s="10">
        <v>76.5</v>
      </c>
      <c r="J15" s="12"/>
      <c r="K15" s="10">
        <v>2958.1</v>
      </c>
      <c r="L15" s="10">
        <v>46</v>
      </c>
      <c r="M15" s="12"/>
      <c r="N15" s="10">
        <v>6725.3</v>
      </c>
      <c r="O15" s="10">
        <v>104.5</v>
      </c>
      <c r="P15" s="12"/>
      <c r="Q15" s="10">
        <v>70145.899999999994</v>
      </c>
      <c r="R15" s="10">
        <v>1090.0999999999999</v>
      </c>
      <c r="S15" s="12"/>
    </row>
    <row r="16" spans="1:33">
      <c r="A16" s="10">
        <v>6</v>
      </c>
      <c r="B16" s="11" t="s">
        <v>38</v>
      </c>
      <c r="C16" s="10" t="s">
        <v>27</v>
      </c>
      <c r="D16" s="10" t="s">
        <v>28</v>
      </c>
      <c r="E16" s="10" t="s">
        <v>29</v>
      </c>
      <c r="F16" s="10">
        <v>88.4</v>
      </c>
      <c r="G16" s="12" t="s">
        <v>32</v>
      </c>
      <c r="H16" s="10">
        <v>7961.9</v>
      </c>
      <c r="I16" s="10">
        <v>90.1</v>
      </c>
      <c r="J16" s="12"/>
      <c r="K16" s="10">
        <v>5118.1000000000004</v>
      </c>
      <c r="L16" s="10">
        <v>57.9</v>
      </c>
      <c r="M16" s="12"/>
      <c r="N16" s="10">
        <v>9432.5</v>
      </c>
      <c r="O16" s="10">
        <v>106.7</v>
      </c>
      <c r="P16" s="12"/>
      <c r="Q16" s="10">
        <v>100622.39999999999</v>
      </c>
      <c r="R16" s="10">
        <v>1138.3</v>
      </c>
      <c r="S16" s="12"/>
    </row>
    <row r="17" spans="1:19">
      <c r="A17" s="10">
        <v>7</v>
      </c>
      <c r="B17" s="11" t="s">
        <v>39</v>
      </c>
      <c r="C17" s="10" t="s">
        <v>27</v>
      </c>
      <c r="D17" s="10" t="s">
        <v>28</v>
      </c>
      <c r="E17" s="10" t="s">
        <v>29</v>
      </c>
      <c r="F17" s="10">
        <v>117</v>
      </c>
      <c r="G17" s="12" t="s">
        <v>36</v>
      </c>
      <c r="H17" s="10">
        <v>11612.9</v>
      </c>
      <c r="I17" s="10">
        <v>99.3</v>
      </c>
      <c r="J17" s="12"/>
      <c r="K17" s="10">
        <v>7281.9</v>
      </c>
      <c r="L17" s="10">
        <v>62.2</v>
      </c>
      <c r="M17" s="12"/>
      <c r="N17" s="10">
        <v>12549.5</v>
      </c>
      <c r="O17" s="10">
        <v>107.3</v>
      </c>
      <c r="P17" s="12"/>
      <c r="Q17" s="10">
        <v>139681.1</v>
      </c>
      <c r="R17" s="10">
        <v>1193.9000000000001</v>
      </c>
      <c r="S17" s="12"/>
    </row>
    <row r="18" spans="1:19">
      <c r="A18" s="10">
        <v>8</v>
      </c>
      <c r="B18" s="11" t="s">
        <v>40</v>
      </c>
      <c r="C18" s="10" t="s">
        <v>27</v>
      </c>
      <c r="D18" s="10" t="s">
        <v>28</v>
      </c>
      <c r="E18" s="10" t="s">
        <v>29</v>
      </c>
      <c r="F18" s="10">
        <v>468.65</v>
      </c>
      <c r="G18" s="12" t="s">
        <v>34</v>
      </c>
      <c r="H18" s="10">
        <v>37325.4</v>
      </c>
      <c r="I18" s="10">
        <v>79.599999999999994</v>
      </c>
      <c r="J18" s="12"/>
      <c r="K18" s="10">
        <v>28464.2</v>
      </c>
      <c r="L18" s="10">
        <v>60.7</v>
      </c>
      <c r="M18" s="12"/>
      <c r="N18" s="10">
        <v>44616.9</v>
      </c>
      <c r="O18" s="10">
        <v>95.2</v>
      </c>
      <c r="P18" s="12"/>
      <c r="Q18" s="10">
        <v>453879.4</v>
      </c>
      <c r="R18" s="10">
        <v>968.5</v>
      </c>
      <c r="S18" s="12"/>
    </row>
    <row r="19" spans="1:19">
      <c r="A19" s="10">
        <v>9</v>
      </c>
      <c r="B19" s="11" t="s">
        <v>41</v>
      </c>
      <c r="C19" s="10" t="s">
        <v>27</v>
      </c>
      <c r="D19" s="10" t="s">
        <v>28</v>
      </c>
      <c r="E19" s="10" t="s">
        <v>29</v>
      </c>
      <c r="F19" s="10">
        <v>169</v>
      </c>
      <c r="G19" s="12" t="s">
        <v>36</v>
      </c>
      <c r="H19" s="10">
        <v>14683.1</v>
      </c>
      <c r="I19" s="10">
        <v>86.9</v>
      </c>
      <c r="J19" s="12"/>
      <c r="K19" s="10">
        <v>11189.5</v>
      </c>
      <c r="L19" s="10">
        <v>66.2</v>
      </c>
      <c r="M19" s="12"/>
      <c r="N19" s="10">
        <v>15917.1</v>
      </c>
      <c r="O19" s="10">
        <v>94.2</v>
      </c>
      <c r="P19" s="12"/>
      <c r="Q19" s="10">
        <v>192835</v>
      </c>
      <c r="R19" s="10">
        <v>1141</v>
      </c>
      <c r="S19" s="12"/>
    </row>
    <row r="20" spans="1:19">
      <c r="A20" s="10">
        <v>10</v>
      </c>
      <c r="B20" s="11" t="s">
        <v>42</v>
      </c>
      <c r="C20" s="10" t="s">
        <v>27</v>
      </c>
      <c r="D20" s="10" t="s">
        <v>28</v>
      </c>
      <c r="E20" s="10" t="s">
        <v>29</v>
      </c>
      <c r="F20" s="10">
        <v>443.625</v>
      </c>
      <c r="G20" s="12" t="s">
        <v>36</v>
      </c>
      <c r="H20" s="10">
        <v>39272.6</v>
      </c>
      <c r="I20" s="10">
        <v>88.5</v>
      </c>
      <c r="J20" s="12"/>
      <c r="K20" s="10">
        <v>26297.4</v>
      </c>
      <c r="L20" s="10">
        <v>59.3</v>
      </c>
      <c r="M20" s="12"/>
      <c r="N20" s="10">
        <v>47999.8</v>
      </c>
      <c r="O20" s="10">
        <v>108.2</v>
      </c>
      <c r="P20" s="12"/>
      <c r="Q20" s="10">
        <v>480858.2</v>
      </c>
      <c r="R20" s="10">
        <v>1083.9000000000001</v>
      </c>
      <c r="S20" s="12"/>
    </row>
    <row r="21" spans="1:19">
      <c r="A21" s="10">
        <v>11</v>
      </c>
      <c r="B21" s="11" t="s">
        <v>43</v>
      </c>
      <c r="C21" s="10" t="s">
        <v>27</v>
      </c>
      <c r="D21" s="10" t="s">
        <v>28</v>
      </c>
      <c r="E21" s="10" t="s">
        <v>29</v>
      </c>
      <c r="F21" s="10">
        <v>267.8</v>
      </c>
      <c r="G21" s="12" t="s">
        <v>36</v>
      </c>
      <c r="H21" s="10">
        <v>24671.5</v>
      </c>
      <c r="I21" s="10">
        <v>92.1</v>
      </c>
      <c r="J21" s="12"/>
      <c r="K21" s="10">
        <v>14019</v>
      </c>
      <c r="L21" s="10">
        <v>52.3</v>
      </c>
      <c r="M21" s="12"/>
      <c r="N21" s="10">
        <v>26519.3</v>
      </c>
      <c r="O21" s="10">
        <v>99</v>
      </c>
      <c r="P21" s="12"/>
      <c r="Q21" s="10">
        <v>292482.90000000002</v>
      </c>
      <c r="R21" s="10">
        <v>1092.2</v>
      </c>
      <c r="S21" s="12"/>
    </row>
    <row r="22" spans="1:19">
      <c r="A22" s="13" t="s">
        <v>44</v>
      </c>
      <c r="B22" s="14"/>
      <c r="C22" s="14"/>
      <c r="D22" s="14"/>
      <c r="E22" s="14"/>
      <c r="F22" s="15">
        <v>2462.23</v>
      </c>
      <c r="G22" s="14"/>
      <c r="H22" s="13">
        <v>219063.5</v>
      </c>
      <c r="I22" s="14"/>
      <c r="J22" s="14"/>
      <c r="K22" s="13">
        <v>149563.9</v>
      </c>
      <c r="L22" s="14"/>
      <c r="M22" s="14"/>
      <c r="N22" s="13">
        <v>247436</v>
      </c>
      <c r="O22" s="14"/>
      <c r="P22" s="14"/>
      <c r="Q22" s="13">
        <v>2684476.7</v>
      </c>
      <c r="R22" s="14"/>
      <c r="S22" s="14"/>
    </row>
  </sheetData>
  <mergeCells count="5">
    <mergeCell ref="A9:F9"/>
    <mergeCell ref="H9:J9"/>
    <mergeCell ref="K9:M9"/>
    <mergeCell ref="N9:P9"/>
    <mergeCell ref="Q9:S9"/>
  </mergeCells>
  <hyperlinks>
    <hyperlink ref="B11" r:id="rId1" location="/dashboard" xr:uid="{00000000-0004-0000-0000-000000000000}"/>
    <hyperlink ref="B12" r:id="rId2" location="/dashboard" xr:uid="{00000000-0004-0000-0000-000001000000}"/>
    <hyperlink ref="B13" r:id="rId3" location="/dashboard" xr:uid="{00000000-0004-0000-0000-000002000000}"/>
    <hyperlink ref="B14" r:id="rId4" location="/dashboard" xr:uid="{00000000-0004-0000-0000-000003000000}"/>
    <hyperlink ref="B15" r:id="rId5" location="/dashboard" xr:uid="{00000000-0004-0000-0000-000004000000}"/>
    <hyperlink ref="B16" r:id="rId6" location="/dashboard" xr:uid="{00000000-0004-0000-0000-000005000000}"/>
    <hyperlink ref="B17" r:id="rId7" location="/dashboard" xr:uid="{00000000-0004-0000-0000-000006000000}"/>
    <hyperlink ref="B18" r:id="rId8" location="/dashboard" xr:uid="{00000000-0004-0000-0000-000007000000}"/>
    <hyperlink ref="B19" r:id="rId9" location="/dashboard" xr:uid="{00000000-0004-0000-0000-000008000000}"/>
    <hyperlink ref="B20" r:id="rId10" location="/dashboard" xr:uid="{00000000-0004-0000-0000-000009000000}"/>
    <hyperlink ref="B21" r:id="rId11" location="/dashboard" xr:uid="{00000000-0004-0000-0000-00000A000000}"/>
  </hyperlinks>
  <pageMargins left="0.25" right="0.25" top="0.75" bottom="0.75" header="0.5" footer="0.5"/>
  <pageSetup paperSize="9" orientation="landscape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E9B5-C854-44D4-81F9-6DEFD38FD02F}">
  <dimension ref="A1:M33"/>
  <sheetViews>
    <sheetView tabSelected="1" workbookViewId="0">
      <selection activeCell="D14" sqref="D14"/>
    </sheetView>
  </sheetViews>
  <sheetFormatPr defaultRowHeight="14.45"/>
  <cols>
    <col min="1" max="1" width="25.7109375" customWidth="1"/>
    <col min="2" max="2" width="33.7109375" customWidth="1"/>
    <col min="3" max="3" width="38.85546875" customWidth="1"/>
    <col min="4" max="5" width="17.7109375" customWidth="1"/>
    <col min="6" max="6" width="33.7109375" customWidth="1"/>
    <col min="7" max="8" width="17.7109375" customWidth="1"/>
    <col min="9" max="9" width="25.7109375" customWidth="1"/>
    <col min="10" max="10" width="17.7109375" customWidth="1"/>
    <col min="11" max="11" width="33.7109375" customWidth="1"/>
    <col min="12" max="13" width="17.7109375" customWidth="1"/>
  </cols>
  <sheetData>
    <row r="1" spans="1:13">
      <c r="A1" s="16" t="s">
        <v>45</v>
      </c>
      <c r="B1" s="16" t="s">
        <v>46</v>
      </c>
      <c r="C1" s="16" t="s">
        <v>47</v>
      </c>
      <c r="D1" s="16" t="s">
        <v>48</v>
      </c>
      <c r="E1" s="16" t="s">
        <v>49</v>
      </c>
      <c r="F1" s="16" t="s">
        <v>50</v>
      </c>
      <c r="G1" s="16" t="s">
        <v>51</v>
      </c>
      <c r="H1" s="16" t="s">
        <v>52</v>
      </c>
      <c r="I1" s="16" t="s">
        <v>53</v>
      </c>
      <c r="J1" s="16" t="s">
        <v>54</v>
      </c>
      <c r="K1" s="16" t="s">
        <v>55</v>
      </c>
      <c r="L1" s="16" t="s">
        <v>56</v>
      </c>
      <c r="M1" s="16" t="s">
        <v>57</v>
      </c>
    </row>
    <row r="2" spans="1:13">
      <c r="A2" t="s">
        <v>58</v>
      </c>
      <c r="B2" t="s">
        <v>59</v>
      </c>
      <c r="C2" t="s">
        <v>60</v>
      </c>
      <c r="D2" t="s">
        <v>61</v>
      </c>
      <c r="E2" s="17">
        <v>45381.792361111111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s="18" t="str">
        <f>HYPERLINK("https://us.assetplanner.com/service_request?ID=82939","SR082939")</f>
        <v>SR082939</v>
      </c>
      <c r="M2" t="s">
        <v>68</v>
      </c>
    </row>
    <row r="3" spans="1:13">
      <c r="A3" t="s">
        <v>58</v>
      </c>
      <c r="B3" t="s">
        <v>59</v>
      </c>
      <c r="C3" t="s">
        <v>69</v>
      </c>
      <c r="D3" t="s">
        <v>70</v>
      </c>
      <c r="E3" s="17">
        <v>45372.53125</v>
      </c>
      <c r="F3" t="s">
        <v>71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s="18" t="str">
        <f>HYPERLINK("https://us.assetplanner.com/service_request?ID=82331","SR082331")</f>
        <v>SR082331</v>
      </c>
      <c r="M3" t="s">
        <v>68</v>
      </c>
    </row>
    <row r="4" spans="1:13">
      <c r="A4" t="s">
        <v>58</v>
      </c>
      <c r="B4" t="s">
        <v>59</v>
      </c>
      <c r="C4" t="s">
        <v>72</v>
      </c>
      <c r="D4" s="21">
        <v>6</v>
      </c>
      <c r="E4" s="17">
        <v>45363.539583333331</v>
      </c>
      <c r="F4" t="s">
        <v>73</v>
      </c>
      <c r="G4" t="s">
        <v>63</v>
      </c>
      <c r="H4" t="s">
        <v>64</v>
      </c>
      <c r="I4" t="s">
        <v>65</v>
      </c>
      <c r="J4" t="s">
        <v>66</v>
      </c>
      <c r="K4" t="s">
        <v>74</v>
      </c>
      <c r="L4" s="18" t="str">
        <f>HYPERLINK("https://us.assetplanner.com/service_request?ID=81809","SR081809")</f>
        <v>SR081809</v>
      </c>
      <c r="M4" t="s">
        <v>68</v>
      </c>
    </row>
    <row r="5" spans="1:13">
      <c r="A5" t="s">
        <v>58</v>
      </c>
      <c r="B5" t="s">
        <v>59</v>
      </c>
      <c r="C5" t="s">
        <v>72</v>
      </c>
      <c r="D5" s="21">
        <v>6</v>
      </c>
      <c r="E5" s="17">
        <v>45363.538888888892</v>
      </c>
      <c r="F5" t="s">
        <v>73</v>
      </c>
      <c r="G5" t="s">
        <v>63</v>
      </c>
      <c r="H5" t="s">
        <v>64</v>
      </c>
      <c r="I5" t="s">
        <v>65</v>
      </c>
      <c r="J5" t="s">
        <v>66</v>
      </c>
      <c r="K5" t="s">
        <v>74</v>
      </c>
      <c r="L5" s="18" t="str">
        <f>HYPERLINK("https://us.assetplanner.com/service_request?ID=81808","SR081808")</f>
        <v>SR081808</v>
      </c>
      <c r="M5" t="s">
        <v>68</v>
      </c>
    </row>
    <row r="6" spans="1:13">
      <c r="A6" t="s">
        <v>58</v>
      </c>
      <c r="B6" t="s">
        <v>59</v>
      </c>
      <c r="C6" t="s">
        <v>75</v>
      </c>
      <c r="D6" s="21">
        <v>6</v>
      </c>
      <c r="E6" s="17">
        <v>45359.509027777778</v>
      </c>
      <c r="F6" t="s">
        <v>76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s="18" t="str">
        <f>HYPERLINK("https://us.assetplanner.com/service_request?ID=81702","SR081702")</f>
        <v>SR081702</v>
      </c>
      <c r="M6" t="s">
        <v>68</v>
      </c>
    </row>
    <row r="7" spans="1:13">
      <c r="A7" t="s">
        <v>58</v>
      </c>
      <c r="B7" t="s">
        <v>59</v>
      </c>
      <c r="C7" t="s">
        <v>77</v>
      </c>
      <c r="D7" s="21">
        <v>14.4</v>
      </c>
      <c r="E7" s="17">
        <v>45355.539583333331</v>
      </c>
      <c r="F7" t="s">
        <v>78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s="18" t="str">
        <f>HYPERLINK("https://us.assetplanner.com/service_request?ID=81556","SR081556")</f>
        <v>SR081556</v>
      </c>
      <c r="M7" t="s">
        <v>68</v>
      </c>
    </row>
    <row r="8" spans="1:13">
      <c r="A8" t="s">
        <v>58</v>
      </c>
      <c r="B8" t="s">
        <v>59</v>
      </c>
      <c r="C8" t="s">
        <v>79</v>
      </c>
      <c r="D8" s="21">
        <v>6</v>
      </c>
      <c r="E8" s="17">
        <v>45355.538194444445</v>
      </c>
      <c r="F8" t="s">
        <v>80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s="18" t="str">
        <f>HYPERLINK("https://us.assetplanner.com/service_request?ID=81555","SR081555")</f>
        <v>SR081555</v>
      </c>
      <c r="M8" t="s">
        <v>68</v>
      </c>
    </row>
    <row r="9" spans="1:13">
      <c r="A9" t="s">
        <v>58</v>
      </c>
      <c r="B9" t="s">
        <v>59</v>
      </c>
      <c r="C9" t="s">
        <v>81</v>
      </c>
      <c r="D9" s="21">
        <v>11.4</v>
      </c>
      <c r="E9" s="17">
        <v>45355.536111111112</v>
      </c>
      <c r="F9" t="s">
        <v>82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s="18" t="str">
        <f>HYPERLINK("https://us.assetplanner.com/service_request?ID=81554","SR081554")</f>
        <v>SR081554</v>
      </c>
      <c r="M9" t="s">
        <v>68</v>
      </c>
    </row>
    <row r="10" spans="1:13">
      <c r="A10" t="s">
        <v>58</v>
      </c>
      <c r="B10" t="s">
        <v>59</v>
      </c>
      <c r="C10" t="s">
        <v>83</v>
      </c>
      <c r="D10" s="21">
        <v>10</v>
      </c>
      <c r="E10" s="17">
        <v>45342.586111111108</v>
      </c>
      <c r="F10" t="s">
        <v>84</v>
      </c>
      <c r="G10" t="s">
        <v>63</v>
      </c>
      <c r="H10" t="s">
        <v>64</v>
      </c>
      <c r="I10" t="s">
        <v>65</v>
      </c>
      <c r="J10" t="s">
        <v>66</v>
      </c>
      <c r="K10" t="s">
        <v>74</v>
      </c>
      <c r="L10" s="18" t="str">
        <f>HYPERLINK("https://us.assetplanner.com/service_request?ID=81129","SR081129")</f>
        <v>SR081129</v>
      </c>
      <c r="M10" t="s">
        <v>68</v>
      </c>
    </row>
    <row r="11" spans="1:13">
      <c r="A11" t="s">
        <v>58</v>
      </c>
      <c r="B11" t="s">
        <v>59</v>
      </c>
      <c r="C11" t="s">
        <v>85</v>
      </c>
      <c r="D11" s="21">
        <v>11.4</v>
      </c>
      <c r="E11" s="17">
        <v>45278.697222222225</v>
      </c>
      <c r="F11" t="s">
        <v>86</v>
      </c>
      <c r="G11" t="s">
        <v>63</v>
      </c>
      <c r="H11" t="s">
        <v>53</v>
      </c>
      <c r="I11" t="s">
        <v>87</v>
      </c>
      <c r="J11" t="s">
        <v>66</v>
      </c>
      <c r="K11" t="s">
        <v>67</v>
      </c>
      <c r="L11" s="18" t="str">
        <f>HYPERLINK("https://us.assetplanner.com/service_request?ID=79489","SR079489")</f>
        <v>SR079489</v>
      </c>
      <c r="M11" t="s">
        <v>68</v>
      </c>
    </row>
    <row r="12" spans="1:13">
      <c r="A12" t="s">
        <v>58</v>
      </c>
      <c r="B12" t="s">
        <v>59</v>
      </c>
      <c r="C12" t="s">
        <v>88</v>
      </c>
      <c r="D12" s="21">
        <v>6</v>
      </c>
      <c r="E12" s="17">
        <v>45264.551388888889</v>
      </c>
      <c r="F12" t="s">
        <v>89</v>
      </c>
      <c r="G12" t="s">
        <v>63</v>
      </c>
      <c r="H12" t="s">
        <v>53</v>
      </c>
      <c r="I12" t="s">
        <v>87</v>
      </c>
      <c r="J12" t="s">
        <v>90</v>
      </c>
      <c r="K12" t="s">
        <v>67</v>
      </c>
      <c r="L12" s="18" t="str">
        <f>HYPERLINK("https://us.assetplanner.com/service_request?ID=78791","SR078791")</f>
        <v>SR078791</v>
      </c>
      <c r="M12" t="s">
        <v>68</v>
      </c>
    </row>
    <row r="13" spans="1:13">
      <c r="A13" t="s">
        <v>58</v>
      </c>
      <c r="B13" t="s">
        <v>59</v>
      </c>
      <c r="C13" t="s">
        <v>91</v>
      </c>
      <c r="D13" t="s">
        <v>34</v>
      </c>
      <c r="E13" s="17">
        <v>45216.152083333334</v>
      </c>
      <c r="F13" t="s">
        <v>92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s="18" t="str">
        <f>HYPERLINK("https://us.assetplanner.com/service_request?ID=77517","SR077517")</f>
        <v>SR077517</v>
      </c>
      <c r="M13" t="s">
        <v>68</v>
      </c>
    </row>
    <row r="14" spans="1:13">
      <c r="A14" t="s">
        <v>58</v>
      </c>
      <c r="B14" t="s">
        <v>59</v>
      </c>
      <c r="C14" t="s">
        <v>93</v>
      </c>
      <c r="D14" t="s">
        <v>94</v>
      </c>
      <c r="E14" s="17">
        <v>45215.40347222222</v>
      </c>
      <c r="F14" t="s">
        <v>95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s="18" t="str">
        <f>HYPERLINK("https://us.assetplanner.com/service_request?ID=77488","SR077488")</f>
        <v>SR077488</v>
      </c>
      <c r="M14" t="s">
        <v>68</v>
      </c>
    </row>
    <row r="15" spans="1:13">
      <c r="A15" t="s">
        <v>58</v>
      </c>
      <c r="B15" t="s">
        <v>59</v>
      </c>
      <c r="C15" t="s">
        <v>96</v>
      </c>
      <c r="D15" t="s">
        <v>97</v>
      </c>
      <c r="E15" s="17">
        <v>45204.594444444447</v>
      </c>
      <c r="F15" t="s">
        <v>98</v>
      </c>
      <c r="G15" t="s">
        <v>63</v>
      </c>
      <c r="H15" t="s">
        <v>64</v>
      </c>
      <c r="I15" t="s">
        <v>65</v>
      </c>
      <c r="J15" t="s">
        <v>66</v>
      </c>
      <c r="K15" t="s">
        <v>99</v>
      </c>
      <c r="L15" s="18" t="str">
        <f>HYPERLINK("https://us.assetplanner.com/service_request?ID=77287","SR077287")</f>
        <v>SR077287</v>
      </c>
      <c r="M15" t="s">
        <v>68</v>
      </c>
    </row>
    <row r="16" spans="1:13">
      <c r="A16" t="s">
        <v>58</v>
      </c>
      <c r="B16" t="s">
        <v>59</v>
      </c>
      <c r="C16" t="s">
        <v>100</v>
      </c>
      <c r="D16" t="s">
        <v>101</v>
      </c>
      <c r="E16" s="17">
        <v>45169.620138888888</v>
      </c>
      <c r="F16" t="s">
        <v>102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s="18" t="str">
        <f>HYPERLINK("https://us.assetplanner.com/service_request?ID=75642","SR075642")</f>
        <v>SR075642</v>
      </c>
      <c r="M16" t="s">
        <v>68</v>
      </c>
    </row>
    <row r="17" spans="1:13">
      <c r="A17" t="s">
        <v>58</v>
      </c>
      <c r="B17" t="s">
        <v>59</v>
      </c>
      <c r="C17" t="s">
        <v>81</v>
      </c>
      <c r="D17" s="21">
        <v>11.4</v>
      </c>
      <c r="E17" s="17">
        <v>45157.697916666664</v>
      </c>
      <c r="F17" t="s">
        <v>103</v>
      </c>
      <c r="G17" t="s">
        <v>63</v>
      </c>
      <c r="H17" t="s">
        <v>64</v>
      </c>
      <c r="I17" t="s">
        <v>65</v>
      </c>
      <c r="J17" t="s">
        <v>66</v>
      </c>
      <c r="K17" t="s">
        <v>67</v>
      </c>
      <c r="L17" s="18" t="str">
        <f>HYPERLINK("https://us.assetplanner.com/service_request?ID=75268","SR075268")</f>
        <v>SR075268</v>
      </c>
      <c r="M17" t="s">
        <v>68</v>
      </c>
    </row>
    <row r="18" spans="1:13">
      <c r="A18" t="s">
        <v>58</v>
      </c>
      <c r="B18" t="s">
        <v>59</v>
      </c>
      <c r="C18" t="s">
        <v>104</v>
      </c>
      <c r="D18" t="s">
        <v>105</v>
      </c>
      <c r="E18" s="17">
        <v>45155.607638888891</v>
      </c>
      <c r="F18" t="s">
        <v>106</v>
      </c>
      <c r="G18" t="s">
        <v>63</v>
      </c>
      <c r="H18" t="s">
        <v>53</v>
      </c>
      <c r="I18" t="s">
        <v>87</v>
      </c>
      <c r="J18" t="s">
        <v>66</v>
      </c>
      <c r="K18" t="s">
        <v>67</v>
      </c>
      <c r="L18" s="18" t="str">
        <f>HYPERLINK("https://us.assetplanner.com/service_request?ID=75214","SR075214")</f>
        <v>SR075214</v>
      </c>
      <c r="M18" t="s">
        <v>68</v>
      </c>
    </row>
    <row r="19" spans="1:13">
      <c r="A19" t="s">
        <v>58</v>
      </c>
      <c r="B19" t="s">
        <v>59</v>
      </c>
      <c r="C19" s="19" t="s">
        <v>107</v>
      </c>
      <c r="D19" t="s">
        <v>108</v>
      </c>
      <c r="E19" s="17">
        <v>45148.504166666666</v>
      </c>
      <c r="F19" t="s">
        <v>109</v>
      </c>
      <c r="G19" t="s">
        <v>63</v>
      </c>
      <c r="H19" t="s">
        <v>64</v>
      </c>
      <c r="I19" t="s">
        <v>65</v>
      </c>
      <c r="J19" t="s">
        <v>66</v>
      </c>
      <c r="K19" t="s">
        <v>67</v>
      </c>
      <c r="L19" s="18" t="str">
        <f>HYPERLINK("https://us.assetplanner.com/service_request?ID=74960","SR074960")</f>
        <v>SR074960</v>
      </c>
      <c r="M19" t="s">
        <v>68</v>
      </c>
    </row>
    <row r="20" spans="1:13">
      <c r="A20" t="s">
        <v>58</v>
      </c>
      <c r="B20" t="s">
        <v>59</v>
      </c>
      <c r="C20" t="s">
        <v>110</v>
      </c>
      <c r="D20" t="s">
        <v>111</v>
      </c>
      <c r="E20" s="17">
        <v>45147.531944444447</v>
      </c>
      <c r="F20" t="s">
        <v>112</v>
      </c>
      <c r="G20" t="s">
        <v>63</v>
      </c>
      <c r="H20" t="s">
        <v>64</v>
      </c>
      <c r="I20" t="s">
        <v>65</v>
      </c>
      <c r="J20" t="s">
        <v>66</v>
      </c>
      <c r="K20" t="s">
        <v>67</v>
      </c>
      <c r="L20" s="18" t="str">
        <f>HYPERLINK("https://us.assetplanner.com/service_request?ID=74887","SR074887")</f>
        <v>SR074887</v>
      </c>
      <c r="M20" t="s">
        <v>68</v>
      </c>
    </row>
    <row r="21" spans="1:13">
      <c r="A21" t="s">
        <v>58</v>
      </c>
      <c r="B21" t="s">
        <v>59</v>
      </c>
      <c r="C21" t="s">
        <v>113</v>
      </c>
      <c r="D21" t="s">
        <v>34</v>
      </c>
      <c r="E21" s="17">
        <v>45123.249305555553</v>
      </c>
      <c r="F21" t="s">
        <v>114</v>
      </c>
      <c r="G21" t="s">
        <v>63</v>
      </c>
      <c r="H21" t="s">
        <v>64</v>
      </c>
      <c r="I21" t="s">
        <v>65</v>
      </c>
      <c r="J21" t="s">
        <v>66</v>
      </c>
      <c r="K21" t="s">
        <v>99</v>
      </c>
      <c r="L21" s="18" t="str">
        <f>HYPERLINK("https://us.assetplanner.com/service_request?ID=73886","SR073886")</f>
        <v>SR073886</v>
      </c>
      <c r="M21" t="s">
        <v>68</v>
      </c>
    </row>
    <row r="22" spans="1:13">
      <c r="A22" t="s">
        <v>58</v>
      </c>
      <c r="B22" t="s">
        <v>59</v>
      </c>
      <c r="C22" t="s">
        <v>115</v>
      </c>
      <c r="D22" t="s">
        <v>34</v>
      </c>
      <c r="E22" s="17">
        <v>45120.525694444441</v>
      </c>
      <c r="F22" t="s">
        <v>116</v>
      </c>
      <c r="G22" t="s">
        <v>63</v>
      </c>
      <c r="H22" t="s">
        <v>64</v>
      </c>
      <c r="I22" t="s">
        <v>65</v>
      </c>
      <c r="J22" t="s">
        <v>66</v>
      </c>
      <c r="K22" t="s">
        <v>99</v>
      </c>
      <c r="L22" s="18" t="str">
        <f>HYPERLINK("https://us.assetplanner.com/service_request?ID=73825","SR073825")</f>
        <v>SR073825</v>
      </c>
      <c r="M22" t="s">
        <v>68</v>
      </c>
    </row>
    <row r="23" spans="1:13">
      <c r="A23" t="s">
        <v>58</v>
      </c>
      <c r="B23" t="s">
        <v>59</v>
      </c>
      <c r="C23" t="s">
        <v>117</v>
      </c>
      <c r="D23" s="21">
        <v>10</v>
      </c>
      <c r="E23" s="17">
        <v>45118.582638888889</v>
      </c>
      <c r="F23" t="s">
        <v>118</v>
      </c>
      <c r="G23" t="s">
        <v>63</v>
      </c>
      <c r="H23" t="s">
        <v>64</v>
      </c>
      <c r="I23" t="s">
        <v>65</v>
      </c>
      <c r="J23" t="s">
        <v>66</v>
      </c>
      <c r="K23" t="s">
        <v>67</v>
      </c>
      <c r="L23" s="18" t="str">
        <f>HYPERLINK("https://us.assetplanner.com/service_request?ID=73743","SR073743")</f>
        <v>SR073743</v>
      </c>
      <c r="M23" t="s">
        <v>68</v>
      </c>
    </row>
    <row r="24" spans="1:13">
      <c r="A24" t="s">
        <v>58</v>
      </c>
      <c r="B24" t="s">
        <v>59</v>
      </c>
      <c r="C24" t="s">
        <v>119</v>
      </c>
      <c r="D24" t="s">
        <v>34</v>
      </c>
      <c r="E24" s="17">
        <v>45114.202777777777</v>
      </c>
      <c r="F24" t="s">
        <v>120</v>
      </c>
      <c r="G24" t="s">
        <v>63</v>
      </c>
      <c r="H24" t="s">
        <v>64</v>
      </c>
      <c r="I24" t="s">
        <v>65</v>
      </c>
      <c r="J24" t="s">
        <v>66</v>
      </c>
      <c r="K24" t="s">
        <v>67</v>
      </c>
      <c r="L24" s="18" t="str">
        <f>HYPERLINK("https://us.assetplanner.com/service_request?ID=73621","SR073621")</f>
        <v>SR073621</v>
      </c>
      <c r="M24" t="s">
        <v>68</v>
      </c>
    </row>
    <row r="25" spans="1:13">
      <c r="A25" t="s">
        <v>58</v>
      </c>
      <c r="B25" t="s">
        <v>59</v>
      </c>
      <c r="C25" t="s">
        <v>121</v>
      </c>
      <c r="D25" t="s">
        <v>122</v>
      </c>
      <c r="E25" s="17">
        <v>45092.534722222219</v>
      </c>
      <c r="F25" t="s">
        <v>123</v>
      </c>
      <c r="G25" t="s">
        <v>63</v>
      </c>
      <c r="H25" t="s">
        <v>64</v>
      </c>
      <c r="I25" t="s">
        <v>65</v>
      </c>
      <c r="J25" t="s">
        <v>66</v>
      </c>
      <c r="K25" t="s">
        <v>99</v>
      </c>
      <c r="L25" s="18" t="str">
        <f>HYPERLINK("https://us.assetplanner.com/service_request?ID=72700","SR072700")</f>
        <v>SR072700</v>
      </c>
      <c r="M25" t="s">
        <v>68</v>
      </c>
    </row>
    <row r="26" spans="1:13">
      <c r="A26" t="s">
        <v>58</v>
      </c>
      <c r="B26" t="s">
        <v>59</v>
      </c>
      <c r="C26" t="s">
        <v>124</v>
      </c>
      <c r="D26" t="s">
        <v>32</v>
      </c>
      <c r="E26" s="17">
        <v>45079.584027777775</v>
      </c>
      <c r="F26" t="s">
        <v>125</v>
      </c>
      <c r="G26" t="s">
        <v>63</v>
      </c>
      <c r="H26" t="s">
        <v>64</v>
      </c>
      <c r="I26" t="s">
        <v>65</v>
      </c>
      <c r="J26" t="s">
        <v>66</v>
      </c>
      <c r="K26" t="s">
        <v>99</v>
      </c>
      <c r="L26" s="18" t="str">
        <f>HYPERLINK("https://us.assetplanner.com/service_request?ID=72182","SR072182")</f>
        <v>SR072182</v>
      </c>
      <c r="M26" t="s">
        <v>68</v>
      </c>
    </row>
    <row r="27" spans="1:13">
      <c r="A27" t="s">
        <v>58</v>
      </c>
      <c r="B27" t="s">
        <v>59</v>
      </c>
      <c r="C27" t="s">
        <v>79</v>
      </c>
      <c r="D27" t="s">
        <v>111</v>
      </c>
      <c r="E27" s="17">
        <v>45068.599305555559</v>
      </c>
      <c r="F27" t="s">
        <v>126</v>
      </c>
      <c r="G27" t="s">
        <v>63</v>
      </c>
      <c r="H27" t="s">
        <v>64</v>
      </c>
      <c r="I27" t="s">
        <v>65</v>
      </c>
      <c r="J27" t="s">
        <v>66</v>
      </c>
      <c r="K27" t="s">
        <v>67</v>
      </c>
      <c r="L27" s="18" t="str">
        <f>HYPERLINK("https://us.assetplanner.com/service_request?ID=71782","SR071782")</f>
        <v>SR071782</v>
      </c>
      <c r="M27" t="s">
        <v>68</v>
      </c>
    </row>
    <row r="28" spans="1:13">
      <c r="A28" t="s">
        <v>58</v>
      </c>
      <c r="B28" t="s">
        <v>59</v>
      </c>
      <c r="C28" t="s">
        <v>127</v>
      </c>
      <c r="D28" t="s">
        <v>128</v>
      </c>
      <c r="E28" s="17">
        <v>45064.587500000001</v>
      </c>
      <c r="F28" t="s">
        <v>129</v>
      </c>
      <c r="G28" t="s">
        <v>63</v>
      </c>
      <c r="H28" t="s">
        <v>53</v>
      </c>
      <c r="I28" t="s">
        <v>87</v>
      </c>
      <c r="J28" t="s">
        <v>66</v>
      </c>
      <c r="K28" t="s">
        <v>99</v>
      </c>
      <c r="L28" s="18" t="str">
        <f>HYPERLINK("https://us.assetplanner.com/service_request?ID=71691","SR071691")</f>
        <v>SR071691</v>
      </c>
      <c r="M28" t="s">
        <v>68</v>
      </c>
    </row>
    <row r="29" spans="1:13">
      <c r="A29" t="s">
        <v>58</v>
      </c>
      <c r="B29" t="s">
        <v>59</v>
      </c>
      <c r="C29" t="s">
        <v>130</v>
      </c>
      <c r="D29" t="s">
        <v>32</v>
      </c>
      <c r="E29" s="17">
        <v>45055.59097222222</v>
      </c>
      <c r="F29" t="s">
        <v>131</v>
      </c>
      <c r="G29" t="s">
        <v>63</v>
      </c>
      <c r="H29" t="s">
        <v>64</v>
      </c>
      <c r="I29" t="s">
        <v>65</v>
      </c>
      <c r="J29" t="s">
        <v>66</v>
      </c>
      <c r="K29" t="s">
        <v>67</v>
      </c>
      <c r="L29" s="18" t="str">
        <f>HYPERLINK("https://us.assetplanner.com/service_request?ID=71467","SR071467")</f>
        <v>SR071467</v>
      </c>
      <c r="M29" t="s">
        <v>68</v>
      </c>
    </row>
    <row r="30" spans="1:13">
      <c r="A30" t="s">
        <v>58</v>
      </c>
      <c r="B30" t="s">
        <v>59</v>
      </c>
      <c r="C30" t="s">
        <v>132</v>
      </c>
      <c r="D30" t="s">
        <v>111</v>
      </c>
      <c r="E30" s="17">
        <v>45046.254861111112</v>
      </c>
      <c r="F30" t="s">
        <v>133</v>
      </c>
      <c r="G30" t="s">
        <v>63</v>
      </c>
      <c r="H30" t="s">
        <v>53</v>
      </c>
      <c r="I30" t="s">
        <v>87</v>
      </c>
      <c r="J30" t="s">
        <v>66</v>
      </c>
      <c r="K30" t="s">
        <v>67</v>
      </c>
      <c r="L30" s="18" t="str">
        <f>HYPERLINK("https://us.assetplanner.com/service_request?ID=71189","SR071189")</f>
        <v>SR071189</v>
      </c>
      <c r="M30" t="s">
        <v>68</v>
      </c>
    </row>
    <row r="31" spans="1:13">
      <c r="A31" t="s">
        <v>58</v>
      </c>
      <c r="B31" t="s">
        <v>59</v>
      </c>
      <c r="C31" t="s">
        <v>134</v>
      </c>
      <c r="D31" t="s">
        <v>111</v>
      </c>
      <c r="E31" s="17">
        <v>45037.523611111108</v>
      </c>
      <c r="F31" t="s">
        <v>135</v>
      </c>
      <c r="G31" t="s">
        <v>63</v>
      </c>
      <c r="H31" t="s">
        <v>53</v>
      </c>
      <c r="I31" t="s">
        <v>65</v>
      </c>
      <c r="J31" t="s">
        <v>66</v>
      </c>
      <c r="K31" t="s">
        <v>67</v>
      </c>
      <c r="L31" s="18" t="str">
        <f>HYPERLINK("https://us.assetplanner.com/service_request?ID=70992","SR070992")</f>
        <v>SR070992</v>
      </c>
      <c r="M31" t="s">
        <v>68</v>
      </c>
    </row>
    <row r="32" spans="1:13">
      <c r="A32" t="s">
        <v>58</v>
      </c>
      <c r="B32" t="s">
        <v>59</v>
      </c>
      <c r="C32" t="s">
        <v>136</v>
      </c>
      <c r="D32" t="s">
        <v>137</v>
      </c>
      <c r="E32" s="17">
        <v>44929.522916666669</v>
      </c>
      <c r="F32" t="s">
        <v>138</v>
      </c>
      <c r="G32" t="s">
        <v>63</v>
      </c>
      <c r="H32" t="s">
        <v>64</v>
      </c>
      <c r="I32" t="s">
        <v>65</v>
      </c>
      <c r="J32" t="s">
        <v>66</v>
      </c>
      <c r="K32" t="s">
        <v>67</v>
      </c>
      <c r="L32" s="18" t="str">
        <f>HYPERLINK("https://us.assetplanner.com/service_request?ID=68143","SR068143")</f>
        <v>SR068143</v>
      </c>
      <c r="M32" t="s">
        <v>68</v>
      </c>
    </row>
    <row r="33" spans="2:13">
      <c r="B33" t="s">
        <v>65</v>
      </c>
      <c r="C33" t="s">
        <v>65</v>
      </c>
      <c r="D33" t="s">
        <v>65</v>
      </c>
      <c r="E33" t="s">
        <v>65</v>
      </c>
      <c r="F33" t="s">
        <v>65</v>
      </c>
      <c r="G33" t="s">
        <v>65</v>
      </c>
      <c r="H33" t="s">
        <v>65</v>
      </c>
      <c r="I33" t="s">
        <v>65</v>
      </c>
      <c r="J33" t="s">
        <v>65</v>
      </c>
      <c r="K33" t="s">
        <v>65</v>
      </c>
      <c r="M33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B2C2EF-A4DC-4F93-A890-16ADE09A9A49}"/>
</file>

<file path=customXml/itemProps2.xml><?xml version="1.0" encoding="utf-8"?>
<ds:datastoreItem xmlns:ds="http://schemas.openxmlformats.org/officeDocument/2006/customXml" ds:itemID="{3B995651-98E0-4A32-9CE5-04055B1CC70A}"/>
</file>

<file path=customXml/itemProps3.xml><?xml version="1.0" encoding="utf-8"?>
<ds:datastoreItem xmlns:ds="http://schemas.openxmlformats.org/officeDocument/2006/customXml" ds:itemID="{CCCEE8F9-F25A-4678-A738-A181326ED7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Charishma Pillala [Libsys]</cp:lastModifiedBy>
  <cp:revision/>
  <dcterms:created xsi:type="dcterms:W3CDTF">2024-04-09T06:05:15Z</dcterms:created>
  <dcterms:modified xsi:type="dcterms:W3CDTF">2024-05-17T21:14:07Z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