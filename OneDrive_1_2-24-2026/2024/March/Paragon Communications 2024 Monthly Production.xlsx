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Desktop/Monthly Reports - March 2023/"/>
    </mc:Choice>
  </mc:AlternateContent>
  <xr:revisionPtr revIDLastSave="0" documentId="8_{DAFDE553-7701-4DF1-B3CE-733B9C3A8237}" xr6:coauthVersionLast="47" xr6:coauthVersionMax="47" xr10:uidLastSave="{00000000-0000-0000-0000-000000000000}"/>
  <bookViews>
    <workbookView xWindow="-28920" yWindow="7725" windowWidth="29040" windowHeight="15720" tabRatio="866" firstSheet="4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<sst xmlns="http://schemas.openxmlformats.org/spreadsheetml/2006/main" count="242" uniqueCount="55">
  <si>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</si>
  <si>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</si>
  <si>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</si>
  <si>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</si>
  <si>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</si>
  <si>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</si>
  <si>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</si>
  <si>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</si>
  <si>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</si>
  <si>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</si>
  <si>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</si>
  <si>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</si>
  <si>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</si>
  <si>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</si>
  <si>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</si>
  <si>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</si>
  <si>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</si>
  <si>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</si>
  <si>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</si>
  <si>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</si>
  <si>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</si>
  <si>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</si>
  <si>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</si>
  <si>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</si>
  <si>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</si>
  <si>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</si>
  <si>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</si>
  <si>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</si>
  <si>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</si>
  <si>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</si>
  <si>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</si>
  <si>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</si>
  <si>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</si>
  <si>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</si>
  <si>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</si>
  <si>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</si>
  <si>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</si>
  <si>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</si>
  <si>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</si>
  <si>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</si>
  <si>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</si>
  <si>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</si>
  <si>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</si>
  <si>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</si>
  <si>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</si>
  <si>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</si>
  <si>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</si>
  <si>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</si>
  <si>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MA</t>
  </si>
  <si>
    <t>PowerTrack</t>
  </si>
  <si>
    <t>Paragon Communications</t>
  </si>
  <si>
    <t>MA: Bolton - Paragon</t>
  </si>
  <si>
    <t>AE</t>
  </si>
  <si>
    <t>1. SR081522</t>
  </si>
  <si>
    <t>1. South RCB CB 9-16, 2.13 SM-14 is tripped offline on 03/02
 and back online on 03/03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</si>
</sst>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204971</v>
      </c>
      <c r="D2" s="5">
        <f>SUM(D4:D79)</f>
        <v>255235.71</v>
      </c>
      <c r="E2" s="5">
        <f>C2-D2</f>
        <v>-50264.709999999992</v>
      </c>
      <c r="F2" s="6">
        <f>IFERROR(E2/D2, 0)</f>
        <v>-0.19693447284472848</v>
      </c>
      <c r="G2" s="5">
        <f>SUM(G4:G79)</f>
        <v>0</v>
      </c>
      <c r="H2" s="7">
        <f>C2-G2</f>
        <v>204971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MA: Bolton - Paragon</v>
      </c>
      <c r="B4" s="9" t="str" cm="1">
        <f t="array" ref="B4">Sites[State]</f>
        <v>MA</v>
      </c>
      <c r="C4" s="23">
        <f>SUM('1st Qtr'!C4, '2nd Qtr'!C4, '3rd Qtr'!C4, '4th Qtr'!C4)</f>
        <v>204971</v>
      </c>
      <c r="D4" s="12">
        <f>SUM('1st Qtr'!D4, '2nd Qtr'!D4, '3rd Qtr'!D4, '4th Qtr'!D4)</f>
        <v>255235.71</v>
      </c>
      <c r="E4" s="12">
        <f>IF(AND(ISNUMBER(C4),ISNUMBER(D4)), C4-D4, "")</f>
        <v>-50264.709999999992</v>
      </c>
      <c r="F4" s="13">
        <f>IFERROR(E4/D4, "")</f>
        <v>-0.19693447284472848</v>
      </c>
      <c r="G4" s="14">
        <f>SUM('1st Qtr'!G4, '2nd Qtr'!G4, '3rd Qtr'!G4, '4th Qtr'!G4)</f>
        <v>0</v>
      </c>
      <c r="H4" s="14">
        <f>SUM('1st Qtr'!H4, '2nd Qtr'!H4, '3rd Qtr'!H4, '4th Qtr'!H4)</f>
        <v>204971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204971</v>
      </c>
      <c r="D2" s="5">
        <f>SUM(D4:D79)</f>
        <v>255235.71</v>
      </c>
      <c r="E2" s="5">
        <f>C2-D2</f>
        <v>-50264.709999999992</v>
      </c>
      <c r="F2" s="6">
        <f>IFERROR(E2/D2, 0)</f>
        <v>-0.19693447284472848</v>
      </c>
      <c r="G2" s="5">
        <f>SUM(G4:G79)</f>
        <v>0</v>
      </c>
      <c r="H2" s="7">
        <f>C2-G2</f>
        <v>204971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SUM(Jan!C4, Feb!C4, Mar!C4)</f>
        <v>204971</v>
      </c>
      <c r="D4" s="12">
        <f>SUM(Jan!D4, Feb!D4, Mar!D4)</f>
        <v>255235.71</v>
      </c>
      <c r="E4" s="12">
        <f>IF(AND(ISNUMBER(C4),ISNUMBER(D4)), C4-D4, "")</f>
        <v>-50264.709999999992</v>
      </c>
      <c r="F4" s="13">
        <f>IFERROR(E4/D4, "")</f>
        <v>-0.19693447284472848</v>
      </c>
      <c r="G4" s="14">
        <f>SUM(Jan!G4, Feb!G4, Mar!G4)</f>
        <v>0</v>
      </c>
      <c r="H4" s="14">
        <f>SUM(Jan!H4, Feb!H4, Mar!H4)</f>
        <v>204971</v>
      </c>
      <c r="I4" s="15" t="str">
        <f>IFERROR(H4/G4, "")</f>
        <v/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7" sqref="G17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SUM(C4:C78)</f>
        <v>23676</v>
      </c>
      <c r="D2" s="5">
        <f>SUM(D4:D78)</f>
        <v>48430.71</v>
      </c>
      <c r="E2" s="5">
        <f>C2-D2</f>
        <v>-24754.71</v>
      </c>
      <c r="F2" s="6">
        <f>IFERROR(E2/D2, 0)</f>
        <v>-0.51113663210801574</v>
      </c>
      <c r="G2" s="5">
        <f>SUM(G4:G78)</f>
        <v>0</v>
      </c>
      <c r="H2" s="7">
        <f>C2-G2</f>
        <v>23676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MA: Bolton - Paragon</v>
      </c>
      <c r="B4" s="27" t="str" cm="1">
        <f t="array" ref="B4">Sites[State]</f>
        <v>MA</v>
      </c>
      <c r="C4" s="50">
        <v>23676</v>
      </c>
      <c r="D4" s="51">
        <v>48430.71</v>
      </c>
      <c r="E4" s="12">
        <f>IF(AND(ISNUMBER(C4),ISNUMBER(D4)), C4-D4, "")</f>
        <v>-24754.71</v>
      </c>
      <c r="F4" s="40">
        <f>IFERROR(E4/D4, "")</f>
        <v>-0.51113663210801574</v>
      </c>
      <c r="G4" s="53">
        <v>0</v>
      </c>
      <c r="H4" s="14">
        <f>IF(AND(ISNUMBER(C4),ISNUMBER(G4)), C4-G4, "")</f>
        <v>23676</v>
      </c>
      <c r="I4" s="15" t="str">
        <f>IFERROR(H4/G4, "")</f>
        <v/>
      </c>
      <c r="J4" s="47"/>
      <c r="K4" s="47"/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tabSelected="1"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J17" sqref="J17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69800</v>
      </c>
      <c r="D2" s="5">
        <f>SUM(D4:D79)</f>
        <v>84973</v>
      </c>
      <c r="E2" s="5">
        <f>C2-D2</f>
        <v>-15173</v>
      </c>
      <c r="F2" s="6">
        <f>IFERROR(E2/D2, 0)</f>
        <v>-0.17856260223835807</v>
      </c>
      <c r="G2" s="5">
        <f>SUM(G4:G79)</f>
        <v>0</v>
      </c>
      <c r="H2" s="7">
        <f>C2-G2</f>
        <v>69800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MA: Bolton - Paragon</v>
      </c>
      <c r="B4" s="27" t="str" cm="1">
        <f t="array" ref="B4">Sites[State]</f>
        <v>MA</v>
      </c>
      <c r="C4" s="23">
        <v>69800</v>
      </c>
      <c r="D4" s="12">
        <v>84973</v>
      </c>
      <c r="E4" s="12">
        <f>IF(AND(ISNUMBER(C4),ISNUMBER(D4)), C4-D4, "")</f>
        <v>-15173</v>
      </c>
      <c r="F4" s="13">
        <f>IFERROR(E4/D4, "")</f>
        <v>-0.17856260223835807</v>
      </c>
      <c r="G4" s="14">
        <v>0</v>
      </c>
      <c r="H4" s="14">
        <f>IF(AND(ISNUMBER(C4),ISNUMBER(G4)), C4-G4, "")</f>
        <v>69800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111495</v>
      </c>
      <c r="D2" s="5">
        <f>SUM(D4:D79)</f>
        <v>121832</v>
      </c>
      <c r="E2" s="5">
        <f>C2-D2</f>
        <v>-10337</v>
      </c>
      <c r="F2" s="6">
        <f>IFERROR(E2/D2, 0)</f>
        <v>-8.4846345787641997E-2</v>
      </c>
      <c r="G2" s="5">
        <f>SUM(G4:G79)</f>
        <v>0</v>
      </c>
      <c r="H2" s="7">
        <f>C2-G2</f>
        <v>111495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111495</v>
      </c>
      <c r="D4" s="12">
        <v>121832</v>
      </c>
      <c r="E4" s="12">
        <f>IF(AND(ISNUMBER(C4),ISNUMBER(D4)), C4-D4, "")</f>
        <v>-10337</v>
      </c>
      <c r="F4" s="13">
        <f>IFERROR(E4/D4, "")</f>
        <v>-8.4846345787641997E-2</v>
      </c>
      <c r="G4" s="14">
        <v>0</v>
      </c>
      <c r="H4" s="14">
        <f>IF(AND(ISNUMBER(C4),ISNUMBER(G4)), C4-G4, "")</f>
        <v>111495</v>
      </c>
      <c r="I4" s="15" t="str">
        <f>IFERROR(H4/G4, "")</f>
        <v/>
      </c>
      <c r="J4" s="36" t="s">
        <v>54</v>
      </c>
      <c r="K4" s="36" t="s">
        <v>53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4" sqref="D4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44</v>
      </c>
      <c r="B1" t="s">
        <v>51</v>
      </c>
    </row>
    <row r="3" spans="1:12" x14ac:dyDescent="0.3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12" ht="14.25" x14ac:dyDescent="0.45">
      <c r="A4" s="45" t="s">
        <v>50</v>
      </c>
      <c r="B4" t="s">
        <v>51</v>
      </c>
      <c r="C4" s="43" t="s">
        <v>48</v>
      </c>
      <c r="D4" s="42" t="s">
        <v>52</v>
      </c>
      <c r="E4" t="s">
        <v>49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May</vt:lpstr>
      <vt:lpstr>Apr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[AGS]</cp:lastModifiedBy>
  <cp:revision/>
  <dcterms:created xsi:type="dcterms:W3CDTF">2021-01-01T16:39:53Z</dcterms:created>
  <dcterms:modified xsi:type="dcterms:W3CDTF">2024-04-15T21:14:19Z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