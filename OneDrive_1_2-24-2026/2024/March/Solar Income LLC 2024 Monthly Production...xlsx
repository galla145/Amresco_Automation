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7" documentId="8_{C9952868-2D8E-48CD-90AA-4A83B17BC861}" xr6:coauthVersionLast="47" xr6:coauthVersionMax="47" xr10:uidLastSave="{62AEDE3C-C89A-4493-B5C5-39FA77411D08}"/>
  <bookViews>
    <workbookView xWindow="-12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C4" i="34" s="1"/>
  <c r="D5" i="1"/>
  <c r="D4" i="1"/>
  <c r="D4" i="34" s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D2" i="18"/>
  <c r="E5" i="30"/>
  <c r="F5" i="30" s="1"/>
  <c r="E4" i="18"/>
  <c r="F4" i="18" s="1"/>
  <c r="D2" i="34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H5" i="34"/>
  <c r="I5" i="34" s="1"/>
  <c r="C2" i="29"/>
  <c r="C2" i="30"/>
  <c r="E4" i="29"/>
  <c r="F4" i="29" s="1"/>
  <c r="C2" i="18"/>
  <c r="H4" i="1"/>
  <c r="H4" i="34" s="1"/>
  <c r="I4" i="34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<sst xmlns="http://schemas.openxmlformats.org/spreadsheetml/2006/main" count="249" uniqueCount="59">
  <si>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</si>
  <si>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</si>
  <si>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</si>
  <si>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</si>
  <si>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</si>
  <si>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</si>
  <si>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</si>
  <si>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</si>
  <si>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</si>
  <si>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</si>
  <si>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</si>
  <si>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</si>
  <si>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</si>
  <si>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</si>
  <si>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</si>
  <si>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</si>
  <si>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</si>
  <si>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</si>
  <si>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</si>
  <si>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</si>
  <si>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</si>
  <si>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</si>
  <si>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</si>
  <si>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</si>
  <si>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</si>
  <si>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>1. Inverter 9 tripped offline at 09:00am on 02/18 and back online on 02/20 at 9:30am.</t>
  </si>
  <si>
    <t>1.  	SR081093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</si>
  <si>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</si>
  <si>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</si>
  <si>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</si>
  <si>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</si>
  <si>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</si>
  <si>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</si>
  <si>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</si>
  <si>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</si>
  <si>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</si>
  <si>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</si>
  <si>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</si>
  <si>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</si>
  <si>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</si>
  <si>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</si>
  <si>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</si>
  <si>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</si>
  <si>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</si>
  <si>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</si>
  <si>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</si>
  <si>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</si>
  <si>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</si>
  <si>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</si>
  <si>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</si>
  <si>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</si>
  <si>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</si>
  <si>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Lee Company - B9</t>
  </si>
  <si>
    <t>Westbrook - Lee Building 9</t>
  </si>
  <si>
    <t>CT</t>
  </si>
  <si>
    <t>AEF</t>
  </si>
  <si>
    <t>PowerTrack</t>
  </si>
  <si>
    <t>The Lee Company B82</t>
  </si>
  <si>
    <t>Westbrook - Lee Building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</si>
</sst>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0" fontId="34" fillId="46" borderId="0" xfId="0" applyFont="1" applyFill="1" applyAlignment="1">
      <alignment horizontal="left" vertical="top"/>
    </xf>
    <xf numFmtId="0" fontId="34" fillId="46" borderId="12" xfId="0" applyFont="1" applyFill="1" applyBorder="1"/>
    <xf numFmtId="0" fontId="0" fillId="0" borderId="13" xfId="0" applyBorder="1"/>
    <xf numFmtId="0" fontId="34" fillId="0" borderId="0" xfId="0" applyFont="1" applyAlignment="1">
      <alignment horizontal="left" vertical="top"/>
    </xf>
    <xf numFmtId="0" fontId="34" fillId="0" borderId="0" xfId="0" applyFont="1"/>
    <xf numFmtId="0" fontId="34" fillId="0" borderId="12" xfId="0" applyFont="1" applyBorder="1"/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2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J4" sqref="J4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SUM(C4:C77)</f>
        <v>147069.43</v>
      </c>
      <c r="D2" s="5">
        <f>SUM(D4:D77)</f>
        <v>156494.34899999999</v>
      </c>
      <c r="E2" s="5">
        <f>C2-D2</f>
        <v>-9424.9189999999944</v>
      </c>
      <c r="F2" s="6">
        <f>IFERROR(E2/D2, 0)</f>
        <v>-6.0225299253457355E-2</v>
      </c>
      <c r="G2" s="5">
        <f>SUM(G4:G77)</f>
        <v>84521.241000000009</v>
      </c>
      <c r="H2" s="7">
        <f>C2-G2</f>
        <v>62548.188999999984</v>
      </c>
      <c r="I2" s="6">
        <f>IFERROR(H2/G2, 0)</f>
        <v>0.74002923123194531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3" t="str" cm="1">
        <f t="array" ref="A4:A5">Sites[Site]</f>
        <v>Westbrook - Lee Building 9</v>
      </c>
      <c r="B4" s="30" t="str" cm="1">
        <f t="array" ref="B4:B5">Sites[State]</f>
        <v>CT</v>
      </c>
      <c r="C4" s="23">
        <f>SUM('1st Qtr'!C4, '2nd Qtr'!C4, '3rd Qtr'!C4, '4th Qtr'!C4)</f>
        <v>72084.19</v>
      </c>
      <c r="D4" s="12">
        <f>SUM('1st Qtr'!D4, '2nd Qtr'!D4, '3rd Qtr'!D4, '4th Qtr'!D4)</f>
        <v>76368.481</v>
      </c>
      <c r="E4" s="12">
        <f>IF(AND(ISNUMBER(C4),ISNUMBER(D4)), C4-D4, "")</f>
        <v>-4284.2909999999974</v>
      </c>
      <c r="F4" s="13">
        <f>IFERROR(E4/D4, "")</f>
        <v>-5.6100251620822439E-2</v>
      </c>
      <c r="G4" s="14">
        <f>SUM('1st Qtr'!G4, '2nd Qtr'!G4, '3rd Qtr'!G4, '4th Qtr'!G4)</f>
        <v>0</v>
      </c>
      <c r="H4" s="14">
        <f>SUM('1st Qtr'!H4, '2nd Qtr'!H4, '3rd Qtr'!H4, '4th Qtr'!H4)</f>
        <v>72084.19</v>
      </c>
      <c r="I4" s="15" t="str">
        <f>IFERROR(H4/G4, "")</f>
        <v/>
      </c>
    </row>
    <row r="5" spans="1:9" ht="15.75">
      <c r="A5" s="28" t="str">
        <v>Westbrook - Lee Building 82</v>
      </c>
      <c r="B5" s="28" t="str">
        <v>CT</v>
      </c>
      <c r="C5" s="11">
        <f>SUM(Jan!C5, Feb!C5, Mar!C5)</f>
        <v>74985.239999999991</v>
      </c>
      <c r="D5" s="17">
        <f>SUM(Jan!D5, Feb!D5, Mar!D5)</f>
        <v>80125.868000000002</v>
      </c>
      <c r="E5" s="17">
        <f t="shared" ref="E5" si="0">IF(AND(ISNUMBER(C5),ISNUMBER(D5)), C5-D5, "")</f>
        <v>-5140.6280000000115</v>
      </c>
      <c r="F5" s="18">
        <f>IFERROR(E5/D5, "")</f>
        <v>-6.4156908727653492E-2</v>
      </c>
      <c r="G5" s="19">
        <f>SUM('1st Qtr'!G5, '2nd Qtr'!G5, '3rd Qtr'!G5, '4th Qtr'!G5)</f>
        <v>84521.241000000009</v>
      </c>
      <c r="H5" s="19">
        <f>SUM(Jan!H5, Feb!H5, Mar!H5)</f>
        <v>-9536.0010000000002</v>
      </c>
      <c r="I5" s="18">
        <f>IFERROR(H5/G5, "")</f>
        <v>-0.11282372202746052</v>
      </c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41" priority="1" stopIfTrue="1" operator="lessThanOrEqual">
      <formula>-0.1</formula>
    </cfRule>
    <cfRule type="expression" dxfId="40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SUM(C4:C77)</f>
        <v>147069.43</v>
      </c>
      <c r="D2" s="5">
        <f>SUM(D4:D77)</f>
        <v>156494.34899999999</v>
      </c>
      <c r="E2" s="5">
        <f>C2-D2</f>
        <v>-9424.9189999999944</v>
      </c>
      <c r="F2" s="6">
        <f>IFERROR(E2/D2, 0)</f>
        <v>-6.0225299253457355E-2</v>
      </c>
      <c r="G2" s="5">
        <f>SUM(G4:G77)</f>
        <v>84521.241000000009</v>
      </c>
      <c r="H2" s="7">
        <f>C2-G2</f>
        <v>62548.188999999984</v>
      </c>
      <c r="I2" s="6">
        <f>IFERROR(H2/G2, 0)</f>
        <v>0.74002923123194531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SUM(Jan!C4, Feb!C4, Mar!C4)</f>
        <v>72084.19</v>
      </c>
      <c r="D4" s="12">
        <f>SUM(Jan!D4, Feb!D4, Mar!D4)</f>
        <v>76368.481</v>
      </c>
      <c r="E4" s="12">
        <f>IF(AND(ISNUMBER(C4),ISNUMBER(D4)), C4-D4, "")</f>
        <v>-4284.2909999999974</v>
      </c>
      <c r="F4" s="13">
        <f>IFERROR(E4/D4, "")</f>
        <v>-5.6100251620822439E-2</v>
      </c>
      <c r="G4" s="14">
        <f>SUM(Jan!G4, Feb!G4, Mar!G4)</f>
        <v>0</v>
      </c>
      <c r="H4" s="14">
        <f>SUM(Jan!H4, Feb!H4, Mar!H4)</f>
        <v>72084.19</v>
      </c>
      <c r="I4" s="15" t="str">
        <f>IFERROR(H4/G4, "")</f>
        <v/>
      </c>
    </row>
    <row r="5" spans="1:9" ht="15.75">
      <c r="A5" s="16" t="str">
        <v>Westbrook - Lee Building 82</v>
      </c>
      <c r="B5" s="10" t="str">
        <v>CT</v>
      </c>
      <c r="C5" s="11">
        <f>SUM(Jan!C5, Feb!C5, Mar!C5)</f>
        <v>74985.239999999991</v>
      </c>
      <c r="D5" s="17">
        <f>SUM(Jan!D5, Feb!D5, Mar!D5)</f>
        <v>80125.868000000002</v>
      </c>
      <c r="E5" s="17">
        <f t="shared" ref="E5" si="0">IF(AND(ISNUMBER(C5),ISNUMBER(D5)), C5-D5, "")</f>
        <v>-5140.6280000000115</v>
      </c>
      <c r="F5" s="18">
        <f>IFERROR(E5/D5, "")</f>
        <v>-6.4156908727653492E-2</v>
      </c>
      <c r="G5" s="19">
        <f>SUM(Jan!G5, Feb!G5, Mar!G5)</f>
        <v>84521.241000000009</v>
      </c>
      <c r="H5" s="19">
        <f>SUM(Jan!H5, Feb!H5, Mar!H5)</f>
        <v>-9536.0010000000002</v>
      </c>
      <c r="I5" s="18">
        <f>IFERROR(H5/G5, "")</f>
        <v>-0.11282372202746052</v>
      </c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5.75">
      <c r="A5" s="16" t="str">
        <v>Westbrook - Lee Building 82</v>
      </c>
      <c r="B5" s="10" t="str">
        <v>CT</v>
      </c>
      <c r="C5" s="11">
        <f>SUM(Apr!C5, May!C5, Jun!C5)</f>
        <v>0</v>
      </c>
      <c r="D5" s="17">
        <f>SUM(Apr!D5, May!D5, Jun!D5)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SUM(Apr!H5, May!H5, Jun!H5)</f>
        <v>0</v>
      </c>
      <c r="I5" s="18" t="str">
        <f>IFERROR(H5/G5, "")</f>
        <v/>
      </c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16" t="str">
        <v>Westbrook - Lee Building 82</v>
      </c>
      <c r="B5" s="10" t="str">
        <v>CT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16" t="str">
        <v>Westbrook - Lee Building 82</v>
      </c>
      <c r="B5" s="10" t="str">
        <v>CT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">
      <c r="A6" s="20"/>
      <c r="B6" s="10"/>
      <c r="C6" s="42"/>
      <c r="D6" s="17"/>
      <c r="E6" s="17"/>
      <c r="F6" s="18"/>
      <c r="G6" s="19"/>
      <c r="H6" s="19"/>
      <c r="I6" s="18"/>
    </row>
    <row r="7" spans="1:9" ht="15">
      <c r="A7" s="20"/>
      <c r="B7" s="10"/>
      <c r="C7" s="42"/>
      <c r="D7" s="17"/>
      <c r="E7" s="17"/>
      <c r="F7" s="18"/>
      <c r="G7" s="19"/>
      <c r="H7" s="19"/>
      <c r="I7" s="18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10" sqref="J10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SUM(C4:C76)</f>
        <v>23279.279999999999</v>
      </c>
      <c r="D2" s="5">
        <f>SUM(D4:D76)</f>
        <v>31853.409</v>
      </c>
      <c r="E2" s="5">
        <f>C2-D2</f>
        <v>-8574.1290000000008</v>
      </c>
      <c r="F2" s="6">
        <f>IFERROR(E2/D2, 0)</f>
        <v>-0.26917461173464985</v>
      </c>
      <c r="G2" s="5">
        <f>SUM(G4:G76)</f>
        <v>23363.282999999999</v>
      </c>
      <c r="H2" s="7">
        <f>C2-G2</f>
        <v>-84.003000000000611</v>
      </c>
      <c r="I2" s="6">
        <f>IFERROR(H2/G2, 0)</f>
        <v>-3.5955135243621633E-3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11433.8</v>
      </c>
      <c r="D4" s="12">
        <v>15679.7</v>
      </c>
      <c r="E4" s="12">
        <f>IF(AND(ISNUMBER(C4),ISNUMBER(D4)), C4-D4, "")</f>
        <v>-4245.9000000000015</v>
      </c>
      <c r="F4" s="12">
        <f>IFERROR(E4/D4, "")</f>
        <v>-0.27078961969935655</v>
      </c>
      <c r="G4" s="14">
        <v>0</v>
      </c>
      <c r="H4" s="14">
        <f>IF(AND(ISNUMBER(C4),ISNUMBER(G4)), C4-G4, "")</f>
        <v>11433.8</v>
      </c>
      <c r="I4" s="15" t="str">
        <f>IFERROR(H4/G4, "")</f>
        <v/>
      </c>
      <c r="J4" s="39" t="s">
        <v>22</v>
      </c>
      <c r="K4" s="39" t="s">
        <v>22</v>
      </c>
    </row>
    <row r="5" spans="1:11" ht="15.75">
      <c r="A5" s="28" t="str">
        <v>Westbrook - Lee Building 82</v>
      </c>
      <c r="B5" s="29" t="str">
        <v>CT</v>
      </c>
      <c r="C5" s="11">
        <v>11845.48</v>
      </c>
      <c r="D5" s="17">
        <v>16173.709000000001</v>
      </c>
      <c r="E5" s="17">
        <f t="shared" ref="E5" si="0">IF(AND(ISNUMBER(C5),ISNUMBER(D5)), C5-D5, "")</f>
        <v>-4328.2290000000012</v>
      </c>
      <c r="F5" s="17">
        <f t="shared" ref="F5" si="1">IFERROR(E5/D5, "")</f>
        <v>-0.26760893249655976</v>
      </c>
      <c r="G5" s="19">
        <v>23363.282999999999</v>
      </c>
      <c r="H5" s="19">
        <f t="shared" ref="H5" si="2">IF(AND(ISNUMBER(C5),ISNUMBER(G5)), C5-G5, "")</f>
        <v>-11517.803</v>
      </c>
      <c r="I5" s="18">
        <f t="shared" ref="I5" si="3">IFERROR(H5/G5, "")</f>
        <v>-0.49298735113554032</v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31" priority="6" stopIfTrue="1" operator="lessThanOrEqual">
      <formula>-0.1</formula>
    </cfRule>
    <cfRule type="expression" dxfId="30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D4" sqref="D4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23</v>
      </c>
      <c r="E1" s="54"/>
      <c r="F1" s="54"/>
      <c r="G1" s="52" t="s">
        <v>24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52653.18</v>
      </c>
      <c r="D2" s="5">
        <f>SUM(D4:D77)</f>
        <v>57932.347999999998</v>
      </c>
      <c r="E2" s="5">
        <f>C2-D2</f>
        <v>-5279.1679999999978</v>
      </c>
      <c r="F2" s="6">
        <f>IFERROR(E2/D2, 0)</f>
        <v>-9.1126429054800229E-2</v>
      </c>
      <c r="G2" s="5">
        <f>SUM(G4:G77)</f>
        <v>27025.858</v>
      </c>
      <c r="H2" s="7">
        <f>C2-G2</f>
        <v>25627.322</v>
      </c>
      <c r="I2" s="6">
        <f>IFERROR(H2/G2, 0)</f>
        <v>0.94825192968896677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26066.52</v>
      </c>
      <c r="D4" s="12">
        <v>28274.989000000001</v>
      </c>
      <c r="E4" s="12">
        <f>IF(AND(ISNUMBER(C4),ISNUMBER(D4)), C4-D4, "")</f>
        <v>-2208.469000000001</v>
      </c>
      <c r="F4" s="12">
        <f>IFERROR(E4/D4, "")</f>
        <v>-7.8106803153840332E-2</v>
      </c>
      <c r="G4" s="14">
        <v>0</v>
      </c>
      <c r="H4" s="14">
        <f>IF(AND(ISNUMBER(C4),ISNUMBER(G4)), C4-G4, "")</f>
        <v>26066.52</v>
      </c>
      <c r="I4" s="15" t="str">
        <f>IFERROR(H4/G4, "")</f>
        <v/>
      </c>
      <c r="J4" s="39"/>
      <c r="K4" s="39"/>
    </row>
    <row r="5" spans="1:11" ht="30.75">
      <c r="A5" s="28" t="str">
        <v>Westbrook - Lee Building 82</v>
      </c>
      <c r="B5" s="29" t="str">
        <v>CT</v>
      </c>
      <c r="C5" s="11">
        <v>26586.66</v>
      </c>
      <c r="D5" s="17">
        <v>29657.359</v>
      </c>
      <c r="E5" s="17">
        <f t="shared" ref="E5" si="0">IF(AND(ISNUMBER(C5),ISNUMBER(D5)), C5-D5, "")</f>
        <v>-3070.6990000000005</v>
      </c>
      <c r="F5" s="17">
        <f t="shared" ref="F5" si="1">IFERROR(E5/D5, "")</f>
        <v>-0.10353919241426725</v>
      </c>
      <c r="G5" s="19">
        <v>27025.858</v>
      </c>
      <c r="H5" s="19">
        <f t="shared" ref="H5" si="2">IF(AND(ISNUMBER(C5),ISNUMBER(G5)), C5-G5, "")</f>
        <v>-439.19800000000032</v>
      </c>
      <c r="I5" s="18">
        <f t="shared" ref="I5" si="3">IFERROR(H5/G5, "")</f>
        <v>-1.6251028922005004E-2</v>
      </c>
      <c r="J5" s="51" t="s">
        <v>25</v>
      </c>
      <c r="K5" s="51" t="s">
        <v>26</v>
      </c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J5" sqref="J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27</v>
      </c>
      <c r="E1" s="54"/>
      <c r="F1" s="54"/>
      <c r="G1" s="52" t="s">
        <v>28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71136.97</v>
      </c>
      <c r="D2" s="5">
        <f>SUM(D4:D77)</f>
        <v>66708.592000000004</v>
      </c>
      <c r="E2" s="5">
        <f>C2-D2</f>
        <v>4428.377999999997</v>
      </c>
      <c r="F2" s="6">
        <f>IFERROR(E2/D2, 0)</f>
        <v>6.6383922478831459E-2</v>
      </c>
      <c r="G2" s="5">
        <f>SUM(G4:G77)</f>
        <v>34132.1</v>
      </c>
      <c r="H2" s="7">
        <f>C2-G2</f>
        <v>37004.870000000003</v>
      </c>
      <c r="I2" s="6">
        <f>IFERROR(H2/G2, 0)</f>
        <v>1.0841662247561681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34583.870000000003</v>
      </c>
      <c r="D4" s="12">
        <v>32413.792000000001</v>
      </c>
      <c r="E4" s="12">
        <f t="shared" ref="E4:E5" si="0">IF(AND(ISNUMBER(C4),ISNUMBER(D4)), C4-D4, "")</f>
        <v>2170.0780000000013</v>
      </c>
      <c r="F4" s="12">
        <f>IFERROR(E4/D4, "")</f>
        <v>6.6949217172739342E-2</v>
      </c>
      <c r="G4" s="14">
        <v>0</v>
      </c>
      <c r="H4" s="14">
        <f>IF(AND(ISNUMBER(C4),ISNUMBER(G4)), C4-G4, "")</f>
        <v>34583.870000000003</v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>
        <v>36553.1</v>
      </c>
      <c r="D5" s="17">
        <v>34294.800000000003</v>
      </c>
      <c r="E5" s="17">
        <f t="shared" si="0"/>
        <v>2258.2999999999956</v>
      </c>
      <c r="F5" s="17">
        <f>IFERROR(E5/D5, "")</f>
        <v>6.5849633180540351E-2</v>
      </c>
      <c r="G5" s="19">
        <v>34132.1</v>
      </c>
      <c r="H5" s="19">
        <f t="shared" ref="H5" si="1">IF(AND(ISNUMBER(C5),ISNUMBER(G5)), C5-G5, "")</f>
        <v>2421</v>
      </c>
      <c r="I5" s="18">
        <f t="shared" ref="I5" si="2">IFERROR(H5/G5, "")</f>
        <v>7.0930297286132413E-2</v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6:F77">
    <cfRule type="cellIs" dxfId="27" priority="7" stopIfTrue="1" operator="lessThanOrEqual">
      <formula>-0.1</formula>
    </cfRule>
    <cfRule type="expression" dxfId="26" priority="8">
      <formula>AND(ISNUMBER(F2), F2&gt;=0.1)</formula>
    </cfRule>
  </conditionalFormatting>
  <conditionalFormatting sqref="I4 I6:I77">
    <cfRule type="cellIs" dxfId="25" priority="3" stopIfTrue="1" operator="lessThanOrEqual">
      <formula>-0.1</formula>
    </cfRule>
    <cfRule type="expression" dxfId="24" priority="4">
      <formula>AND(ISNUMBER(I4), I4&gt;=0.1)</formula>
    </cfRule>
  </conditionalFormatting>
  <conditionalFormatting sqref="I5">
    <cfRule type="cellIs" dxfId="23" priority="1" stopIfTrue="1" operator="lessThanOrEqual">
      <formula>-0.1</formula>
    </cfRule>
    <cfRule type="expression" dxfId="22" priority="2">
      <formula>AND(ISNUMBER(I5), I5&gt;=0.1)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29</v>
      </c>
      <c r="E1" s="54"/>
      <c r="F1" s="54"/>
      <c r="G1" s="52" t="s">
        <v>30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31</v>
      </c>
      <c r="E1" s="54"/>
      <c r="F1" s="54"/>
      <c r="G1" s="52" t="s">
        <v>32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33</v>
      </c>
      <c r="E1" s="54"/>
      <c r="F1" s="54"/>
      <c r="G1" s="52" t="s">
        <v>34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35</v>
      </c>
      <c r="E1" s="54"/>
      <c r="F1" s="54"/>
      <c r="G1" s="52" t="s">
        <v>36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37</v>
      </c>
      <c r="E1" s="54"/>
      <c r="F1" s="54"/>
      <c r="G1" s="52" t="s">
        <v>38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39</v>
      </c>
      <c r="E1" s="54"/>
      <c r="F1" s="54"/>
      <c r="G1" s="52" t="s">
        <v>40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41</v>
      </c>
      <c r="E1" s="54"/>
      <c r="F1" s="54"/>
      <c r="G1" s="52" t="s">
        <v>42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43</v>
      </c>
      <c r="E1" s="54"/>
      <c r="F1" s="54"/>
      <c r="G1" s="52" t="s">
        <v>44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25" sqref="J25"/>
      <selection pane="bottomLeft" activeCell="H30" sqref="H30"/>
      <selection pane="topRight" activeCell="H30" sqref="H3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45</v>
      </c>
      <c r="E1" s="54"/>
      <c r="F1" s="54"/>
      <c r="G1" s="52" t="s">
        <v>46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D9" sqref="D9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5">
      <c r="A4" s="45" t="s">
        <v>52</v>
      </c>
      <c r="B4" s="46" t="s">
        <v>53</v>
      </c>
      <c r="C4" s="46" t="s">
        <v>54</v>
      </c>
      <c r="D4" s="47" t="s">
        <v>55</v>
      </c>
      <c r="E4" t="s">
        <v>56</v>
      </c>
      <c r="G4" s="3"/>
    </row>
    <row r="5" spans="1:12" ht="15">
      <c r="A5" s="48" t="s">
        <v>57</v>
      </c>
      <c r="B5" s="49" t="s">
        <v>58</v>
      </c>
      <c r="C5" s="50" t="s">
        <v>54</v>
      </c>
      <c r="D5" s="47" t="s">
        <v>55</v>
      </c>
      <c r="E5" t="s">
        <v>56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2024-04-18T14:03:41Z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