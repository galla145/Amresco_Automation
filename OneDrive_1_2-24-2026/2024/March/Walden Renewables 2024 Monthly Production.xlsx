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41A2E05C-E4D3-4727-BAF3-950FA9179665}" xr6:coauthVersionLast="47" xr6:coauthVersionMax="47" xr10:uidLastSave="{73836F0D-B99D-47A2-8BC8-C0DDDB37E27D}"/>
  <bookViews>
    <workbookView xWindow="-120" yWindow="-120" windowWidth="29040" windowHeight="15720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<sst xmlns="http://schemas.openxmlformats.org/spreadsheetml/2006/main" count="247" uniqueCount="57">
  <si>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</si>
  <si>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</si>
  <si>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</si>
  <si>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</si>
  <si>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</si>
  <si>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</si>
  <si>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</si>
  <si>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</si>
  <si>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</si>
  <si>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</si>
  <si>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</si>
  <si>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</si>
  <si>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</si>
  <si>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</si>
  <si>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</si>
  <si>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</si>
  <si>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</si>
  <si>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</si>
  <si>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</si>
  <si>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</si>
  <si>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</si>
  <si>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</si>
  <si>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</si>
  <si>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</si>
  <si>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</si>
  <si>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</si>
  <si>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</si>
  <si>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</si>
  <si>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</si>
  <si>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</si>
  <si>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</si>
  <si>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</si>
  <si>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</si>
  <si>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</si>
  <si>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</si>
  <si>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</si>
  <si>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</si>
  <si>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</si>
  <si>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</si>
  <si>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</si>
  <si>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</si>
  <si>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</si>
  <si>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</si>
  <si>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</si>
  <si>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</si>
  <si>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</si>
  <si>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</si>
  <si>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</si>
  <si>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</si>
  <si>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</si>
  <si>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</si>
  <si>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</si>
  <si>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</si>
  <si>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</si>
  <si>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</si>
  <si>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</si>
  <si>
    <t>Walden 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</si>
</sst>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SUM(C4:C77)</f>
        <v>194142</v>
      </c>
      <c r="D2" s="5">
        <f>SUM(D4:D77)</f>
        <v>0</v>
      </c>
      <c r="E2" s="5">
        <f>C2-D2</f>
        <v>194142</v>
      </c>
      <c r="F2" s="6">
        <f>IFERROR(E2/D2, 0)</f>
        <v>0</v>
      </c>
      <c r="G2" s="5">
        <f>SUM(G4:G77)</f>
        <v>0</v>
      </c>
      <c r="H2" s="7">
        <f>C2-G2</f>
        <v>194142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152797</v>
      </c>
      <c r="D4" s="12">
        <f>SUM('1st Qtr'!D4, '2nd Qtr'!D4, '3rd Qtr'!D4, '4th Qtr'!D4)</f>
        <v>0</v>
      </c>
      <c r="E4" s="12">
        <f>IF(AND(ISNUMBER(C4),ISNUMBER(D4)), C4-D4, "")</f>
        <v>152797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152797</v>
      </c>
      <c r="I4" s="15" t="str">
        <f>IFERROR(H4/G4, "")</f>
        <v/>
      </c>
    </row>
    <row r="5" spans="1:9" ht="15.75">
      <c r="A5" s="46" t="str">
        <v>Walden Liberty</v>
      </c>
      <c r="B5" s="28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41345</v>
      </c>
      <c r="I5" s="18" t="str">
        <f>IFERROR(H5/G5, "")</f>
        <v/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B17" sqref="B17"/>
      <selection pane="bottomLeft" activeCell="B17" sqref="B17"/>
      <selection pane="topRight" activeCell="B17" sqref="B1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SUM(C4:C77)</f>
        <v>194142</v>
      </c>
      <c r="D2" s="5">
        <f>SUM(D4:D77)</f>
        <v>0</v>
      </c>
      <c r="E2" s="5">
        <f>C2-D2</f>
        <v>194142</v>
      </c>
      <c r="F2" s="6">
        <f>IFERROR(E2/D2, 0)</f>
        <v>0</v>
      </c>
      <c r="G2" s="5">
        <f>SUM(G4:G77)</f>
        <v>0</v>
      </c>
      <c r="H2" s="7">
        <f>C2-G2</f>
        <v>194142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152797</v>
      </c>
      <c r="D4" s="12">
        <f>SUM(Jan!D4, Feb!D4, Mar!D4)</f>
        <v>0</v>
      </c>
      <c r="E4" s="12">
        <f>IF(AND(ISNUMBER(C4),ISNUMBER(D4)), C4-D4, "")</f>
        <v>152797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152797</v>
      </c>
      <c r="I4" s="15" t="str">
        <f>IFERROR(H4/G4, "")</f>
        <v/>
      </c>
    </row>
    <row r="5" spans="1:9" ht="15.75">
      <c r="A5" s="44" t="str">
        <v>Walden Liberty</v>
      </c>
      <c r="B5" s="10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41345</v>
      </c>
      <c r="I5" s="18" t="str">
        <f>IFERROR(H5/G5, "")</f>
        <v/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B17" sqref="B17"/>
      <selection pane="bottomLeft" activeCell="B17" sqref="B17"/>
      <selection pane="topRight" activeCell="B17" sqref="B1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5.75">
      <c r="A5" s="44" t="str">
        <v>Walden Liberty</v>
      </c>
      <c r="B5" s="10" t="str">
        <v>MA</v>
      </c>
      <c r="C5" s="11">
        <f>SUM(Apr!C5, May!C5, Jun!C5)</f>
        <v>0</v>
      </c>
      <c r="D5" s="17">
        <f>SUM(Apr!D5, May!D5, Jun!D5)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SUM(Apr!H5, May!H5, Jun!H5)</f>
        <v>0</v>
      </c>
      <c r="I5" s="18" t="str">
        <f>IFERROR(H5/G5, "")</f>
        <v/>
      </c>
    </row>
    <row r="6" spans="1:9">
      <c r="A6" s="20"/>
      <c r="B6" s="20"/>
      <c r="C6" s="20"/>
      <c r="D6" s="20"/>
      <c r="E6" s="20"/>
      <c r="F6" s="20"/>
      <c r="G6" s="20"/>
      <c r="H6" s="20"/>
      <c r="I6" s="20"/>
    </row>
    <row r="7" spans="1:9">
      <c r="A7" s="20"/>
      <c r="B7" s="20"/>
      <c r="C7" s="20"/>
      <c r="D7" s="20"/>
      <c r="E7" s="20"/>
      <c r="F7" s="20"/>
      <c r="G7" s="20"/>
      <c r="H7" s="20"/>
      <c r="I7" s="20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B17" sqref="B17"/>
      <selection pane="bottomLeft" activeCell="B17" sqref="B17"/>
      <selection pane="topRight" activeCell="B17" sqref="B1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44" t="str">
        <v>Walden Liberty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ALIGNED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44" t="str">
        <v>Walden Liberty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">
      <c r="A6" s="20"/>
      <c r="B6" s="10"/>
      <c r="C6" s="42"/>
      <c r="D6" s="17"/>
      <c r="E6" s="17"/>
      <c r="F6" s="18"/>
      <c r="G6" s="19"/>
      <c r="H6" s="19"/>
      <c r="I6" s="18"/>
    </row>
    <row r="7" spans="1:9" ht="15">
      <c r="A7" s="20"/>
      <c r="B7" s="10"/>
      <c r="C7" s="42"/>
      <c r="D7" s="17"/>
      <c r="E7" s="17"/>
      <c r="F7" s="18"/>
      <c r="G7" s="19"/>
      <c r="H7" s="19"/>
      <c r="I7" s="18"/>
    </row>
    <row r="8" spans="1:9">
      <c r="A8" s="20"/>
      <c r="B8" s="20"/>
      <c r="C8" s="20"/>
      <c r="D8" s="20"/>
      <c r="E8" s="20"/>
      <c r="F8" s="20"/>
      <c r="G8" s="20"/>
      <c r="H8" s="20"/>
      <c r="I8" s="20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1"/>
      <c r="G10" s="20"/>
      <c r="H10" s="20"/>
      <c r="I10" s="21"/>
    </row>
    <row r="11" spans="1:9">
      <c r="A11" s="20"/>
      <c r="B11" s="20"/>
      <c r="C11" s="20"/>
      <c r="D11" s="20"/>
      <c r="E11" s="20"/>
      <c r="F11" s="21"/>
      <c r="G11" s="20"/>
      <c r="H11" s="20"/>
      <c r="I11" s="21"/>
    </row>
    <row r="12" spans="1:9">
      <c r="A12" s="20"/>
      <c r="B12" s="20"/>
      <c r="C12" s="20"/>
      <c r="D12" s="20"/>
      <c r="E12" s="20"/>
      <c r="F12" s="21"/>
      <c r="G12" s="20"/>
      <c r="H12" s="20"/>
      <c r="I12" s="21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F28" sqref="F28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SUM(C4:C76)</f>
        <v>39051</v>
      </c>
      <c r="D2" s="5">
        <f>SUM(D4:D76)</f>
        <v>0</v>
      </c>
      <c r="E2" s="5">
        <f>C2-D2</f>
        <v>39051</v>
      </c>
      <c r="F2" s="6">
        <f>IFERROR(E2/D2, 0)</f>
        <v>0</v>
      </c>
      <c r="G2" s="5">
        <f>SUM(G4:G76)</f>
        <v>0</v>
      </c>
      <c r="H2" s="7">
        <f>C2-G2</f>
        <v>39051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34113</v>
      </c>
      <c r="D4" s="12">
        <v>0</v>
      </c>
      <c r="E4" s="12">
        <f>IF(AND(ISNUMBER(C4),ISNUMBER(D4)), C4-D4, "")</f>
        <v>34113</v>
      </c>
      <c r="F4" s="12" t="str">
        <f>IFERROR(E4/D4, "")</f>
        <v/>
      </c>
      <c r="G4" s="14">
        <v>0</v>
      </c>
      <c r="H4" s="14">
        <f>IF(AND(ISNUMBER(C4),ISNUMBER(G4)), C4-G4, "")</f>
        <v>34113</v>
      </c>
      <c r="I4" s="15" t="str">
        <f>IFERROR(H4/G4, "")</f>
        <v/>
      </c>
      <c r="J4" s="39" t="s">
        <v>22</v>
      </c>
      <c r="K4" s="39" t="s">
        <v>22</v>
      </c>
    </row>
    <row r="5" spans="1:11" ht="15.75">
      <c r="A5" s="46" t="str">
        <v>Walden Liberty</v>
      </c>
      <c r="B5" s="29" t="str">
        <v>MA</v>
      </c>
      <c r="C5" s="11">
        <v>4938</v>
      </c>
      <c r="D5" s="17">
        <v>0</v>
      </c>
      <c r="E5" s="17">
        <f t="shared" ref="E5" si="0">IF(AND(ISNUMBER(C5),ISNUMBER(D5)), C5-D5, "")</f>
        <v>4938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4938</v>
      </c>
      <c r="I5" s="18" t="str">
        <f t="shared" ref="I5" si="3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H8" sqref="H8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23</v>
      </c>
      <c r="E1" s="53"/>
      <c r="F1" s="53"/>
      <c r="G1" s="51" t="s">
        <v>24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68716</v>
      </c>
      <c r="D2" s="5">
        <f>SUM(D4:D77)</f>
        <v>0</v>
      </c>
      <c r="E2" s="5">
        <f>C2-D2</f>
        <v>68716</v>
      </c>
      <c r="F2" s="6">
        <f>IFERROR(E2/D2, 0)</f>
        <v>0</v>
      </c>
      <c r="G2" s="5">
        <f>SUM(G4:G77)</f>
        <v>0</v>
      </c>
      <c r="H2" s="7">
        <f>C2-G2</f>
        <v>68716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53834</v>
      </c>
      <c r="D4" s="12">
        <v>0</v>
      </c>
      <c r="E4" s="12">
        <f>IF(AND(ISNUMBER(C4),ISNUMBER(D4)), C4-D4, "")</f>
        <v>53834</v>
      </c>
      <c r="F4" s="12" t="str">
        <f>IFERROR(E4/D4, "")</f>
        <v/>
      </c>
      <c r="G4" s="14">
        <v>0</v>
      </c>
      <c r="H4" s="14">
        <f>IF(AND(ISNUMBER(C4),ISNUMBER(G4)), C4-G4, "")</f>
        <v>53834</v>
      </c>
      <c r="I4" s="15" t="str">
        <f>IFERROR(H4/G4, "")</f>
        <v/>
      </c>
      <c r="J4" s="39"/>
      <c r="K4" s="39"/>
    </row>
    <row r="5" spans="1:11" ht="15.75">
      <c r="A5" s="46" t="str">
        <v>Walden Liberty</v>
      </c>
      <c r="B5" s="29" t="str">
        <v>MA</v>
      </c>
      <c r="C5" s="11">
        <v>14882</v>
      </c>
      <c r="D5" s="17">
        <v>0</v>
      </c>
      <c r="E5" s="17">
        <f t="shared" ref="E5" si="0">IF(AND(ISNUMBER(C5),ISNUMBER(D5)), C5-D5, "")</f>
        <v>14882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14882</v>
      </c>
      <c r="I5" s="18" t="str">
        <f t="shared" ref="I5" si="3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H7" sqref="H7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25</v>
      </c>
      <c r="E1" s="53"/>
      <c r="F1" s="53"/>
      <c r="G1" s="51" t="s">
        <v>26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86375</v>
      </c>
      <c r="D2" s="5">
        <f>SUM(D4:D77)</f>
        <v>0</v>
      </c>
      <c r="E2" s="5">
        <f>C2-D2</f>
        <v>86375</v>
      </c>
      <c r="F2" s="6">
        <f>IFERROR(E2/D2, 0)</f>
        <v>0</v>
      </c>
      <c r="G2" s="5">
        <f>SUM(G4:G77)</f>
        <v>0</v>
      </c>
      <c r="H2" s="7">
        <f>C2-G2</f>
        <v>86375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64850</v>
      </c>
      <c r="D4" s="12">
        <v>0</v>
      </c>
      <c r="E4" s="12">
        <f t="shared" ref="E4:E5" si="0">IF(AND(ISNUMBER(C4),ISNUMBER(D4)), C4-D4, "")</f>
        <v>64850</v>
      </c>
      <c r="F4" s="12" t="str">
        <f>IFERROR(E4/D4, "")</f>
        <v/>
      </c>
      <c r="G4" s="14">
        <v>0</v>
      </c>
      <c r="H4" s="14">
        <f>IF(AND(ISNUMBER(C4),ISNUMBER(G4)), C4-G4, "")</f>
        <v>64850</v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>
        <v>21525</v>
      </c>
      <c r="D5" s="17">
        <v>0</v>
      </c>
      <c r="E5" s="17">
        <f t="shared" si="0"/>
        <v>21525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21525</v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29</v>
      </c>
      <c r="E1" s="53"/>
      <c r="F1" s="53"/>
      <c r="G1" s="51" t="s">
        <v>30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31</v>
      </c>
      <c r="E1" s="53"/>
      <c r="F1" s="53"/>
      <c r="G1" s="51" t="s">
        <v>32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33</v>
      </c>
      <c r="E1" s="53"/>
      <c r="F1" s="53"/>
      <c r="G1" s="51" t="s">
        <v>34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35</v>
      </c>
      <c r="E1" s="53"/>
      <c r="F1" s="53"/>
      <c r="G1" s="51" t="s">
        <v>36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37</v>
      </c>
      <c r="E1" s="53"/>
      <c r="F1" s="53"/>
      <c r="G1" s="51" t="s">
        <v>38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41</v>
      </c>
      <c r="E1" s="53"/>
      <c r="F1" s="53"/>
      <c r="G1" s="51" t="s">
        <v>42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H30" sqref="H30"/>
      <selection pane="topRight" activeCell="H30" sqref="H30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ALIGNED</v>
      </c>
      <c r="B1" s="52"/>
      <c r="C1" s="52"/>
      <c r="D1" s="53" t="s">
        <v>43</v>
      </c>
      <c r="E1" s="53"/>
      <c r="F1" s="53"/>
      <c r="G1" s="51" t="s">
        <v>44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tabSelected="1" workbookViewId="0">
      <pane ySplit="3" topLeftCell="A4" activePane="bottomLeft" state="frozen"/>
      <selection pane="bottomLeft" activeCell="C8" sqref="C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5">
      <c r="A4" s="47" t="s">
        <v>50</v>
      </c>
      <c r="B4" s="47" t="s">
        <v>51</v>
      </c>
      <c r="C4" s="47" t="s">
        <v>52</v>
      </c>
      <c r="D4" s="49" t="s">
        <v>53</v>
      </c>
      <c r="E4" s="47" t="s">
        <v>54</v>
      </c>
      <c r="G4" s="3"/>
    </row>
    <row r="5" spans="1:12" ht="15">
      <c r="A5" s="48" t="s">
        <v>55</v>
      </c>
      <c r="B5" s="48" t="s">
        <v>56</v>
      </c>
      <c r="C5" s="48" t="s">
        <v>52</v>
      </c>
      <c r="D5" s="50" t="s">
        <v>53</v>
      </c>
      <c r="E5" s="48" t="s">
        <v>54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2024-07-16T03:15:15Z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