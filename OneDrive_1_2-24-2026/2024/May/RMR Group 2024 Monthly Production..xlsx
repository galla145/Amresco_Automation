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FADF92AA-626C-45E2-B838-C8B64E6D83B6}" xr6:coauthVersionLast="47" xr6:coauthVersionMax="47" xr10:uidLastSave="{7649C39B-F25C-4E22-BD40-BA834D683064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<sst xmlns="http://schemas.openxmlformats.org/spreadsheetml/2006/main" count="239" uniqueCount="52">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</sst>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107190.6</v>
      </c>
      <c r="D2" s="6">
        <f>SUM(D4:D60)</f>
        <v>89295.66</v>
      </c>
      <c r="E2" s="6">
        <f>C2-D2</f>
        <v>17894.940000000002</v>
      </c>
      <c r="F2" s="7">
        <f>IFERROR(E2/D2, 0)</f>
        <v>0.2004010049312587</v>
      </c>
      <c r="G2" s="6">
        <f>SUM(G4:G60)</f>
        <v>0</v>
      </c>
      <c r="H2" s="8">
        <f>C2-G2</f>
        <v>107190.6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107190.6</v>
      </c>
      <c r="D4" s="14">
        <f>SUM('1st Qtr'!D4, '2nd Qtr'!D4, '3rd Qtr'!D4, '4th Qtr'!D4)</f>
        <v>89295.66</v>
      </c>
      <c r="E4" s="14">
        <f>IF(AND(ISNUMBER(C4),ISNUMBER(D4)), C4-D4, "")</f>
        <v>17894.940000000002</v>
      </c>
      <c r="F4" s="15">
        <f>IFERROR(E4/D4, "")</f>
        <v>0.2004010049312587</v>
      </c>
      <c r="G4" s="16">
        <f>SUM('1st Qtr'!G4,'2nd Qtr'!G4,'3rd Qtr'!G4,'4th Qtr'!G4)</f>
        <v>0</v>
      </c>
      <c r="H4" s="16">
        <f>SUM('1st Qtr'!H4, '2nd Qtr'!H4, '3rd Qtr'!H4, '4th Qtr'!H4)</f>
        <v>107190.6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D3" activePane="bottomLeft" state="frozen"/>
      <selection pane="bottomLeft" activeCell="D10" sqref="D10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M16" sqref="M16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60610.600000000006</v>
      </c>
      <c r="D2" s="6">
        <f>SUM(D4:D90)</f>
        <v>36698.659999999996</v>
      </c>
      <c r="E2" s="6">
        <f>C2-D2</f>
        <v>23911.94000000001</v>
      </c>
      <c r="F2" s="7">
        <f>IFERROR(E2/D2, 0)</f>
        <v>0.6515752891249984</v>
      </c>
      <c r="G2" s="6">
        <f>SUM(G4:G90)</f>
        <v>0</v>
      </c>
      <c r="H2" s="8">
        <f>C2-G2</f>
        <v>60610.600000000006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60610.600000000006</v>
      </c>
      <c r="D4" s="14">
        <f>SUM(Apr!D4, May!D4, Jun!D4)</f>
        <v>36698.659999999996</v>
      </c>
      <c r="E4" s="14">
        <f>IF(AND(ISNUMBER(C4),ISNUMBER(D4)), C4-D4, "")</f>
        <v>23911.94000000001</v>
      </c>
      <c r="F4" s="15">
        <f>IFERROR(E4/D4, "")</f>
        <v>0.6515752891249984</v>
      </c>
      <c r="G4" s="16">
        <f>SUM(Apr!G4+May!G4+Jun!G4)</f>
        <v>0</v>
      </c>
      <c r="H4" s="16">
        <f>SUM(Apr!H4, May!H4, Jun!H4)</f>
        <v>60610.600000000006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17" sqref="F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B3" activePane="bottomLeft" state="frozen"/>
      <selection pane="bottomLeft" activeCell="B4" sqref="B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28039.7</v>
      </c>
      <c r="D4" s="14"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v>0</v>
      </c>
      <c r="H4" s="16">
        <f>IF(AND(ISNUMBER(C4),ISNUMBER(G4)), C4-G4, "")</f>
        <v>28039.7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workbookViewId="0">
      <pane ySplit="2" topLeftCell="A3" activePane="bottomLeft" state="frozen"/>
      <selection pane="bottomLeft" activeCell="H18" sqref="H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32570.9</v>
      </c>
      <c r="D2" s="6">
        <f>SUM(D4:D90)</f>
        <v>13284.06</v>
      </c>
      <c r="E2" s="6">
        <f>C2-D2</f>
        <v>19286.840000000004</v>
      </c>
      <c r="F2" s="7">
        <f>IFERROR(E2/D2, 0)</f>
        <v>1.4518784166888741</v>
      </c>
      <c r="G2" s="6">
        <f>SUM(G4:G90)</f>
        <v>0</v>
      </c>
      <c r="H2" s="8">
        <f>C2-G2</f>
        <v>32570.9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32570.9</v>
      </c>
      <c r="D4" s="14">
        <v>13284.06</v>
      </c>
      <c r="E4" s="14">
        <f>IF(AND(ISNUMBER(C4),ISNUMBER(D4)), C4-D4, "")</f>
        <v>19286.840000000004</v>
      </c>
      <c r="F4" s="15">
        <f>IFERROR(E4/D4, "")</f>
        <v>1.4518784166888741</v>
      </c>
      <c r="G4" s="16">
        <v>0</v>
      </c>
      <c r="H4" s="16">
        <f>IF(AND(ISNUMBER(C4),ISNUMBER(G4)), C4-G4, "")</f>
        <v>32570.9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2024-07-08T07:15:07Z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