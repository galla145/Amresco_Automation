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May/"/>
    </mc:Choice>
  </mc:AlternateContent>
  <xr:revisionPtr revIDLastSave="61" documentId="13_ncr:1_{1B6FB0D5-DAE5-4CD6-86C1-B9CF7FBBD90B}" xr6:coauthVersionLast="47" xr6:coauthVersionMax="47" xr10:uidLastSave="{80BC62A5-83BD-4533-B534-6BFAF52D6886}"/>
  <bookViews>
    <workbookView xWindow="35880" yWindow="-120" windowWidth="29040" windowHeight="15720" activeTab="1" xr2:uid="{00000000-000D-0000-FFFF-FFFF00000000}"/>
  </bookViews>
  <sheets>
    <sheet name="sites" sheetId="1" r:id="rId1"/>
    <sheet name="Open Items" sheetId="2" r:id="rId2"/>
  </sheets>
  <definedNames>
    <definedName name="__bookmark_1">sites!$A$3:$B$7</definedName>
    <definedName name="__bookmark_2">sites!$A$9:$T$22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2" l="1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<sst xmlns="http://schemas.openxmlformats.org/spreadsheetml/2006/main" count="469" uniqueCount="141">
  <si>
    <t>Monthly Site Performance Summary</t>
  </si>
  <si>
    <t>Account:</t>
  </si>
  <si>
    <t>Ameresco</t>
  </si>
  <si>
    <t>Report's period:</t>
  </si>
  <si>
    <r>
      <t>05/01/2024</t>
    </r>
    <r>
      <rPr>
        <sz val="10"/>
        <color rgb="FF303030"/>
        <rFont val="Calibri"/>
      </rPr>
      <t xml:space="preserve"> - 05/31/2024</t>
    </r>
  </si>
  <si>
    <t>Sites:</t>
  </si>
  <si>
    <t>Manually selected sites</t>
  </si>
  <si>
    <t># of sites:</t>
  </si>
  <si>
    <t>Generated on:</t>
  </si>
  <si>
    <t>06/05/2024 04:59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</si>
  <si>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</si>
  <si>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</si>
  <si>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</si>
  <si>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</si>
  <si>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</si>
  <si>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</si>
  <si>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</si>
  <si>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</si>
  <si>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</si>
  <si>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</si>
  <si>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</si>
  <si>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</si>
  <si>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</si>
  <si>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</si>
  <si>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</si>
  <si>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</si>
  <si>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</si>
  <si>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</si>
  <si>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</si>
  <si>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</si>
  <si>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</si>
  <si>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</si>
  <si>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2</t>
  </si>
  <si>
    <t>NBHA Ben Rose</t>
  </si>
  <si>
    <t>03/03/2022</t>
  </si>
  <si>
    <t>0</t>
  </si>
  <si>
    <t>NBHA Brickenwood</t>
  </si>
  <si>
    <t>03/01/2022</t>
  </si>
  <si>
    <t>1</t>
  </si>
  <si>
    <t>NBHA Chaffee Fairfield</t>
  </si>
  <si>
    <t>07/29/2020</t>
  </si>
  <si>
    <t>NBHA DeMedeiros</t>
  </si>
  <si>
    <t>01/10/2022</t>
  </si>
  <si>
    <t>6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</si>
  <si>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</si>
  <si>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</si>
  <si>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</si>
  <si>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</si>
  <si>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</si>
  <si>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</si>
  <si>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</si>
  <si>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</si>
  <si>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</si>
  <si>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NBHA Westlawn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</si>
  <si>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</si>
  <si>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</si>
  <si>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</si>
  <si>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</si>
  <si>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</si>
  <si>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</si>
  <si>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</si>
  <si>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</si>
  <si>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</si>
  <si>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</si>
  <si>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</si>
  <si>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</si>
  <si>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</si>
  <si>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</si>
  <si>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</si>
  <si>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</si>
  <si>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Brickenwood - 58 Yale - Inverter 49</t>
  </si>
  <si>
    <t>6/3/24 - inverter 49 stopped communicating on 5/25/24; possibly offline.</t>
  </si>
  <si>
    <t>Diana Balayan</t>
  </si>
  <si>
    <t>New</t>
  </si>
  <si>
    <t/>
  </si>
  <si>
    <t>PV Monitoring - Minor</t>
  </si>
  <si>
    <t>Ameresco UM - Inverter Troubleshooting</t>
  </si>
  <si>
    <t>1006999</t>
  </si>
  <si>
    <t>DeMedeiros - 43 Whitman St West - Inverter 2</t>
  </si>
  <si>
    <t>Inv comms.</t>
  </si>
  <si>
    <t>5/31/24 - inverter 2 stopped communicating on 5/22/24; possibly offline.</t>
  </si>
  <si>
    <t>PV-Monitoring-ROC</t>
  </si>
  <si>
    <t>Inv comms</t>
  </si>
  <si>
    <t>5/17/24 - Shawmut inverter 52 have stopped communicating; possibly offline.</t>
  </si>
  <si>
    <t>5/17/24 - Presidential inverters 18, 27 have stopped communicating, possibly offline.</t>
  </si>
  <si>
    <t>6/3/24 - invs 15 and 16 regained comms, invs 4 and 6 still have no comms.
5/11 - Westlawn inverters 4, 6, 15, 16 stopped communicating, possibly offline.</t>
  </si>
  <si>
    <t>Ameresco UM - Communications Failure</t>
  </si>
  <si>
    <t>Shawmut Village - 59 Apache CT - Inverter 32</t>
  </si>
  <si>
    <t>5/10 - Inverter 32 lost comms again. Inverter has a history of comms losses - see SR071733 for prior history.</t>
  </si>
  <si>
    <t>Shawmut Village - 102 Navaho CT - Inverter 53</t>
  </si>
  <si>
    <t>4/18 - Shawmut Inverter 53 is not communicating, possibly offline.</t>
  </si>
  <si>
    <t>Shawmut Village - 105 Navaho CT - Inverter 46</t>
  </si>
  <si>
    <t>4/19 - Inverter 46 is not communicating, possibly offline.</t>
  </si>
  <si>
    <t>Shawmut Village - 107 Navaho CT - Inverter 18</t>
  </si>
  <si>
    <t>4/11/24 - inverter 18 offline tripped offline on 4/8 at 1 pm; reporting internal error code 181.</t>
  </si>
  <si>
    <t>Westlawn - 197 Liberty St Bldg 25 - Inverter 8</t>
  </si>
  <si>
    <t>4/10 - Inverter 8 is offline.</t>
  </si>
  <si>
    <t>Presidential - 310 Mt-Pleasant St Bldg 2 - Inverter 1</t>
  </si>
  <si>
    <t>3/4 - Inverter 1 is offline.</t>
  </si>
  <si>
    <t>Brickenwood - 240 Harvard - Inverter 46</t>
  </si>
  <si>
    <t>3/4 - Inverter 46 at Brickenwood is offline.</t>
  </si>
  <si>
    <t>DeMedeiros - 43 Whitman St West - Inverter 1</t>
  </si>
  <si>
    <t>3/4 - Inverter 1 at DeMedeiros is offline.</t>
  </si>
  <si>
    <t>Westlawn - 197 Liberty St Bldg 45 - Inverter 23</t>
  </si>
  <si>
    <t>2/20/24 - Inverter 23 stopped communicating; cannot confirm production.</t>
  </si>
  <si>
    <t>Ameresco UM - Communications Failure / Production Not Confirmed</t>
  </si>
  <si>
    <t>Shawmut Village - 111 Mashpee CT - Inverter 49</t>
  </si>
  <si>
    <t>10/17/23 - Inverter 49 is not communicating from 07/09, possibly offline</t>
  </si>
  <si>
    <t>Satellite - 104 Aries Dr - Inverter 13</t>
  </si>
  <si>
    <t>10/16/23 - While examining the quarterly production log it appears that inverter 13 at Satellite is not communicating (production can't be confirmed).</t>
  </si>
  <si>
    <t>Satellite - 90 Libra Dr - Inverter 11</t>
  </si>
  <si>
    <t xml:space="preserve">6 </t>
  </si>
  <si>
    <t>10/5/23 - Inverter 11 stopped communicating, possibly offline.</t>
  </si>
  <si>
    <t>Adams St - 14 Adams St - Inverter 4</t>
  </si>
  <si>
    <t>10/16/23 - Inverter is still offline.
08/31/23 - Inverter 4 tripped offline.</t>
  </si>
  <si>
    <t>10/16/23 - The inverter is still offline. 
08/19/2023 - Inverter 1 tripped offline.</t>
  </si>
  <si>
    <t xml:space="preserve">10/17/23 - Brickenwood inverter 10 still not communicating or possibly offline from 08/10 
8/10/23 - Brickenwood inverter 10 stopped communicating overnight, possibly offline.
</t>
  </si>
  <si>
    <t>Shawmut Village - 121 Mashpee CT - Inverter 25</t>
  </si>
  <si>
    <t>7.6</t>
  </si>
  <si>
    <t>10/17/2023 - Inverter is still not reporting, possibly offline
8/9 - Inverter 25 stopped communicating.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</si>
  <si>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</si>
  <si>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</si>
  <si>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Brickenwood - 190 Harvard - Inverter 35</t>
  </si>
  <si>
    <t>10/17/23 - Inverter 35 is still offline 
07/11/23 - Inverter 35 tripped offline.</t>
  </si>
  <si>
    <t>Dottin Place 1 - Amanda Ave Bldg 5 (61) - Inverter 4</t>
  </si>
  <si>
    <t>07/07/2023 - Inverter 4 tripped offline.</t>
  </si>
  <si>
    <t>Satellite - 77 Saturn Dr - Inverter 7</t>
  </si>
  <si>
    <t>06/20/ - Inverter 7 stopped communicating.</t>
  </si>
  <si>
    <t>Satellite - 87 Libra Dr - Inverter 10</t>
  </si>
  <si>
    <t>10/16/23 - Inverter 10 is not communicating and production can't be confirmed. 
06/15/23 - Inverter 10 is not communicating.</t>
  </si>
  <si>
    <t>Shawmut Village - 83 Pawnee CT - Inverter 26</t>
  </si>
  <si>
    <t>10/17/2023 - Inverter is still not communicating, possibly offline
06/01/23 - Inverter 26 is not communicating.</t>
  </si>
  <si>
    <t>05/22/23 - Inverter 46 tripped offline.</t>
  </si>
  <si>
    <t>Shawmut Village - 63 Apache CT - Inverter 42</t>
  </si>
  <si>
    <t>10/17/2023 - Inverter is still not communicating from 05/07, possibly offline
5/9 - Inverter 42 stopped communicating, possibly offline.</t>
  </si>
  <si>
    <t>10/16/23 - Inverter has a history of tripping offline and self-resolves.
04/30/23 - Inverter has not started for the production on 04/29</t>
  </si>
  <si>
    <t>Pending Reoccurring Events</t>
  </si>
  <si>
    <t>Shawmut Village - 67 Apache CT - Inverter 48</t>
  </si>
  <si>
    <t>10/17/2023 - Inverter is still not communicating from 04/11, possibly offline
4/21 - Inverter 48 stopped communicating.</t>
  </si>
  <si>
    <t>Presidential - 119 Fillmore St Bldg 9 - Inverter 21</t>
  </si>
  <si>
    <t>10/17/2023 - Issue still exists
4/3/23 - Issue still exists.
1/3/23 - Inverter 21 lost communications on 8/23/22.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</si>
</sst>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#0.###"/>
    <numFmt numFmtId="165" formatCode="yyyy\-mm\-dd\ hh:mm"/>
  </numFmts>
  <fonts count="12">
    <font>
      <sz val="11"/>
      <color indexed="8"/>
      <name val="Aptos Narrow"/>
      <family val="2"/>
      <scheme val="minor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  <font>
      <b/>
      <sz val="10"/>
      <color rgb="FFFFFFFF"/>
      <name val="Arial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0065A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horizontal="left" vertical="top"/>
    </xf>
    <xf numFmtId="0" fontId="10" fillId="5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0" fontId="1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22"/>
  <sheetViews>
    <sheetView showGridLines="0" workbookViewId="0"/>
  </sheetViews>
  <sheetFormatPr defaultRowHeight="14.5"/>
  <cols>
    <col min="1" max="1" width="54" customWidth="1"/>
    <col min="2" max="2" width="32" customWidth="1"/>
    <col min="3" max="3" width="15.54296875" customWidth="1"/>
    <col min="4" max="5" width="13.7265625" customWidth="1"/>
    <col min="6" max="6" width="16.453125" customWidth="1"/>
    <col min="7" max="7" width="19.1796875" customWidth="1"/>
    <col min="8" max="9" width="17.7265625" customWidth="1"/>
    <col min="10" max="10" width="10.26953125" customWidth="1"/>
    <col min="11" max="11" width="13" customWidth="1"/>
    <col min="12" max="13" width="10.26953125" customWidth="1"/>
    <col min="14" max="14" width="13" customWidth="1"/>
    <col min="15" max="16" width="10.26953125" customWidth="1"/>
    <col min="17" max="17" width="13" customWidth="1"/>
    <col min="18" max="19" width="10.26953125" customWidth="1"/>
    <col min="20" max="20" width="13" customWidth="1"/>
    <col min="21" max="25" width="2.81640625" customWidth="1"/>
    <col min="29" max="32" width="2.81640625" customWidth="1"/>
    <col min="33" max="33" width="32.81640625" customWidth="1"/>
  </cols>
  <sheetData>
    <row r="1" spans="1:33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">
      <c r="A2" s="2" t="s">
        <v>0</v>
      </c>
    </row>
    <row r="3" spans="1:33">
      <c r="A3" s="3" t="s">
        <v>1</v>
      </c>
      <c r="B3" s="4" t="s">
        <v>2</v>
      </c>
    </row>
    <row r="4" spans="1:33">
      <c r="A4" s="3" t="s">
        <v>3</v>
      </c>
      <c r="B4" s="5" t="s">
        <v>4</v>
      </c>
    </row>
    <row r="5" spans="1:33">
      <c r="A5" s="3" t="s">
        <v>5</v>
      </c>
      <c r="B5" s="4" t="s">
        <v>6</v>
      </c>
    </row>
    <row r="6" spans="1:33">
      <c r="A6" s="3" t="s">
        <v>7</v>
      </c>
      <c r="B6" s="6">
        <v>11</v>
      </c>
    </row>
    <row r="7" spans="1:33">
      <c r="A7" s="3" t="s">
        <v>8</v>
      </c>
      <c r="B7" s="4" t="s">
        <v>9</v>
      </c>
    </row>
    <row r="8" spans="1:33">
      <c r="A8" s="7"/>
    </row>
    <row r="9" spans="1:33" ht="16.5" customHeight="1">
      <c r="A9" s="21" t="s">
        <v>10</v>
      </c>
      <c r="B9" s="22"/>
      <c r="C9" s="22"/>
      <c r="D9" s="22"/>
      <c r="E9" s="22"/>
      <c r="F9" s="22"/>
      <c r="G9" s="23"/>
      <c r="H9" s="8" t="s">
        <v>11</v>
      </c>
      <c r="I9" s="21" t="s">
        <v>12</v>
      </c>
      <c r="J9" s="22"/>
      <c r="K9" s="23"/>
      <c r="L9" s="21" t="s">
        <v>13</v>
      </c>
      <c r="M9" s="22"/>
      <c r="N9" s="23"/>
      <c r="O9" s="21" t="s">
        <v>14</v>
      </c>
      <c r="P9" s="22"/>
      <c r="Q9" s="23"/>
      <c r="R9" s="21" t="s">
        <v>15</v>
      </c>
      <c r="S9" s="22"/>
      <c r="T9" s="23"/>
    </row>
    <row r="10" spans="1:33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  <c r="J10" s="9" t="s">
        <v>25</v>
      </c>
      <c r="K10" s="9" t="s">
        <v>26</v>
      </c>
      <c r="L10" s="9" t="s">
        <v>24</v>
      </c>
      <c r="M10" s="9" t="s">
        <v>25</v>
      </c>
      <c r="N10" s="9" t="s">
        <v>26</v>
      </c>
      <c r="O10" s="9" t="s">
        <v>24</v>
      </c>
      <c r="P10" s="9" t="s">
        <v>25</v>
      </c>
      <c r="Q10" s="9" t="s">
        <v>26</v>
      </c>
      <c r="R10" s="9" t="s">
        <v>24</v>
      </c>
      <c r="S10" s="9" t="s">
        <v>25</v>
      </c>
      <c r="T10" s="9" t="s">
        <v>26</v>
      </c>
    </row>
    <row r="11" spans="1:33">
      <c r="A11" s="10">
        <v>1</v>
      </c>
      <c r="B11" s="11" t="s">
        <v>27</v>
      </c>
      <c r="C11" s="10" t="s">
        <v>28</v>
      </c>
      <c r="D11" s="10" t="s">
        <v>29</v>
      </c>
      <c r="E11" s="10" t="s">
        <v>30</v>
      </c>
      <c r="F11" s="10" t="s">
        <v>31</v>
      </c>
      <c r="G11" s="10">
        <v>69.254999999999995</v>
      </c>
      <c r="H11" s="12" t="s">
        <v>32</v>
      </c>
      <c r="I11" s="10">
        <v>6291.2</v>
      </c>
      <c r="J11" s="10">
        <v>90.8</v>
      </c>
      <c r="K11" s="12"/>
      <c r="L11" s="10">
        <v>5418.3</v>
      </c>
      <c r="M11" s="10">
        <v>78.2</v>
      </c>
      <c r="N11" s="12"/>
      <c r="O11" s="10">
        <v>12060.7</v>
      </c>
      <c r="P11" s="10">
        <v>174.1</v>
      </c>
      <c r="Q11" s="12"/>
      <c r="R11" s="10">
        <v>66366.2</v>
      </c>
      <c r="S11" s="10">
        <v>958.3</v>
      </c>
      <c r="T11" s="12"/>
    </row>
    <row r="12" spans="1:33">
      <c r="A12" s="10">
        <v>2</v>
      </c>
      <c r="B12" s="11" t="s">
        <v>33</v>
      </c>
      <c r="C12" s="10" t="s">
        <v>28</v>
      </c>
      <c r="D12" s="10" t="s">
        <v>29</v>
      </c>
      <c r="E12" s="10" t="s">
        <v>30</v>
      </c>
      <c r="F12" s="10" t="s">
        <v>34</v>
      </c>
      <c r="G12" s="10">
        <v>152.42500000000001</v>
      </c>
      <c r="H12" s="12" t="s">
        <v>35</v>
      </c>
      <c r="I12" s="10">
        <v>18965.400000000001</v>
      </c>
      <c r="J12" s="10">
        <v>124.4</v>
      </c>
      <c r="K12" s="12"/>
      <c r="L12" s="10">
        <v>15742.3</v>
      </c>
      <c r="M12" s="10">
        <v>103.3</v>
      </c>
      <c r="N12" s="12"/>
      <c r="O12" s="10">
        <v>25147.200000000001</v>
      </c>
      <c r="P12" s="10">
        <v>165</v>
      </c>
      <c r="Q12" s="12"/>
      <c r="R12" s="10">
        <v>161404.70000000001</v>
      </c>
      <c r="S12" s="10">
        <v>1058.9000000000001</v>
      </c>
      <c r="T12" s="12"/>
    </row>
    <row r="13" spans="1:33">
      <c r="A13" s="10">
        <v>3</v>
      </c>
      <c r="B13" s="11" t="s">
        <v>36</v>
      </c>
      <c r="C13" s="10" t="s">
        <v>28</v>
      </c>
      <c r="D13" s="10" t="s">
        <v>29</v>
      </c>
      <c r="E13" s="10" t="s">
        <v>30</v>
      </c>
      <c r="F13" s="10" t="s">
        <v>37</v>
      </c>
      <c r="G13" s="10">
        <v>572.32500000000005</v>
      </c>
      <c r="H13" s="12" t="s">
        <v>38</v>
      </c>
      <c r="I13" s="10">
        <v>68522.899999999994</v>
      </c>
      <c r="J13" s="10">
        <v>119.7</v>
      </c>
      <c r="K13" s="12"/>
      <c r="L13" s="10">
        <v>60102.5</v>
      </c>
      <c r="M13" s="10">
        <v>105</v>
      </c>
      <c r="N13" s="12"/>
      <c r="O13" s="10">
        <v>94416.3</v>
      </c>
      <c r="P13" s="10">
        <v>165</v>
      </c>
      <c r="Q13" s="12"/>
      <c r="R13" s="10">
        <v>651958.30000000005</v>
      </c>
      <c r="S13" s="10">
        <v>1139.0999999999999</v>
      </c>
      <c r="T13" s="12"/>
    </row>
    <row r="14" spans="1:33">
      <c r="A14" s="10">
        <v>4</v>
      </c>
      <c r="B14" s="11" t="s">
        <v>39</v>
      </c>
      <c r="C14" s="10" t="s">
        <v>28</v>
      </c>
      <c r="D14" s="10" t="s">
        <v>29</v>
      </c>
      <c r="E14" s="10" t="s">
        <v>30</v>
      </c>
      <c r="F14" s="10" t="s">
        <v>40</v>
      </c>
      <c r="G14" s="10">
        <v>49.4</v>
      </c>
      <c r="H14" s="12" t="s">
        <v>35</v>
      </c>
      <c r="I14" s="10">
        <v>6383.7</v>
      </c>
      <c r="J14" s="10">
        <v>129.19999999999999</v>
      </c>
      <c r="K14" s="12"/>
      <c r="L14" s="10">
        <v>5734.4</v>
      </c>
      <c r="M14" s="10">
        <v>116.1</v>
      </c>
      <c r="N14" s="12"/>
      <c r="O14" s="10">
        <v>8440</v>
      </c>
      <c r="P14" s="10">
        <v>170.9</v>
      </c>
      <c r="Q14" s="12"/>
      <c r="R14" s="10">
        <v>59069.3</v>
      </c>
      <c r="S14" s="10">
        <v>1195.7</v>
      </c>
      <c r="T14" s="12"/>
    </row>
    <row r="15" spans="1:33">
      <c r="A15" s="10">
        <v>5</v>
      </c>
      <c r="B15" s="11" t="s">
        <v>41</v>
      </c>
      <c r="C15" s="10" t="s">
        <v>28</v>
      </c>
      <c r="D15" s="10" t="s">
        <v>29</v>
      </c>
      <c r="E15" s="10" t="s">
        <v>30</v>
      </c>
      <c r="F15" s="10" t="s">
        <v>42</v>
      </c>
      <c r="G15" s="10">
        <v>64.349999999999994</v>
      </c>
      <c r="H15" s="12" t="s">
        <v>43</v>
      </c>
      <c r="I15" s="10">
        <v>5838.5</v>
      </c>
      <c r="J15" s="10">
        <v>90.7</v>
      </c>
      <c r="K15" s="12"/>
      <c r="L15" s="10">
        <v>5548.6</v>
      </c>
      <c r="M15" s="10">
        <v>86.2</v>
      </c>
      <c r="N15" s="12"/>
      <c r="O15" s="10">
        <v>11285</v>
      </c>
      <c r="P15" s="10">
        <v>175.4</v>
      </c>
      <c r="Q15" s="12"/>
      <c r="R15" s="10">
        <v>66243.3</v>
      </c>
      <c r="S15" s="10">
        <v>1029.4000000000001</v>
      </c>
      <c r="T15" s="12"/>
    </row>
    <row r="16" spans="1:33">
      <c r="A16" s="10">
        <v>6</v>
      </c>
      <c r="B16" s="11" t="s">
        <v>44</v>
      </c>
      <c r="C16" s="10" t="s">
        <v>28</v>
      </c>
      <c r="D16" s="10" t="s">
        <v>29</v>
      </c>
      <c r="E16" s="10" t="s">
        <v>30</v>
      </c>
      <c r="F16" s="10" t="s">
        <v>40</v>
      </c>
      <c r="G16" s="10">
        <v>88.4</v>
      </c>
      <c r="H16" s="12" t="s">
        <v>35</v>
      </c>
      <c r="I16" s="10">
        <v>10456.799999999999</v>
      </c>
      <c r="J16" s="10">
        <v>118.3</v>
      </c>
      <c r="K16" s="12"/>
      <c r="L16" s="10">
        <v>9177.7999999999993</v>
      </c>
      <c r="M16" s="10">
        <v>103.8</v>
      </c>
      <c r="N16" s="12"/>
      <c r="O16" s="10">
        <v>15396</v>
      </c>
      <c r="P16" s="10">
        <v>174.2</v>
      </c>
      <c r="Q16" s="12"/>
      <c r="R16" s="10">
        <v>97834.4</v>
      </c>
      <c r="S16" s="10">
        <v>1106.7</v>
      </c>
      <c r="T16" s="12"/>
    </row>
    <row r="17" spans="1:20">
      <c r="A17" s="10">
        <v>7</v>
      </c>
      <c r="B17" s="11" t="s">
        <v>45</v>
      </c>
      <c r="C17" s="10" t="s">
        <v>28</v>
      </c>
      <c r="D17" s="10" t="s">
        <v>29</v>
      </c>
      <c r="E17" s="10" t="s">
        <v>30</v>
      </c>
      <c r="F17" s="10" t="s">
        <v>46</v>
      </c>
      <c r="G17" s="10">
        <v>117</v>
      </c>
      <c r="H17" s="12" t="s">
        <v>35</v>
      </c>
      <c r="I17" s="10">
        <v>14795.1</v>
      </c>
      <c r="J17" s="10">
        <v>126.5</v>
      </c>
      <c r="K17" s="12"/>
      <c r="L17" s="10">
        <v>13057.2</v>
      </c>
      <c r="M17" s="10">
        <v>111.6</v>
      </c>
      <c r="N17" s="12"/>
      <c r="O17" s="10">
        <v>19664.400000000001</v>
      </c>
      <c r="P17" s="10">
        <v>168.1</v>
      </c>
      <c r="Q17" s="12"/>
      <c r="R17" s="10">
        <v>138075.5</v>
      </c>
      <c r="S17" s="10">
        <v>1180.0999999999999</v>
      </c>
      <c r="T17" s="12"/>
    </row>
    <row r="18" spans="1:20">
      <c r="A18" s="10">
        <v>8</v>
      </c>
      <c r="B18" s="11" t="s">
        <v>47</v>
      </c>
      <c r="C18" s="10" t="s">
        <v>28</v>
      </c>
      <c r="D18" s="10" t="s">
        <v>29</v>
      </c>
      <c r="E18" s="10" t="s">
        <v>30</v>
      </c>
      <c r="F18" s="10" t="s">
        <v>48</v>
      </c>
      <c r="G18" s="10">
        <v>468.65</v>
      </c>
      <c r="H18" s="12" t="s">
        <v>32</v>
      </c>
      <c r="I18" s="10">
        <v>47465.4</v>
      </c>
      <c r="J18" s="10">
        <v>101.3</v>
      </c>
      <c r="K18" s="12"/>
      <c r="L18" s="10">
        <v>40129</v>
      </c>
      <c r="M18" s="10">
        <v>85.6</v>
      </c>
      <c r="N18" s="12"/>
      <c r="O18" s="10">
        <v>65873</v>
      </c>
      <c r="P18" s="10">
        <v>140.6</v>
      </c>
      <c r="Q18" s="12"/>
      <c r="R18" s="10">
        <v>438329.7</v>
      </c>
      <c r="S18" s="10">
        <v>935.3</v>
      </c>
      <c r="T18" s="12"/>
    </row>
    <row r="19" spans="1:20">
      <c r="A19" s="10">
        <v>9</v>
      </c>
      <c r="B19" s="11" t="s">
        <v>49</v>
      </c>
      <c r="C19" s="10" t="s">
        <v>28</v>
      </c>
      <c r="D19" s="10" t="s">
        <v>29</v>
      </c>
      <c r="E19" s="10" t="s">
        <v>30</v>
      </c>
      <c r="F19" s="10" t="s">
        <v>50</v>
      </c>
      <c r="G19" s="10">
        <v>169</v>
      </c>
      <c r="H19" s="12" t="s">
        <v>38</v>
      </c>
      <c r="I19" s="10">
        <v>16666.3</v>
      </c>
      <c r="J19" s="10">
        <v>98.6</v>
      </c>
      <c r="K19" s="12"/>
      <c r="L19" s="10">
        <v>15831.6</v>
      </c>
      <c r="M19" s="10">
        <v>93.7</v>
      </c>
      <c r="N19" s="12"/>
      <c r="O19" s="10">
        <v>28886.799999999999</v>
      </c>
      <c r="P19" s="10">
        <v>170.9</v>
      </c>
      <c r="Q19" s="12"/>
      <c r="R19" s="10">
        <v>189301.4</v>
      </c>
      <c r="S19" s="10">
        <v>1120.0999999999999</v>
      </c>
      <c r="T19" s="12"/>
    </row>
    <row r="20" spans="1:20">
      <c r="A20" s="10">
        <v>10</v>
      </c>
      <c r="B20" s="11" t="s">
        <v>51</v>
      </c>
      <c r="C20" s="10" t="s">
        <v>28</v>
      </c>
      <c r="D20" s="10" t="s">
        <v>29</v>
      </c>
      <c r="E20" s="10" t="s">
        <v>30</v>
      </c>
      <c r="F20" s="10" t="s">
        <v>52</v>
      </c>
      <c r="G20" s="10">
        <v>443.625</v>
      </c>
      <c r="H20" s="12" t="s">
        <v>32</v>
      </c>
      <c r="I20" s="10">
        <v>44779.7</v>
      </c>
      <c r="J20" s="10">
        <v>100.9</v>
      </c>
      <c r="K20" s="12"/>
      <c r="L20" s="10">
        <v>41489.199999999997</v>
      </c>
      <c r="M20" s="10">
        <v>93.5</v>
      </c>
      <c r="N20" s="12"/>
      <c r="O20" s="10">
        <v>69808.800000000003</v>
      </c>
      <c r="P20" s="10">
        <v>157.4</v>
      </c>
      <c r="Q20" s="12"/>
      <c r="R20" s="10">
        <v>462127.5</v>
      </c>
      <c r="S20" s="10">
        <v>1041.7</v>
      </c>
      <c r="T20" s="12"/>
    </row>
    <row r="21" spans="1:20">
      <c r="A21" s="10">
        <v>11</v>
      </c>
      <c r="B21" s="11" t="s">
        <v>53</v>
      </c>
      <c r="C21" s="10" t="s">
        <v>28</v>
      </c>
      <c r="D21" s="10" t="s">
        <v>29</v>
      </c>
      <c r="E21" s="10" t="s">
        <v>30</v>
      </c>
      <c r="F21" s="10" t="s">
        <v>34</v>
      </c>
      <c r="G21" s="10">
        <v>267.8</v>
      </c>
      <c r="H21" s="12" t="s">
        <v>38</v>
      </c>
      <c r="I21" s="10">
        <v>29040.400000000001</v>
      </c>
      <c r="J21" s="10">
        <v>108.4</v>
      </c>
      <c r="K21" s="12"/>
      <c r="L21" s="10">
        <v>27096.5</v>
      </c>
      <c r="M21" s="10">
        <v>101.2</v>
      </c>
      <c r="N21" s="12"/>
      <c r="O21" s="10">
        <v>43023.6</v>
      </c>
      <c r="P21" s="10">
        <v>160.69999999999999</v>
      </c>
      <c r="Q21" s="12"/>
      <c r="R21" s="10">
        <v>288121.09999999998</v>
      </c>
      <c r="S21" s="10">
        <v>1075.9000000000001</v>
      </c>
      <c r="T21" s="12"/>
    </row>
    <row r="22" spans="1:20">
      <c r="A22" s="13" t="s">
        <v>54</v>
      </c>
      <c r="B22" s="14"/>
      <c r="C22" s="14"/>
      <c r="D22" s="14"/>
      <c r="E22" s="14"/>
      <c r="F22" s="14"/>
      <c r="G22" s="15">
        <v>2462.23</v>
      </c>
      <c r="H22" s="14"/>
      <c r="I22" s="13">
        <v>269205.40000000002</v>
      </c>
      <c r="J22" s="14"/>
      <c r="K22" s="14"/>
      <c r="L22" s="13">
        <v>239327.4</v>
      </c>
      <c r="M22" s="14"/>
      <c r="N22" s="14"/>
      <c r="O22" s="13">
        <v>394001.8</v>
      </c>
      <c r="P22" s="14"/>
      <c r="Q22" s="14"/>
      <c r="R22" s="13">
        <v>2618831.4</v>
      </c>
      <c r="S22" s="14"/>
      <c r="T22" s="14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00000000-0004-0000-0000-000000000000}"/>
    <hyperlink ref="B12" r:id="rId2" location="/dashboard" xr:uid="{00000000-0004-0000-0000-000001000000}"/>
    <hyperlink ref="B13" r:id="rId3" location="/dashboard" xr:uid="{00000000-0004-0000-0000-000002000000}"/>
    <hyperlink ref="B14" r:id="rId4" location="/dashboard" xr:uid="{00000000-0004-0000-0000-000003000000}"/>
    <hyperlink ref="B15" r:id="rId5" location="/dashboard" xr:uid="{00000000-0004-0000-0000-000004000000}"/>
    <hyperlink ref="B16" r:id="rId6" location="/dashboard" xr:uid="{00000000-0004-0000-0000-000005000000}"/>
    <hyperlink ref="B17" r:id="rId7" location="/dashboard" xr:uid="{00000000-0004-0000-0000-000006000000}"/>
    <hyperlink ref="B18" r:id="rId8" location="/dashboard" xr:uid="{00000000-0004-0000-0000-000007000000}"/>
    <hyperlink ref="B19" r:id="rId9" location="/dashboard" xr:uid="{00000000-0004-0000-0000-000008000000}"/>
    <hyperlink ref="B20" r:id="rId10" location="/dashboard" xr:uid="{00000000-0004-0000-0000-000009000000}"/>
    <hyperlink ref="B21" r:id="rId11" location="/dashboard" xr:uid="{00000000-0004-0000-0000-00000A000000}"/>
  </hyperlinks>
  <pageMargins left="0.25" right="0.25" top="0.75" bottom="0.75" header="0.5" footer="0.5"/>
  <pageSetup paperSize="9"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034C-99B5-4174-AA4D-D12FC741F7B9}">
  <dimension ref="A1:M34"/>
  <sheetViews>
    <sheetView tabSelected="1" workbookViewId="0">
      <selection activeCell="D8" sqref="D8"/>
    </sheetView>
  </sheetViews>
  <sheetFormatPr defaultRowHeight="14.5"/>
  <cols>
    <col min="1" max="1" width="27.36328125" bestFit="1" customWidth="1"/>
    <col min="2" max="2" width="29.26953125" bestFit="1" customWidth="1"/>
    <col min="3" max="3" width="40.1796875" bestFit="1" customWidth="1"/>
    <col min="4" max="4" width="12.1796875" customWidth="1"/>
    <col min="5" max="5" width="16.54296875" bestFit="1" customWidth="1"/>
    <col min="6" max="6" width="139.54296875" bestFit="1" customWidth="1"/>
    <col min="7" max="7" width="15.54296875" bestFit="1" customWidth="1"/>
    <col min="8" max="8" width="7" bestFit="1" customWidth="1"/>
    <col min="9" max="9" width="22.453125" bestFit="1" customWidth="1"/>
    <col min="10" max="10" width="17.26953125" bestFit="1" customWidth="1"/>
    <col min="11" max="11" width="54.26953125" bestFit="1" customWidth="1"/>
    <col min="12" max="12" width="9.26953125" bestFit="1" customWidth="1"/>
    <col min="13" max="13" width="11.54296875" bestFit="1" customWidth="1"/>
    <col min="14" max="14" width="17.7265625" customWidth="1"/>
  </cols>
  <sheetData>
    <row r="1" spans="1:13" ht="26">
      <c r="A1" s="16" t="s">
        <v>55</v>
      </c>
      <c r="B1" s="16" t="s">
        <v>56</v>
      </c>
      <c r="C1" s="16" t="s">
        <v>57</v>
      </c>
      <c r="D1" s="16" t="s">
        <v>58</v>
      </c>
      <c r="E1" s="16" t="s">
        <v>59</v>
      </c>
      <c r="F1" s="16" t="s">
        <v>60</v>
      </c>
      <c r="G1" s="16" t="s">
        <v>61</v>
      </c>
      <c r="H1" s="16" t="s">
        <v>62</v>
      </c>
      <c r="I1" s="16" t="s">
        <v>63</v>
      </c>
      <c r="J1" s="16" t="s">
        <v>64</v>
      </c>
      <c r="K1" s="16" t="s">
        <v>65</v>
      </c>
      <c r="L1" s="16" t="s">
        <v>66</v>
      </c>
      <c r="M1" s="16" t="s">
        <v>67</v>
      </c>
    </row>
    <row r="2" spans="1:13">
      <c r="A2" t="s">
        <v>68</v>
      </c>
      <c r="B2" t="s">
        <v>69</v>
      </c>
      <c r="C2" t="s">
        <v>70</v>
      </c>
      <c r="D2" s="20">
        <v>5</v>
      </c>
      <c r="E2" s="17">
        <v>45446.525694444441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s="18" t="str">
        <f>HYPERLINK("https://us.assetplanner.com/service_request?ID=85484","SR085484")</f>
        <v>SR085484</v>
      </c>
      <c r="M2" t="s">
        <v>77</v>
      </c>
    </row>
    <row r="3" spans="1:13">
      <c r="A3" t="s">
        <v>68</v>
      </c>
      <c r="B3" t="s">
        <v>69</v>
      </c>
      <c r="C3" t="s">
        <v>78</v>
      </c>
      <c r="D3" t="s">
        <v>79</v>
      </c>
      <c r="E3" s="17">
        <v>45443.593055555553</v>
      </c>
      <c r="F3" t="s">
        <v>80</v>
      </c>
      <c r="G3" t="s">
        <v>72</v>
      </c>
      <c r="H3" t="s">
        <v>73</v>
      </c>
      <c r="I3" t="s">
        <v>74</v>
      </c>
      <c r="J3" t="s">
        <v>81</v>
      </c>
      <c r="K3" t="s">
        <v>76</v>
      </c>
      <c r="L3" s="18" t="str">
        <f>HYPERLINK("https://us.assetplanner.com/service_request?ID=85374","SR085374")</f>
        <v>SR085374</v>
      </c>
      <c r="M3" t="s">
        <v>77</v>
      </c>
    </row>
    <row r="4" spans="1:13">
      <c r="A4" t="s">
        <v>68</v>
      </c>
      <c r="B4" t="s">
        <v>69</v>
      </c>
      <c r="C4" t="s">
        <v>74</v>
      </c>
      <c r="D4" t="s">
        <v>82</v>
      </c>
      <c r="E4" s="17">
        <v>45429.561805555553</v>
      </c>
      <c r="F4" t="s">
        <v>83</v>
      </c>
      <c r="G4" t="s">
        <v>72</v>
      </c>
      <c r="H4" t="s">
        <v>73</v>
      </c>
      <c r="I4" t="s">
        <v>74</v>
      </c>
      <c r="J4" t="s">
        <v>81</v>
      </c>
      <c r="K4" t="s">
        <v>76</v>
      </c>
      <c r="L4" s="18" t="str">
        <f>HYPERLINK("https://us.assetplanner.com/service_request?ID=84811","SR084811")</f>
        <v>SR084811</v>
      </c>
      <c r="M4" t="s">
        <v>77</v>
      </c>
    </row>
    <row r="5" spans="1:13">
      <c r="A5" t="s">
        <v>68</v>
      </c>
      <c r="B5" t="s">
        <v>69</v>
      </c>
      <c r="C5" t="s">
        <v>74</v>
      </c>
      <c r="D5" t="s">
        <v>79</v>
      </c>
      <c r="E5" s="17">
        <v>45429.52847222222</v>
      </c>
      <c r="F5" t="s">
        <v>84</v>
      </c>
      <c r="G5" t="s">
        <v>72</v>
      </c>
      <c r="H5" t="s">
        <v>73</v>
      </c>
      <c r="I5" t="s">
        <v>74</v>
      </c>
      <c r="J5" t="s">
        <v>81</v>
      </c>
      <c r="K5" t="s">
        <v>76</v>
      </c>
      <c r="L5" s="18" t="str">
        <f>HYPERLINK("https://us.assetplanner.com/service_request?ID=84807","SR084807")</f>
        <v>SR084807</v>
      </c>
      <c r="M5" t="s">
        <v>77</v>
      </c>
    </row>
    <row r="6" spans="1:13">
      <c r="A6" t="s">
        <v>68</v>
      </c>
      <c r="B6" t="s">
        <v>69</v>
      </c>
      <c r="C6" t="s">
        <v>74</v>
      </c>
      <c r="D6" t="s">
        <v>82</v>
      </c>
      <c r="E6" s="17">
        <v>45423.568749999999</v>
      </c>
      <c r="F6" t="s">
        <v>85</v>
      </c>
      <c r="G6" t="s">
        <v>72</v>
      </c>
      <c r="H6" t="s">
        <v>73</v>
      </c>
      <c r="I6" t="s">
        <v>74</v>
      </c>
      <c r="J6" t="s">
        <v>81</v>
      </c>
      <c r="K6" t="s">
        <v>86</v>
      </c>
      <c r="L6" s="18" t="str">
        <f>HYPERLINK("https://us.assetplanner.com/service_request?ID=84580","SR084580")</f>
        <v>SR084580</v>
      </c>
      <c r="M6" t="s">
        <v>77</v>
      </c>
    </row>
    <row r="7" spans="1:13">
      <c r="A7" t="s">
        <v>68</v>
      </c>
      <c r="B7" t="s">
        <v>69</v>
      </c>
      <c r="C7" t="s">
        <v>87</v>
      </c>
      <c r="D7" t="s">
        <v>82</v>
      </c>
      <c r="E7" s="17">
        <v>45423.567361111112</v>
      </c>
      <c r="F7" t="s">
        <v>88</v>
      </c>
      <c r="G7" t="s">
        <v>72</v>
      </c>
      <c r="H7" t="s">
        <v>73</v>
      </c>
      <c r="I7" t="s">
        <v>74</v>
      </c>
      <c r="J7" t="s">
        <v>81</v>
      </c>
      <c r="K7" t="s">
        <v>86</v>
      </c>
      <c r="L7" s="18" t="str">
        <f>HYPERLINK("https://us.assetplanner.com/service_request?ID=84579","SR084579")</f>
        <v>SR084579</v>
      </c>
      <c r="M7" t="s">
        <v>77</v>
      </c>
    </row>
    <row r="8" spans="1:13">
      <c r="A8" t="s">
        <v>68</v>
      </c>
      <c r="B8" t="s">
        <v>69</v>
      </c>
      <c r="C8" t="s">
        <v>89</v>
      </c>
      <c r="D8" t="s">
        <v>79</v>
      </c>
      <c r="E8" s="17">
        <v>45401.536805555559</v>
      </c>
      <c r="F8" t="s">
        <v>90</v>
      </c>
      <c r="G8" t="s">
        <v>72</v>
      </c>
      <c r="H8" t="s">
        <v>73</v>
      </c>
      <c r="I8" t="s">
        <v>74</v>
      </c>
      <c r="J8" t="s">
        <v>81</v>
      </c>
      <c r="K8" t="s">
        <v>76</v>
      </c>
      <c r="L8" s="18" t="str">
        <f>HYPERLINK("https://us.assetplanner.com/service_request?ID=83628","SR083628")</f>
        <v>SR083628</v>
      </c>
      <c r="M8" t="s">
        <v>77</v>
      </c>
    </row>
    <row r="9" spans="1:13">
      <c r="A9" t="s">
        <v>68</v>
      </c>
      <c r="B9" t="s">
        <v>69</v>
      </c>
      <c r="C9" t="s">
        <v>91</v>
      </c>
      <c r="D9" t="s">
        <v>82</v>
      </c>
      <c r="E9" s="17">
        <v>45401.535416666666</v>
      </c>
      <c r="F9" t="s">
        <v>92</v>
      </c>
      <c r="G9" t="s">
        <v>72</v>
      </c>
      <c r="H9" t="s">
        <v>73</v>
      </c>
      <c r="I9" t="s">
        <v>74</v>
      </c>
      <c r="J9" t="s">
        <v>81</v>
      </c>
      <c r="K9" t="s">
        <v>76</v>
      </c>
      <c r="L9" s="18" t="str">
        <f>HYPERLINK("https://us.assetplanner.com/service_request?ID=83627","SR083627")</f>
        <v>SR083627</v>
      </c>
      <c r="M9" t="s">
        <v>77</v>
      </c>
    </row>
    <row r="10" spans="1:13">
      <c r="A10" t="s">
        <v>68</v>
      </c>
      <c r="B10" t="s">
        <v>69</v>
      </c>
      <c r="C10" t="s">
        <v>93</v>
      </c>
      <c r="D10" t="s">
        <v>43</v>
      </c>
      <c r="E10" s="17">
        <v>45393.511805555558</v>
      </c>
      <c r="F10" t="s">
        <v>94</v>
      </c>
      <c r="G10" t="s">
        <v>72</v>
      </c>
      <c r="H10" t="s">
        <v>73</v>
      </c>
      <c r="I10" t="s">
        <v>74</v>
      </c>
      <c r="J10" t="s">
        <v>81</v>
      </c>
      <c r="K10" t="s">
        <v>76</v>
      </c>
      <c r="L10" s="18" t="str">
        <f>HYPERLINK("https://us.assetplanner.com/service_request?ID=83331","SR083331")</f>
        <v>SR083331</v>
      </c>
      <c r="M10" t="s">
        <v>77</v>
      </c>
    </row>
    <row r="11" spans="1:13">
      <c r="A11" t="s">
        <v>68</v>
      </c>
      <c r="B11" t="s">
        <v>69</v>
      </c>
      <c r="C11" t="s">
        <v>95</v>
      </c>
      <c r="E11" s="17">
        <v>45392.531944444447</v>
      </c>
      <c r="F11" t="s">
        <v>96</v>
      </c>
      <c r="G11" t="s">
        <v>72</v>
      </c>
      <c r="H11" t="s">
        <v>73</v>
      </c>
      <c r="I11" t="s">
        <v>74</v>
      </c>
      <c r="J11" t="s">
        <v>81</v>
      </c>
      <c r="K11" t="s">
        <v>76</v>
      </c>
      <c r="L11" s="18" t="str">
        <f>HYPERLINK("https://us.assetplanner.com/service_request?ID=83302","SR083302")</f>
        <v>SR083302</v>
      </c>
      <c r="M11" t="s">
        <v>77</v>
      </c>
    </row>
    <row r="12" spans="1:13">
      <c r="A12" t="s">
        <v>68</v>
      </c>
      <c r="B12" t="s">
        <v>69</v>
      </c>
      <c r="C12" t="s">
        <v>97</v>
      </c>
      <c r="D12" s="20">
        <v>14.4</v>
      </c>
      <c r="E12" s="17">
        <v>45355.539583333331</v>
      </c>
      <c r="F12" t="s">
        <v>98</v>
      </c>
      <c r="G12" t="s">
        <v>72</v>
      </c>
      <c r="H12" t="s">
        <v>73</v>
      </c>
      <c r="I12" t="s">
        <v>74</v>
      </c>
      <c r="J12" t="s">
        <v>81</v>
      </c>
      <c r="K12" t="s">
        <v>76</v>
      </c>
      <c r="L12" s="18" t="str">
        <f>HYPERLINK("https://us.assetplanner.com/service_request?ID=81556","SR081556")</f>
        <v>SR081556</v>
      </c>
      <c r="M12" t="s">
        <v>77</v>
      </c>
    </row>
    <row r="13" spans="1:13">
      <c r="A13" t="s">
        <v>68</v>
      </c>
      <c r="B13" t="s">
        <v>69</v>
      </c>
      <c r="C13" t="s">
        <v>99</v>
      </c>
      <c r="D13" s="20">
        <v>76</v>
      </c>
      <c r="E13" s="17">
        <v>45355.538194444445</v>
      </c>
      <c r="F13" t="s">
        <v>100</v>
      </c>
      <c r="G13" t="s">
        <v>72</v>
      </c>
      <c r="H13" t="s">
        <v>73</v>
      </c>
      <c r="I13" t="s">
        <v>74</v>
      </c>
      <c r="J13" t="s">
        <v>81</v>
      </c>
      <c r="K13" t="s">
        <v>76</v>
      </c>
      <c r="L13" s="18" t="str">
        <f>HYPERLINK("https://us.assetplanner.com/service_request?ID=81555","SR081555")</f>
        <v>SR081555</v>
      </c>
      <c r="M13" t="s">
        <v>77</v>
      </c>
    </row>
    <row r="14" spans="1:13">
      <c r="A14" t="s">
        <v>68</v>
      </c>
      <c r="B14" t="s">
        <v>69</v>
      </c>
      <c r="C14" t="s">
        <v>101</v>
      </c>
      <c r="D14" s="20">
        <v>14</v>
      </c>
      <c r="E14" s="17">
        <v>45355.536111111112</v>
      </c>
      <c r="F14" t="s">
        <v>102</v>
      </c>
      <c r="G14" t="s">
        <v>72</v>
      </c>
      <c r="H14" t="s">
        <v>73</v>
      </c>
      <c r="I14" t="s">
        <v>74</v>
      </c>
      <c r="J14" t="s">
        <v>81</v>
      </c>
      <c r="K14" t="s">
        <v>76</v>
      </c>
      <c r="L14" s="18" t="str">
        <f>HYPERLINK("https://us.assetplanner.com/service_request?ID=81554","SR081554")</f>
        <v>SR081554</v>
      </c>
      <c r="M14" t="s">
        <v>77</v>
      </c>
    </row>
    <row r="15" spans="1:13">
      <c r="A15" t="s">
        <v>68</v>
      </c>
      <c r="B15" t="s">
        <v>69</v>
      </c>
      <c r="C15" t="s">
        <v>103</v>
      </c>
      <c r="D15" t="s">
        <v>79</v>
      </c>
      <c r="E15" s="17">
        <v>45342.586111111108</v>
      </c>
      <c r="F15" t="s">
        <v>104</v>
      </c>
      <c r="G15" t="s">
        <v>72</v>
      </c>
      <c r="H15" t="s">
        <v>73</v>
      </c>
      <c r="I15" t="s">
        <v>74</v>
      </c>
      <c r="J15" t="s">
        <v>81</v>
      </c>
      <c r="K15" t="s">
        <v>105</v>
      </c>
      <c r="L15" s="18" t="str">
        <f>HYPERLINK("https://us.assetplanner.com/service_request?ID=81129","SR081129")</f>
        <v>SR081129</v>
      </c>
      <c r="M15" t="s">
        <v>77</v>
      </c>
    </row>
    <row r="16" spans="1:13">
      <c r="A16" t="s">
        <v>68</v>
      </c>
      <c r="B16" t="s">
        <v>69</v>
      </c>
      <c r="C16" t="s">
        <v>106</v>
      </c>
      <c r="D16" t="s">
        <v>43</v>
      </c>
      <c r="E16" s="17">
        <v>45216.152083333334</v>
      </c>
      <c r="F16" t="s">
        <v>107</v>
      </c>
      <c r="G16" t="s">
        <v>72</v>
      </c>
      <c r="H16" t="s">
        <v>73</v>
      </c>
      <c r="I16" t="s">
        <v>74</v>
      </c>
      <c r="J16" t="s">
        <v>81</v>
      </c>
      <c r="K16" t="s">
        <v>76</v>
      </c>
      <c r="L16" s="18" t="str">
        <f>HYPERLINK("https://us.assetplanner.com/service_request?ID=77517","SR077517")</f>
        <v>SR077517</v>
      </c>
      <c r="M16" t="s">
        <v>77</v>
      </c>
    </row>
    <row r="17" spans="1:13">
      <c r="A17" t="s">
        <v>68</v>
      </c>
      <c r="B17" t="s">
        <v>69</v>
      </c>
      <c r="C17" t="s">
        <v>108</v>
      </c>
      <c r="D17" t="s">
        <v>79</v>
      </c>
      <c r="E17" s="17">
        <v>45215.40347222222</v>
      </c>
      <c r="F17" t="s">
        <v>109</v>
      </c>
      <c r="G17" t="s">
        <v>72</v>
      </c>
      <c r="H17" t="s">
        <v>73</v>
      </c>
      <c r="I17" t="s">
        <v>74</v>
      </c>
      <c r="J17" t="s">
        <v>81</v>
      </c>
      <c r="K17" t="s">
        <v>76</v>
      </c>
      <c r="L17" s="18" t="str">
        <f>HYPERLINK("https://us.assetplanner.com/service_request?ID=77488","SR077488")</f>
        <v>SR077488</v>
      </c>
      <c r="M17" t="s">
        <v>77</v>
      </c>
    </row>
    <row r="18" spans="1:13">
      <c r="A18" t="s">
        <v>68</v>
      </c>
      <c r="B18" t="s">
        <v>69</v>
      </c>
      <c r="C18" t="s">
        <v>110</v>
      </c>
      <c r="D18" t="s">
        <v>111</v>
      </c>
      <c r="E18" s="17">
        <v>45204.594444444447</v>
      </c>
      <c r="F18" t="s">
        <v>112</v>
      </c>
      <c r="G18" t="s">
        <v>72</v>
      </c>
      <c r="H18" t="s">
        <v>73</v>
      </c>
      <c r="I18" t="s">
        <v>74</v>
      </c>
      <c r="J18" t="s">
        <v>81</v>
      </c>
      <c r="K18" t="s">
        <v>86</v>
      </c>
      <c r="L18" s="18" t="str">
        <f>HYPERLINK("https://us.assetplanner.com/service_request?ID=77287","SR077287")</f>
        <v>SR077287</v>
      </c>
      <c r="M18" t="s">
        <v>77</v>
      </c>
    </row>
    <row r="19" spans="1:13">
      <c r="A19" t="s">
        <v>68</v>
      </c>
      <c r="B19" t="s">
        <v>69</v>
      </c>
      <c r="C19" t="s">
        <v>113</v>
      </c>
      <c r="D19" s="19">
        <v>12</v>
      </c>
      <c r="E19" s="17">
        <v>45169.620138888888</v>
      </c>
      <c r="F19" t="s">
        <v>114</v>
      </c>
      <c r="G19" t="s">
        <v>72</v>
      </c>
      <c r="H19" t="s">
        <v>73</v>
      </c>
      <c r="I19" t="s">
        <v>74</v>
      </c>
      <c r="J19" t="s">
        <v>81</v>
      </c>
      <c r="K19" t="s">
        <v>76</v>
      </c>
      <c r="L19" s="18" t="str">
        <f>HYPERLINK("https://us.assetplanner.com/service_request?ID=75642","SR075642")</f>
        <v>SR075642</v>
      </c>
      <c r="M19" t="s">
        <v>77</v>
      </c>
    </row>
    <row r="20" spans="1:13">
      <c r="A20" t="s">
        <v>68</v>
      </c>
      <c r="B20" t="s">
        <v>69</v>
      </c>
      <c r="C20" t="s">
        <v>101</v>
      </c>
      <c r="D20" s="20">
        <v>14</v>
      </c>
      <c r="E20" s="17">
        <v>45157.697916666664</v>
      </c>
      <c r="F20" t="s">
        <v>115</v>
      </c>
      <c r="G20" t="s">
        <v>72</v>
      </c>
      <c r="H20" t="s">
        <v>73</v>
      </c>
      <c r="I20" t="s">
        <v>74</v>
      </c>
      <c r="J20" t="s">
        <v>81</v>
      </c>
      <c r="K20" t="s">
        <v>76</v>
      </c>
      <c r="L20" s="18" t="str">
        <f>HYPERLINK("https://us.assetplanner.com/service_request?ID=75268","SR075268")</f>
        <v>SR075268</v>
      </c>
      <c r="M20" t="s">
        <v>77</v>
      </c>
    </row>
    <row r="21" spans="1:13">
      <c r="A21" t="s">
        <v>68</v>
      </c>
      <c r="B21" t="s">
        <v>69</v>
      </c>
      <c r="C21" t="s">
        <v>74</v>
      </c>
      <c r="D21" s="20">
        <v>7.6</v>
      </c>
      <c r="E21" s="17">
        <v>45148.504166666666</v>
      </c>
      <c r="F21" t="s">
        <v>116</v>
      </c>
      <c r="G21" t="s">
        <v>72</v>
      </c>
      <c r="H21" t="s">
        <v>73</v>
      </c>
      <c r="I21" t="s">
        <v>74</v>
      </c>
      <c r="J21" t="s">
        <v>81</v>
      </c>
      <c r="K21" t="s">
        <v>76</v>
      </c>
      <c r="L21" s="18" t="str">
        <f>HYPERLINK("https://us.assetplanner.com/service_request?ID=74960","SR074960")</f>
        <v>SR074960</v>
      </c>
      <c r="M21" t="s">
        <v>77</v>
      </c>
    </row>
    <row r="22" spans="1:13">
      <c r="A22" t="s">
        <v>68</v>
      </c>
      <c r="B22" t="s">
        <v>69</v>
      </c>
      <c r="C22" t="s">
        <v>117</v>
      </c>
      <c r="D22" t="s">
        <v>118</v>
      </c>
      <c r="E22" s="17">
        <v>45147.531944444447</v>
      </c>
      <c r="F22" t="s">
        <v>119</v>
      </c>
      <c r="G22" t="s">
        <v>72</v>
      </c>
      <c r="H22" t="s">
        <v>73</v>
      </c>
      <c r="I22" t="s">
        <v>74</v>
      </c>
      <c r="J22" t="s">
        <v>81</v>
      </c>
      <c r="K22" t="s">
        <v>76</v>
      </c>
      <c r="L22" s="18" t="str">
        <f>HYPERLINK("https://us.assetplanner.com/service_request?ID=74887","SR074887")</f>
        <v>SR074887</v>
      </c>
      <c r="M22" t="s">
        <v>77</v>
      </c>
    </row>
    <row r="23" spans="1:13">
      <c r="A23" t="s">
        <v>68</v>
      </c>
      <c r="B23" t="s">
        <v>69</v>
      </c>
      <c r="C23" t="s">
        <v>120</v>
      </c>
      <c r="D23" t="s">
        <v>43</v>
      </c>
      <c r="E23" s="17">
        <v>45120.525694444441</v>
      </c>
      <c r="F23" t="s">
        <v>121</v>
      </c>
      <c r="G23" t="s">
        <v>72</v>
      </c>
      <c r="H23" t="s">
        <v>73</v>
      </c>
      <c r="I23" t="s">
        <v>74</v>
      </c>
      <c r="J23" t="s">
        <v>81</v>
      </c>
      <c r="K23" t="s">
        <v>86</v>
      </c>
      <c r="L23" s="18" t="str">
        <f>HYPERLINK("https://us.assetplanner.com/service_request?ID=73825","SR073825")</f>
        <v>SR073825</v>
      </c>
      <c r="M23" t="s">
        <v>77</v>
      </c>
    </row>
    <row r="24" spans="1:13">
      <c r="A24" t="s">
        <v>68</v>
      </c>
      <c r="B24" t="s">
        <v>69</v>
      </c>
      <c r="C24" t="s">
        <v>122</v>
      </c>
      <c r="D24" s="19">
        <v>10</v>
      </c>
      <c r="E24" s="17">
        <v>45118.582638888889</v>
      </c>
      <c r="F24" t="s">
        <v>123</v>
      </c>
      <c r="G24" t="s">
        <v>72</v>
      </c>
      <c r="H24" t="s">
        <v>73</v>
      </c>
      <c r="I24" t="s">
        <v>74</v>
      </c>
      <c r="J24" t="s">
        <v>81</v>
      </c>
      <c r="K24" t="s">
        <v>76</v>
      </c>
      <c r="L24" s="18" t="str">
        <f>HYPERLINK("https://us.assetplanner.com/service_request?ID=73743","SR073743")</f>
        <v>SR073743</v>
      </c>
      <c r="M24" t="s">
        <v>77</v>
      </c>
    </row>
    <row r="25" spans="1:13">
      <c r="A25" t="s">
        <v>68</v>
      </c>
      <c r="B25" t="s">
        <v>69</v>
      </c>
      <c r="C25" t="s">
        <v>124</v>
      </c>
      <c r="D25" t="s">
        <v>43</v>
      </c>
      <c r="E25" s="17">
        <v>45114.202777777777</v>
      </c>
      <c r="F25" t="s">
        <v>125</v>
      </c>
      <c r="G25" t="s">
        <v>72</v>
      </c>
      <c r="H25" t="s">
        <v>73</v>
      </c>
      <c r="I25" t="s">
        <v>74</v>
      </c>
      <c r="J25" t="s">
        <v>81</v>
      </c>
      <c r="K25" t="s">
        <v>76</v>
      </c>
      <c r="L25" s="18" t="str">
        <f>HYPERLINK("https://us.assetplanner.com/service_request?ID=73621","SR073621")</f>
        <v>SR073621</v>
      </c>
      <c r="M25" t="s">
        <v>77</v>
      </c>
    </row>
    <row r="26" spans="1:13">
      <c r="A26" t="s">
        <v>68</v>
      </c>
      <c r="B26" t="s">
        <v>69</v>
      </c>
      <c r="C26" t="s">
        <v>126</v>
      </c>
      <c r="D26" t="s">
        <v>82</v>
      </c>
      <c r="E26" s="17">
        <v>45097.622916666667</v>
      </c>
      <c r="F26" t="s">
        <v>127</v>
      </c>
      <c r="G26" t="s">
        <v>72</v>
      </c>
      <c r="H26" t="s">
        <v>73</v>
      </c>
      <c r="I26" t="s">
        <v>74</v>
      </c>
      <c r="J26" t="s">
        <v>81</v>
      </c>
      <c r="K26" t="s">
        <v>86</v>
      </c>
      <c r="L26" s="18" t="str">
        <f>HYPERLINK("https://us.assetplanner.com/service_request?ID=72800","SR072800")</f>
        <v>SR072800</v>
      </c>
      <c r="M26" t="s">
        <v>74</v>
      </c>
    </row>
    <row r="27" spans="1:13">
      <c r="A27" t="s">
        <v>68</v>
      </c>
      <c r="B27" t="s">
        <v>69</v>
      </c>
      <c r="C27" t="s">
        <v>128</v>
      </c>
      <c r="D27" s="20">
        <v>6</v>
      </c>
      <c r="E27" s="17">
        <v>45092.534722222219</v>
      </c>
      <c r="F27" t="s">
        <v>129</v>
      </c>
      <c r="G27" t="s">
        <v>72</v>
      </c>
      <c r="H27" t="s">
        <v>73</v>
      </c>
      <c r="I27" t="s">
        <v>74</v>
      </c>
      <c r="J27" t="s">
        <v>81</v>
      </c>
      <c r="K27" t="s">
        <v>86</v>
      </c>
      <c r="L27" s="18" t="str">
        <f>HYPERLINK("https://us.assetplanner.com/service_request?ID=72700","SR072700")</f>
        <v>SR072700</v>
      </c>
      <c r="M27" t="s">
        <v>77</v>
      </c>
    </row>
    <row r="28" spans="1:13">
      <c r="A28" t="s">
        <v>68</v>
      </c>
      <c r="B28" t="s">
        <v>69</v>
      </c>
      <c r="C28" t="s">
        <v>130</v>
      </c>
      <c r="D28" s="20">
        <v>5</v>
      </c>
      <c r="E28" s="17">
        <v>45079.584027777775</v>
      </c>
      <c r="F28" t="s">
        <v>131</v>
      </c>
      <c r="G28" t="s">
        <v>72</v>
      </c>
      <c r="H28" t="s">
        <v>73</v>
      </c>
      <c r="I28" t="s">
        <v>74</v>
      </c>
      <c r="J28" t="s">
        <v>81</v>
      </c>
      <c r="K28" t="s">
        <v>86</v>
      </c>
      <c r="L28" s="18" t="str">
        <f>HYPERLINK("https://us.assetplanner.com/service_request?ID=72182","SR072182")</f>
        <v>SR072182</v>
      </c>
      <c r="M28" t="s">
        <v>77</v>
      </c>
    </row>
    <row r="29" spans="1:13">
      <c r="A29" t="s">
        <v>68</v>
      </c>
      <c r="B29" t="s">
        <v>69</v>
      </c>
      <c r="C29" t="s">
        <v>99</v>
      </c>
      <c r="D29" t="s">
        <v>118</v>
      </c>
      <c r="E29" s="17">
        <v>45068.599305555559</v>
      </c>
      <c r="F29" t="s">
        <v>132</v>
      </c>
      <c r="G29" t="s">
        <v>72</v>
      </c>
      <c r="H29" t="s">
        <v>73</v>
      </c>
      <c r="I29" t="s">
        <v>74</v>
      </c>
      <c r="J29" t="s">
        <v>81</v>
      </c>
      <c r="K29" t="s">
        <v>76</v>
      </c>
      <c r="L29" s="18" t="str">
        <f>HYPERLINK("https://us.assetplanner.com/service_request?ID=71782","SR071782")</f>
        <v>SR071782</v>
      </c>
      <c r="M29" t="s">
        <v>77</v>
      </c>
    </row>
    <row r="30" spans="1:13">
      <c r="A30" t="s">
        <v>68</v>
      </c>
      <c r="B30" t="s">
        <v>69</v>
      </c>
      <c r="C30" t="s">
        <v>133</v>
      </c>
      <c r="D30" t="s">
        <v>79</v>
      </c>
      <c r="E30" s="17">
        <v>45055.59097222222</v>
      </c>
      <c r="F30" t="s">
        <v>134</v>
      </c>
      <c r="G30" t="s">
        <v>72</v>
      </c>
      <c r="H30" t="s">
        <v>73</v>
      </c>
      <c r="I30" t="s">
        <v>74</v>
      </c>
      <c r="J30" t="s">
        <v>81</v>
      </c>
      <c r="K30" t="s">
        <v>76</v>
      </c>
      <c r="L30" s="18" t="str">
        <f>HYPERLINK("https://us.assetplanner.com/service_request?ID=71467","SR071467")</f>
        <v>SR071467</v>
      </c>
      <c r="M30" t="s">
        <v>77</v>
      </c>
    </row>
    <row r="31" spans="1:13">
      <c r="A31" t="s">
        <v>68</v>
      </c>
      <c r="B31" t="s">
        <v>69</v>
      </c>
      <c r="C31" t="s">
        <v>95</v>
      </c>
      <c r="D31" t="s">
        <v>118</v>
      </c>
      <c r="E31" s="17">
        <v>45046.254861111112</v>
      </c>
      <c r="F31" t="s">
        <v>135</v>
      </c>
      <c r="G31" t="s">
        <v>72</v>
      </c>
      <c r="H31" t="s">
        <v>63</v>
      </c>
      <c r="I31" t="s">
        <v>136</v>
      </c>
      <c r="J31" t="s">
        <v>81</v>
      </c>
      <c r="K31" t="s">
        <v>76</v>
      </c>
      <c r="L31" s="18" t="str">
        <f>HYPERLINK("https://us.assetplanner.com/service_request?ID=71189","SR071189")</f>
        <v>SR071189</v>
      </c>
      <c r="M31" t="s">
        <v>77</v>
      </c>
    </row>
    <row r="32" spans="1:13">
      <c r="A32" t="s">
        <v>68</v>
      </c>
      <c r="B32" t="s">
        <v>69</v>
      </c>
      <c r="C32" t="s">
        <v>137</v>
      </c>
      <c r="D32" t="s">
        <v>118</v>
      </c>
      <c r="E32" s="17">
        <v>45037.523611111108</v>
      </c>
      <c r="F32" t="s">
        <v>138</v>
      </c>
      <c r="G32" t="s">
        <v>72</v>
      </c>
      <c r="H32" t="s">
        <v>63</v>
      </c>
      <c r="I32" t="s">
        <v>74</v>
      </c>
      <c r="J32" t="s">
        <v>81</v>
      </c>
      <c r="K32" t="s">
        <v>76</v>
      </c>
      <c r="L32" s="18" t="str">
        <f>HYPERLINK("https://us.assetplanner.com/service_request?ID=70992","SR070992")</f>
        <v>SR070992</v>
      </c>
      <c r="M32" t="s">
        <v>77</v>
      </c>
    </row>
    <row r="33" spans="1:13">
      <c r="A33" t="s">
        <v>68</v>
      </c>
      <c r="B33" t="s">
        <v>69</v>
      </c>
      <c r="C33" t="s">
        <v>139</v>
      </c>
      <c r="D33" s="20" t="s">
        <v>79</v>
      </c>
      <c r="E33" s="17">
        <v>44929.522916666669</v>
      </c>
      <c r="F33" t="s">
        <v>140</v>
      </c>
      <c r="G33" t="s">
        <v>72</v>
      </c>
      <c r="H33" t="s">
        <v>73</v>
      </c>
      <c r="I33" t="s">
        <v>74</v>
      </c>
      <c r="J33" t="s">
        <v>81</v>
      </c>
      <c r="K33" t="s">
        <v>76</v>
      </c>
      <c r="L33" s="18" t="str">
        <f>HYPERLINK("https://us.assetplanner.com/service_request?ID=68143","SR068143")</f>
        <v>SR068143</v>
      </c>
      <c r="M33" t="s">
        <v>77</v>
      </c>
    </row>
    <row r="34" spans="1:13">
      <c r="A34" t="s">
        <v>54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  <c r="K34" t="s">
        <v>74</v>
      </c>
      <c r="M34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C8229-C676-455B-AEED-300FCF870763}">
  <ds:schemaRefs>
    <ds:schemaRef ds:uri="http://purl.org/dc/terms/"/>
    <ds:schemaRef ds:uri="7f39bfab-6331-41a1-b6d4-5b974a316951"/>
    <ds:schemaRef ds:uri="ddcd8467-55ca-498e-a9f8-86795db5db7a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sharepoint/v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803413A-6E99-49B5-BE41-4BD9385E14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03D670-263D-4FD1-9283-92A0B38DD4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sites</vt:lpstr>
      <vt:lpstr>Open Items</vt:lpstr>
      <vt:lpstr>__bookmark_1</vt:lpstr>
      <vt:lpstr>__bookmark_2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Dufault, Michael</cp:lastModifiedBy>
  <cp:revision/>
  <dcterms:created xsi:type="dcterms:W3CDTF">2024-06-05T08:59:39Z</dcterms:created>
  <dcterms:modified xsi:type="dcterms:W3CDTF">2024-06-14T14:21:53Z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