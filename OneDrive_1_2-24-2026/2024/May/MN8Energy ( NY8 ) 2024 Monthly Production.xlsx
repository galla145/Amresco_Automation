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47" documentId="8_{C5EBC037-584D-44AD-B69B-ABBF811717CD}" xr6:coauthVersionLast="47" xr6:coauthVersionMax="47" xr10:uidLastSave="{C1043BEE-1D40-4616-9BC9-855D637B2457}"/>
  <bookViews>
    <workbookView xWindow="-120" yWindow="-120" windowWidth="29040" windowHeight="15720" tabRatio="866" firstSheet="2" activeTab="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8" l="1"/>
  <c r="G4" i="18"/>
  <c r="C4" i="18"/>
  <c r="G4" i="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G5" i="1"/>
  <c r="G5" i="34" s="1"/>
  <c r="G4" i="34"/>
  <c r="D5" i="34"/>
  <c r="C5" i="34"/>
  <c r="B4" i="34" a="1"/>
  <c r="B4" i="34" s="1"/>
  <c r="A4" i="34" a="1"/>
  <c r="A4" i="34" s="1"/>
  <c r="A1" i="34" a="1"/>
  <c r="A1" i="34" s="1"/>
  <c r="D5" i="30"/>
  <c r="C5" i="30"/>
  <c r="E5" i="30" s="1"/>
  <c r="F5" i="30" s="1"/>
  <c r="D4" i="30"/>
  <c r="C4" i="30"/>
  <c r="E4" i="30" s="1"/>
  <c r="F4" i="30" s="1"/>
  <c r="D5" i="29"/>
  <c r="C5" i="29"/>
  <c r="D4" i="29"/>
  <c r="C4" i="29"/>
  <c r="D5" i="18"/>
  <c r="C5" i="18"/>
  <c r="D4" i="18"/>
  <c r="E4" i="18"/>
  <c r="F4" i="18" s="1"/>
  <c r="B4" i="30" a="1"/>
  <c r="B4" i="30" s="1"/>
  <c r="G2" i="30"/>
  <c r="A1" i="30" a="1"/>
  <c r="A1" i="30" s="1"/>
  <c r="B4" i="29" a="1"/>
  <c r="B4" i="29" s="1"/>
  <c r="A4" i="29" a="1"/>
  <c r="A4" i="29" s="1"/>
  <c r="G2" i="29"/>
  <c r="A1" i="29" a="1"/>
  <c r="A1" i="29" s="1"/>
  <c r="B4" i="18" a="1"/>
  <c r="B4" i="18" s="1"/>
  <c r="A4" i="18" a="1"/>
  <c r="A4" i="18" s="1"/>
  <c r="G2" i="18"/>
  <c r="A1" i="18" a="1"/>
  <c r="A1" i="18" s="1"/>
  <c r="C5" i="1"/>
  <c r="C4" i="1"/>
  <c r="D5" i="1"/>
  <c r="D4" i="1"/>
  <c r="D4" i="34" s="1"/>
  <c r="B4" i="1" a="1"/>
  <c r="B4" i="1" s="1"/>
  <c r="A4" i="1" a="1"/>
  <c r="A4" i="1" s="1"/>
  <c r="A1" i="1" a="1"/>
  <c r="A1" i="1" s="1"/>
  <c r="I5" i="33"/>
  <c r="H5" i="33"/>
  <c r="E5" i="33"/>
  <c r="F5" i="33" s="1"/>
  <c r="H4" i="33"/>
  <c r="I4" i="33" s="1"/>
  <c r="E4" i="33"/>
  <c r="F4" i="33" s="1"/>
  <c r="G2" i="33"/>
  <c r="D2" i="33"/>
  <c r="C2" i="33"/>
  <c r="A1" i="33" a="1"/>
  <c r="A1" i="33" s="1"/>
  <c r="H5" i="32"/>
  <c r="I5" i="32" s="1"/>
  <c r="E5" i="32"/>
  <c r="F5" i="32" s="1"/>
  <c r="H4" i="32"/>
  <c r="I4"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I4" i="28"/>
  <c r="H4" i="28"/>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5" i="26"/>
  <c r="I5" i="26" s="1"/>
  <c r="E5" i="26"/>
  <c r="F5" i="26" s="1"/>
  <c r="H4" i="26"/>
  <c r="I4" i="26" s="1"/>
  <c r="E4" i="26"/>
  <c r="F4" i="26" s="1"/>
  <c r="G2" i="26"/>
  <c r="D2" i="26"/>
  <c r="C2" i="26"/>
  <c r="A1" i="26" a="1"/>
  <c r="A1" i="26" s="1"/>
  <c r="H5" i="19"/>
  <c r="I5" i="19" s="1"/>
  <c r="E5" i="19"/>
  <c r="F5" i="19"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D2" i="18" l="1"/>
  <c r="E5" i="18"/>
  <c r="F5" i="18" s="1"/>
  <c r="D2" i="29"/>
  <c r="E5" i="29"/>
  <c r="F5" i="29"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5" i="34"/>
  <c r="F5" i="34" s="1"/>
  <c r="G2" i="1"/>
  <c r="D2" i="34"/>
  <c r="E5" i="1"/>
  <c r="F5" i="1" s="1"/>
  <c r="H4" i="30"/>
  <c r="I4" i="30" s="1"/>
  <c r="H5" i="30"/>
  <c r="I5" i="30" s="1"/>
  <c r="H4" i="29"/>
  <c r="I4" i="29" s="1"/>
  <c r="H5" i="29"/>
  <c r="I5" i="29" s="1"/>
  <c r="H4" i="18"/>
  <c r="I4" i="18" s="1"/>
  <c r="C4" i="34"/>
  <c r="E4" i="34" s="1"/>
  <c r="F4" i="34" s="1"/>
  <c r="H5" i="18"/>
  <c r="I5" i="18" s="1"/>
  <c r="H5" i="34"/>
  <c r="I5" i="34"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<sst xmlns="http://schemas.openxmlformats.org/spreadsheetml/2006/main" count="259" uniqueCount="68">
  <si>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</si>
  <si>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</si>
  <si>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</si>
  <si>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</si>
  <si>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</si>
  <si>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</si>
  <si>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</si>
  <si>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</si>
  <si>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</si>
  <si>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</si>
  <si>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</si>
  <si>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</si>
  <si>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</si>
  <si>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</si>
  <si>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</si>
  <si>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</si>
  <si>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</si>
  <si>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</si>
  <si>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</si>
  <si>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</si>
  <si>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</si>
  <si>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</si>
  <si>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3.1,4.1 Module 1 and 5.1 module 2 has not started production on 01/09, 01/16, 01/18, 01/19 and 01/31 
2.Inverter module 1.1 offline on 01/19 to 01/22 and started on 01/23 at 12:15</t>
  </si>
  <si>
    <t>1.SR080623, SR080624	
2.SR080390</t>
  </si>
  <si>
    <t>1.Production meter was damaged they had to by pass the meter.
2.Inverter 5.1 module 2 is offfline on 01/17 and started on 01/18 at 10:45
3.Site tripped offlinedue to Utility planned outage on 01/25 at 12:00 and back online 02/01.
Actual energy data is taken from Inverters data since production meter data is not available***</t>
  </si>
  <si>
    <t>1.SR073174
2.SR080283
3.SR080466</t>
  </si>
  <si>
    <t>February Actual v. Expected</t>
  </si>
  <si>
    <t>February Actual v. Forecasted</t>
  </si>
  <si>
    <t>1. Inverter 5.1 module 1 did not start for production and back online at 14:00 on 02/29</t>
  </si>
  <si>
    <t>1. SR081450</t>
  </si>
  <si>
    <t>1. Inverters 6.1 Combiner boxes 1,2,3, 12,18,19,20 were barely producing on 02/09 and and issue resolved due to inverter being powercycled at 14:00. Issue reoccurred on 02/13 and resolved due to inverter being powercycled at 09:00 on 02/14</t>
  </si>
  <si>
    <t>1. SR080883, SR080968</t>
  </si>
  <si>
    <t>March Actual v. Expected</t>
  </si>
  <si>
    <t>March Actual v. Forecasted</t>
  </si>
  <si>
    <t>April Actual v. Expected</t>
  </si>
  <si>
    <t>April Actual v. Forecasted</t>
  </si>
  <si>
    <t>1.Inverter 6.1 module 1 and module 2 tripped offline on 04/06 at 12:15 and came back online on 04/12 at 11:45.
2.AE has set the PPC back to it’s 20Mw limit, because site is producing beyond what is allowed in interconnection agreement. Site is supposed to be capped at 20MW, but produces 22.2MW on sunny days.
3.LM2 pyranometer reporting 0 value</t>
  </si>
  <si>
    <t>1.SR083149
2.SR083699
3.SR079176</t>
  </si>
  <si>
    <t>1.Inverter 6.1 combiner boxes 1, 2, 3, 12, 18, 19, 20  are offline on 04/07 throughout  the day.
2.Inverter 6.1 combiner boxes 4-7 and 13 to 15 are offline on 04/25 and back online on 04/26
3.Inverter 6.1 combiner boxes 1, 2, 3, 12, 18, 19, 20 are offline again on 04/20 at 06:30am and came back online on 04/22 at 02:30pm.
4. Inverter 6.1 combiner boxes 1, 2, 3, 12, 18, 19, 20 are offline again on 04/23 from 06:30am back online at 15:30
5.  Inverter 6.1 combiner boxes 1, 2, 3, 12, 18, 19, 20 are offline again on 04/29 from 06:30am back online at 15:30
6. Production meter was damaged they had to by pass the meter.</t>
  </si>
  <si>
    <t>1. SR083157
2. SR083794
3. SR083961
4. SR083741
5. SR083961
6. SR073174</t>
  </si>
  <si>
    <t>May Actual v. Expected</t>
  </si>
  <si>
    <t>May Actual v. Forecasted</t>
  </si>
  <si>
    <t>1. Inverter 4.1 module 1 and 2 tripped offline on 05/12 at 13:55 and back online on 05/13 at 09:00 am.
2. Inverter 3, Combiner box 3 - String 7 offline from 05/23 to 05/29.</t>
  </si>
  <si>
    <t>1. SR084601
2. SR085088</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</si>
  <si>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</si>
  <si>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</si>
  <si>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</si>
  <si>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</si>
  <si>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</si>
  <si>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</si>
  <si>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</si>
  <si>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</si>
  <si>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</si>
  <si>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</si>
  <si>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</si>
  <si>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</si>
  <si>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</si>
  <si>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</si>
  <si>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</si>
  <si>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MN8 NY8</t>
  </si>
  <si>
    <t>Site DAS Name</t>
  </si>
  <si>
    <t>Update</t>
  </si>
  <si>
    <t>DAS</t>
  </si>
  <si>
    <t>Janis</t>
  </si>
  <si>
    <t>NY</t>
  </si>
  <si>
    <t>AEF</t>
  </si>
  <si>
    <t>PowerTrack</t>
  </si>
  <si>
    <t>Puckett Solar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</si>
</sst>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6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49" fontId="28" fillId="0" borderId="0" xfId="0" applyNumberFormat="1" applyFont="1" applyAlignment="1">
      <alignment horizontal="left" vertical="top" wrapText="1"/>
    </xf>
    <xf numFmtId="0" fontId="34" fillId="40" borderId="0" xfId="0" applyFont="1" applyFill="1" applyAlignment="1">
      <alignment horizontal="center" vertical="center"/>
    </xf>
    <xf numFmtId="49" fontId="28" fillId="0" borderId="0" xfId="0" applyNumberFormat="1" applyFont="1" applyAlignment="1">
      <alignment vertical="top" wrapText="1"/>
    </xf>
    <xf numFmtId="0" fontId="35" fillId="0" borderId="0" xfId="0" applyFont="1"/>
    <xf numFmtId="0" fontId="27" fillId="0" borderId="0" xfId="0" applyFont="1" applyAlignment="1">
      <alignment horizontal="left" vertical="top" wrapText="1"/>
    </xf>
    <xf numFmtId="3" fontId="32" fillId="0" borderId="0" xfId="0" applyNumberFormat="1" applyFont="1"/>
    <xf numFmtId="3" fontId="30" fillId="0" borderId="0" xfId="1" applyNumberFormat="1" applyFont="1" applyAlignment="1">
      <alignment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5" totalsRowShown="0">
  <autoFilter ref="A3:E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C20" sqref="C20"/>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0</v>
      </c>
      <c r="E1" s="62"/>
      <c r="F1" s="62"/>
      <c r="G1" s="60" t="s">
        <v>1</v>
      </c>
      <c r="H1" s="60"/>
      <c r="I1" s="60"/>
    </row>
    <row r="2" spans="1:9" ht="19.5" customHeight="1">
      <c r="A2" s="63" t="s">
        <v>2</v>
      </c>
      <c r="B2" s="63"/>
      <c r="C2" s="5">
        <f>SUM(C4:C80)</f>
        <v>17928646.981454074</v>
      </c>
      <c r="D2" s="5">
        <f>SUM(D4:D80)</f>
        <v>16513386.98</v>
      </c>
      <c r="E2" s="5">
        <f>C2-D2</f>
        <v>1415260.0014540739</v>
      </c>
      <c r="F2" s="6">
        <f>IFERROR(E2/D2, 0)</f>
        <v>8.5703799176277393E-2</v>
      </c>
      <c r="G2" s="5">
        <f>SUM(G4:G80)</f>
        <v>25083402.82</v>
      </c>
      <c r="H2" s="7">
        <f>C2-G2</f>
        <v>-7154755.8385459259</v>
      </c>
      <c r="I2" s="6">
        <f>IFERROR(H2/G2, 0)</f>
        <v>-0.28523864524637593</v>
      </c>
    </row>
    <row r="3" spans="1:9" ht="14.25" customHeight="1">
      <c r="A3" s="8" t="s">
        <v>3</v>
      </c>
      <c r="B3" s="8" t="s">
        <v>4</v>
      </c>
      <c r="C3" s="23" t="s">
        <v>5</v>
      </c>
      <c r="D3" s="34" t="s">
        <v>6</v>
      </c>
      <c r="E3" s="34" t="s">
        <v>7</v>
      </c>
      <c r="F3" s="35" t="s">
        <v>8</v>
      </c>
      <c r="G3" s="36" t="s">
        <v>9</v>
      </c>
      <c r="H3" s="37" t="s">
        <v>7</v>
      </c>
      <c r="I3" s="38" t="s">
        <v>8</v>
      </c>
    </row>
    <row r="4" spans="1:9" ht="15.75">
      <c r="A4" s="12" t="str" cm="1">
        <f t="array" ref="A4:A5">Sites[Site]</f>
        <v>Janis</v>
      </c>
      <c r="B4" s="9" t="str" cm="1">
        <f t="array" ref="B4:B5">Sites[State]</f>
        <v>NY</v>
      </c>
      <c r="C4" s="24">
        <f>SUM('1st Qtr'!C4, '2nd Qtr'!C4, '3rd Qtr'!C4, '4th Qtr'!C4)</f>
        <v>12042399.981454074</v>
      </c>
      <c r="D4" s="13">
        <f>SUM('1st Qtr'!D4, '2nd Qtr'!D4, '3rd Qtr'!D4, '4th Qtr'!D4)</f>
        <v>11954623.58</v>
      </c>
      <c r="E4" s="13">
        <f>IF(AND(ISNUMBER(C4),ISNUMBER(D4)), C4-D4, "")</f>
        <v>87776.401454074308</v>
      </c>
      <c r="F4" s="14">
        <f>IFERROR(E4/D4, "")</f>
        <v>7.3424646846198989E-3</v>
      </c>
      <c r="G4" s="15">
        <f>SUM('1st Qtr'!G4, '2nd Qtr'!G4, '3rd Qtr'!G4, '4th Qtr'!G4)</f>
        <v>12725585.5</v>
      </c>
      <c r="H4" s="15">
        <f>SUM('1st Qtr'!H4, '2nd Qtr'!H4, '3rd Qtr'!H4, '4th Qtr'!H4)</f>
        <v>-683185.51854592608</v>
      </c>
      <c r="I4" s="16">
        <f>IFERROR(H4/G4, "")</f>
        <v>-5.3685979206687669E-2</v>
      </c>
    </row>
    <row r="5" spans="1:9" ht="15.75">
      <c r="A5" s="17" t="str">
        <v>Puckett Solar</v>
      </c>
      <c r="B5" s="10" t="str">
        <v>NY</v>
      </c>
      <c r="C5" s="11">
        <f>SUM(Jan!C5, Feb!C5, Mar!C5)</f>
        <v>5886247</v>
      </c>
      <c r="D5" s="18">
        <f>SUM(Jan!D5, Feb!D5, Mar!D5)</f>
        <v>4558763.4000000004</v>
      </c>
      <c r="E5" s="18">
        <f t="shared" ref="E5" si="0">IF(AND(ISNUMBER(C5),ISNUMBER(D5)), C5-D5, "")</f>
        <v>1327483.5999999996</v>
      </c>
      <c r="F5" s="19">
        <f>IFERROR(E5/D5, "")</f>
        <v>0.29119379171992116</v>
      </c>
      <c r="G5" s="20">
        <f>SUM('1st Qtr'!G5, '2nd Qtr'!G5, '3rd Qtr'!G5, '4th Qtr'!G5)</f>
        <v>12357817.32</v>
      </c>
      <c r="H5" s="20">
        <f>SUM(Jan!H5, Feb!H5, Mar!H5)</f>
        <v>322802</v>
      </c>
      <c r="I5" s="19">
        <f>IFERROR(H5/G5, "")</f>
        <v>2.6121279481739416E-2</v>
      </c>
    </row>
    <row r="6" spans="1:9">
      <c r="A6" s="21"/>
      <c r="B6" s="21"/>
      <c r="C6" s="21"/>
      <c r="D6" s="21"/>
      <c r="E6" s="21"/>
      <c r="F6" s="21"/>
      <c r="G6" s="21"/>
      <c r="H6" s="21"/>
      <c r="I6" s="21"/>
    </row>
    <row r="7" spans="1:9">
      <c r="A7" s="21"/>
      <c r="B7" s="21"/>
      <c r="C7" s="21"/>
      <c r="D7" s="21"/>
      <c r="E7" s="21"/>
      <c r="F7" s="21"/>
      <c r="G7" s="21"/>
      <c r="H7" s="21"/>
      <c r="I7" s="21"/>
    </row>
    <row r="8" spans="1:9">
      <c r="A8" s="21"/>
      <c r="B8" s="21"/>
      <c r="C8" s="21"/>
      <c r="D8" s="21"/>
      <c r="E8" s="21"/>
      <c r="F8" s="21"/>
      <c r="G8" s="21"/>
      <c r="H8" s="21"/>
      <c r="I8" s="21"/>
    </row>
    <row r="9" spans="1:9">
      <c r="A9" s="21"/>
      <c r="B9" s="21"/>
      <c r="C9" s="21"/>
      <c r="D9" s="21"/>
      <c r="E9" s="21"/>
      <c r="F9" s="21"/>
      <c r="G9" s="21"/>
      <c r="H9" s="21"/>
      <c r="I9" s="21"/>
    </row>
    <row r="10" spans="1:9">
      <c r="A10" s="21"/>
      <c r="B10" s="21"/>
      <c r="C10" s="21"/>
      <c r="D10" s="21"/>
      <c r="E10" s="21"/>
      <c r="F10" s="21"/>
      <c r="G10" s="21"/>
      <c r="H10" s="21"/>
      <c r="I10" s="21"/>
    </row>
    <row r="11" spans="1:9">
      <c r="A11" s="21"/>
      <c r="B11" s="21"/>
      <c r="C11" s="21"/>
      <c r="D11" s="21"/>
      <c r="E11" s="21"/>
      <c r="F11" s="21"/>
      <c r="G11" s="21"/>
      <c r="H11" s="21"/>
      <c r="I11" s="21"/>
    </row>
    <row r="12" spans="1:9">
      <c r="A12" s="21"/>
      <c r="B12" s="21"/>
      <c r="C12" s="21"/>
      <c r="D12" s="21"/>
      <c r="E12" s="21"/>
      <c r="F12" s="21"/>
      <c r="G12" s="21"/>
      <c r="H12" s="21"/>
      <c r="I12" s="21"/>
    </row>
    <row r="13" spans="1:9">
      <c r="A13" s="21"/>
      <c r="B13" s="21"/>
      <c r="C13" s="21"/>
      <c r="D13" s="21"/>
      <c r="E13" s="21"/>
      <c r="F13" s="22"/>
      <c r="G13" s="21"/>
      <c r="H13" s="21"/>
      <c r="I13" s="22"/>
    </row>
    <row r="14" spans="1:9">
      <c r="A14" s="21"/>
      <c r="B14" s="21"/>
      <c r="C14" s="21"/>
      <c r="D14" s="21"/>
      <c r="E14" s="21"/>
      <c r="F14" s="22"/>
      <c r="G14" s="21"/>
      <c r="H14" s="21"/>
      <c r="I14" s="22"/>
    </row>
    <row r="15" spans="1:9">
      <c r="A15" s="21"/>
      <c r="B15" s="21"/>
      <c r="C15" s="21"/>
      <c r="D15" s="21"/>
      <c r="E15" s="21"/>
      <c r="F15" s="22"/>
      <c r="G15" s="21"/>
      <c r="H15" s="21"/>
      <c r="I15" s="22"/>
    </row>
    <row r="16" spans="1:9">
      <c r="A16" s="21"/>
      <c r="B16" s="21"/>
      <c r="C16" s="21"/>
      <c r="D16" s="21"/>
      <c r="E16" s="21"/>
      <c r="F16" s="22"/>
      <c r="G16" s="21"/>
      <c r="H16" s="21"/>
      <c r="I16" s="22"/>
    </row>
    <row r="17" spans="1:9">
      <c r="A17" s="21"/>
      <c r="B17" s="21"/>
      <c r="C17" s="21"/>
      <c r="D17" s="21"/>
      <c r="E17" s="21"/>
      <c r="F17" s="22"/>
      <c r="G17" s="21"/>
      <c r="H17" s="21"/>
      <c r="I17" s="22"/>
    </row>
    <row r="18" spans="1:9">
      <c r="A18" s="21"/>
      <c r="B18" s="21"/>
      <c r="C18" s="21"/>
      <c r="D18" s="21"/>
      <c r="E18" s="21"/>
      <c r="F18" s="22"/>
      <c r="G18" s="21"/>
      <c r="H18" s="21"/>
      <c r="I18" s="22"/>
    </row>
    <row r="19" spans="1:9">
      <c r="A19" s="21"/>
      <c r="B19" s="21"/>
      <c r="C19" s="21"/>
      <c r="D19" s="21"/>
      <c r="E19" s="21"/>
      <c r="F19" s="22"/>
      <c r="G19" s="21"/>
      <c r="H19" s="21"/>
      <c r="I19" s="22"/>
    </row>
    <row r="20" spans="1:9">
      <c r="A20" s="21"/>
      <c r="B20" s="21"/>
      <c r="C20" s="21"/>
      <c r="D20" s="21"/>
      <c r="E20" s="21"/>
      <c r="F20" s="22"/>
      <c r="G20" s="21"/>
      <c r="H20" s="21"/>
      <c r="I20" s="22"/>
    </row>
    <row r="21" spans="1:9">
      <c r="A21" s="21"/>
      <c r="B21" s="21"/>
      <c r="C21" s="21"/>
      <c r="D21" s="21"/>
      <c r="E21" s="21"/>
      <c r="F21" s="22"/>
      <c r="G21" s="21"/>
      <c r="H21" s="21"/>
      <c r="I21" s="22"/>
    </row>
    <row r="22" spans="1:9">
      <c r="A22" s="21"/>
      <c r="B22" s="21"/>
      <c r="C22" s="21"/>
      <c r="D22" s="21"/>
      <c r="E22" s="21"/>
      <c r="F22" s="22"/>
      <c r="G22" s="21"/>
      <c r="H22" s="21"/>
      <c r="I22" s="22"/>
    </row>
    <row r="23" spans="1:9">
      <c r="A23" s="21"/>
      <c r="B23" s="21"/>
      <c r="C23" s="21"/>
      <c r="D23" s="21"/>
      <c r="E23" s="21"/>
      <c r="F23" s="22"/>
      <c r="G23" s="21"/>
      <c r="H23" s="21"/>
      <c r="I23" s="22"/>
    </row>
    <row r="24" spans="1:9">
      <c r="A24" s="21"/>
      <c r="B24" s="21"/>
      <c r="C24" s="21"/>
      <c r="D24" s="21"/>
      <c r="E24" s="21"/>
      <c r="F24" s="22"/>
      <c r="G24" s="21"/>
      <c r="H24" s="21"/>
      <c r="I24" s="22"/>
    </row>
    <row r="25" spans="1:9">
      <c r="A25" s="21"/>
      <c r="B25" s="21"/>
      <c r="C25" s="21"/>
      <c r="D25" s="21"/>
      <c r="E25" s="21"/>
      <c r="F25" s="22"/>
      <c r="G25" s="21"/>
      <c r="H25" s="21"/>
      <c r="I25" s="22"/>
    </row>
    <row r="26" spans="1:9">
      <c r="A26" s="21"/>
      <c r="B26" s="21"/>
      <c r="C26" s="21"/>
      <c r="D26" s="21"/>
      <c r="E26" s="21"/>
      <c r="F26" s="22"/>
      <c r="G26" s="21"/>
      <c r="H26" s="21"/>
      <c r="I26" s="22"/>
    </row>
    <row r="27" spans="1:9">
      <c r="A27" s="21"/>
      <c r="B27" s="21"/>
      <c r="C27" s="21"/>
      <c r="D27" s="21"/>
      <c r="E27" s="21"/>
      <c r="F27" s="22"/>
      <c r="G27" s="21"/>
      <c r="H27" s="21"/>
      <c r="I27" s="22"/>
    </row>
    <row r="28" spans="1:9">
      <c r="A28" s="21"/>
      <c r="B28" s="21"/>
      <c r="C28" s="21"/>
      <c r="D28" s="21"/>
      <c r="E28" s="21"/>
      <c r="F28" s="22"/>
      <c r="G28" s="21"/>
      <c r="H28" s="21"/>
      <c r="I28" s="22"/>
    </row>
    <row r="29" spans="1:9">
      <c r="A29" s="21"/>
      <c r="B29" s="21"/>
      <c r="C29" s="21"/>
      <c r="D29" s="21"/>
      <c r="E29" s="21"/>
      <c r="F29" s="22"/>
      <c r="G29" s="21"/>
      <c r="H29" s="21"/>
      <c r="I29" s="22"/>
    </row>
    <row r="30" spans="1:9">
      <c r="A30" s="21"/>
      <c r="B30" s="21"/>
      <c r="C30" s="21"/>
      <c r="D30" s="21"/>
      <c r="E30" s="21"/>
      <c r="F30" s="22"/>
      <c r="G30" s="21"/>
      <c r="H30" s="21"/>
      <c r="I30" s="22"/>
    </row>
    <row r="31" spans="1:9">
      <c r="A31" s="21"/>
      <c r="B31" s="21"/>
      <c r="C31" s="21"/>
      <c r="D31" s="21"/>
      <c r="E31" s="21"/>
      <c r="F31" s="22"/>
      <c r="G31" s="21"/>
      <c r="H31" s="21"/>
      <c r="I31" s="22"/>
    </row>
    <row r="32" spans="1:9">
      <c r="A32" s="21"/>
      <c r="B32" s="21"/>
      <c r="C32" s="21"/>
      <c r="D32" s="21"/>
      <c r="E32" s="21"/>
      <c r="F32" s="22"/>
      <c r="G32" s="21"/>
      <c r="H32" s="21"/>
      <c r="I32" s="22"/>
    </row>
    <row r="33" spans="1:9">
      <c r="A33" s="21"/>
      <c r="B33" s="21"/>
      <c r="C33" s="21"/>
      <c r="D33" s="21"/>
      <c r="E33" s="21"/>
      <c r="F33" s="22"/>
      <c r="G33" s="21"/>
      <c r="H33" s="21"/>
      <c r="I33" s="22"/>
    </row>
    <row r="34" spans="1:9">
      <c r="A34" s="21"/>
      <c r="B34" s="21"/>
      <c r="C34" s="21"/>
      <c r="D34" s="21"/>
      <c r="E34" s="21"/>
      <c r="F34" s="22"/>
      <c r="G34" s="21"/>
      <c r="H34" s="21"/>
      <c r="I34" s="22"/>
    </row>
    <row r="35" spans="1:9">
      <c r="A35" s="21"/>
      <c r="B35" s="21"/>
      <c r="C35" s="21"/>
      <c r="D35" s="21"/>
      <c r="E35" s="21"/>
      <c r="F35" s="22"/>
      <c r="G35" s="21"/>
      <c r="H35" s="21"/>
      <c r="I35" s="22"/>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sheetData>
  <autoFilter ref="A2:I2" xr:uid="{D5C25034-9971-4A61-864F-C938F31EB1B8}"/>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G4" sqref="G4"/>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10</v>
      </c>
      <c r="E1" s="62"/>
      <c r="F1" s="62"/>
      <c r="G1" s="60" t="s">
        <v>11</v>
      </c>
      <c r="H1" s="60"/>
      <c r="I1" s="60"/>
    </row>
    <row r="2" spans="1:9" ht="19.5" customHeight="1">
      <c r="A2" s="63" t="s">
        <v>2</v>
      </c>
      <c r="B2" s="63"/>
      <c r="C2" s="5">
        <f>SUM(C4:C80)</f>
        <v>11520955.941454073</v>
      </c>
      <c r="D2" s="5">
        <f>SUM(D4:D80)</f>
        <v>10438513.4</v>
      </c>
      <c r="E2" s="5">
        <f>C2-D2</f>
        <v>1082442.541454073</v>
      </c>
      <c r="F2" s="6">
        <f>IFERROR(E2/D2, 0)</f>
        <v>0.10369700166827137</v>
      </c>
      <c r="G2" s="5">
        <f>SUM(G4:G80)</f>
        <v>11714693</v>
      </c>
      <c r="H2" s="7">
        <f>C2-G2</f>
        <v>-193737.05854592659</v>
      </c>
      <c r="I2" s="6">
        <f>IFERROR(H2/G2, 0)</f>
        <v>-1.6537954391628237E-2</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SUM(Jan!C4, Feb!C4, Mar!C4)</f>
        <v>5634708.9414540734</v>
      </c>
      <c r="D4" s="13">
        <f>SUM(Jan!D4, Feb!D4, Mar!D4)</f>
        <v>5879750</v>
      </c>
      <c r="E4" s="13">
        <f>IF(AND(ISNUMBER(C4),ISNUMBER(D4)), C4-D4, "")</f>
        <v>-245041.05854592659</v>
      </c>
      <c r="F4" s="14">
        <f>IFERROR(E4/D4, "")</f>
        <v>-4.1675421326744601E-2</v>
      </c>
      <c r="G4" s="15">
        <f>SUM(Jan!G4, Feb!G4, Mar!G4)</f>
        <v>6151248</v>
      </c>
      <c r="H4" s="15">
        <f>SUM(Jan!H4, Feb!H4, Mar!H4)</f>
        <v>-516539.05854592612</v>
      </c>
      <c r="I4" s="16">
        <f>IFERROR(H4/G4, "")</f>
        <v>-8.3973050435606905E-2</v>
      </c>
    </row>
    <row r="5" spans="1:9" ht="15.75">
      <c r="A5" s="49" t="str">
        <v>Puckett Solar</v>
      </c>
      <c r="B5" s="10" t="str">
        <v>NY</v>
      </c>
      <c r="C5" s="11">
        <f>SUM(Jan!C5, Feb!C5, Mar!C5)</f>
        <v>5886247</v>
      </c>
      <c r="D5" s="18">
        <f>SUM(Jan!D5, Feb!D5, Mar!D5)</f>
        <v>4558763.4000000004</v>
      </c>
      <c r="E5" s="18">
        <f t="shared" ref="E5" si="0">IF(AND(ISNUMBER(C5),ISNUMBER(D5)), C5-D5, "")</f>
        <v>1327483.5999999996</v>
      </c>
      <c r="F5" s="19">
        <f>IFERROR(E5/D5, "")</f>
        <v>0.29119379171992116</v>
      </c>
      <c r="G5" s="20">
        <f>SUM(Jan!G5, Feb!G5, Mar!G5)</f>
        <v>5563445</v>
      </c>
      <c r="H5" s="20">
        <f>SUM(Jan!H5, Feb!H5, Mar!H5)</f>
        <v>322802</v>
      </c>
      <c r="I5" s="19">
        <f>IFERROR(H5/G5, "")</f>
        <v>5.8021963010329032E-2</v>
      </c>
    </row>
    <row r="6" spans="1:9" ht="15">
      <c r="A6" s="21"/>
      <c r="B6" s="10"/>
      <c r="C6" s="21"/>
      <c r="D6" s="21"/>
      <c r="E6" s="21"/>
      <c r="F6" s="21"/>
      <c r="G6" s="21"/>
      <c r="H6" s="21"/>
      <c r="I6" s="21"/>
    </row>
    <row r="7" spans="1:9">
      <c r="A7" s="21"/>
      <c r="B7" s="21"/>
      <c r="C7" s="21"/>
      <c r="D7" s="21"/>
      <c r="E7" s="21"/>
      <c r="F7" s="21"/>
      <c r="G7" s="21"/>
      <c r="H7" s="21"/>
      <c r="I7" s="21"/>
    </row>
    <row r="8" spans="1:9">
      <c r="A8" s="21"/>
      <c r="B8" s="21"/>
      <c r="C8" s="21"/>
      <c r="D8" s="21"/>
      <c r="E8" s="21"/>
      <c r="F8" s="21"/>
      <c r="G8" s="21"/>
      <c r="H8" s="21"/>
      <c r="I8" s="21"/>
    </row>
    <row r="9" spans="1:9">
      <c r="A9" s="21"/>
      <c r="B9" s="21"/>
      <c r="C9" s="21"/>
      <c r="D9" s="21"/>
      <c r="E9" s="21"/>
      <c r="F9" s="21"/>
      <c r="G9" s="21"/>
      <c r="H9" s="21"/>
      <c r="I9" s="21"/>
    </row>
    <row r="10" spans="1:9">
      <c r="A10" s="21"/>
      <c r="B10" s="21"/>
      <c r="C10" s="21"/>
      <c r="D10" s="21"/>
      <c r="E10" s="21"/>
      <c r="F10" s="21"/>
      <c r="G10" s="21"/>
      <c r="H10" s="21"/>
      <c r="I10" s="21"/>
    </row>
    <row r="11" spans="1:9">
      <c r="A11" s="21"/>
      <c r="B11" s="21"/>
      <c r="C11" s="21"/>
      <c r="D11" s="21"/>
      <c r="E11" s="21"/>
      <c r="F11" s="21"/>
      <c r="G11" s="21"/>
      <c r="H11" s="21"/>
      <c r="I11" s="21"/>
    </row>
    <row r="12" spans="1:9">
      <c r="A12" s="21"/>
      <c r="B12" s="21"/>
      <c r="C12" s="21"/>
      <c r="D12" s="21"/>
      <c r="E12" s="21"/>
      <c r="F12" s="21"/>
      <c r="G12" s="21"/>
      <c r="H12" s="21"/>
      <c r="I12" s="21"/>
    </row>
    <row r="13" spans="1:9">
      <c r="A13" s="21"/>
      <c r="B13" s="21"/>
      <c r="C13" s="21"/>
      <c r="D13" s="21"/>
      <c r="E13" s="21"/>
      <c r="F13" s="22"/>
      <c r="G13" s="21"/>
      <c r="H13" s="21"/>
      <c r="I13" s="22"/>
    </row>
    <row r="14" spans="1:9">
      <c r="A14" s="21"/>
      <c r="B14" s="21"/>
      <c r="C14" s="21"/>
      <c r="D14" s="21"/>
      <c r="E14" s="21"/>
      <c r="F14" s="22"/>
      <c r="G14" s="21"/>
      <c r="H14" s="21"/>
      <c r="I14" s="22"/>
    </row>
    <row r="15" spans="1:9">
      <c r="A15" s="21"/>
      <c r="B15" s="21"/>
      <c r="C15" s="21"/>
      <c r="D15" s="21"/>
      <c r="E15" s="21"/>
      <c r="F15" s="22"/>
      <c r="G15" s="21"/>
      <c r="H15" s="21"/>
      <c r="I15" s="22"/>
    </row>
    <row r="16" spans="1:9">
      <c r="A16" s="21"/>
      <c r="B16" s="21"/>
      <c r="C16" s="21"/>
      <c r="D16" s="21"/>
      <c r="E16" s="21"/>
      <c r="F16" s="22"/>
      <c r="G16" s="21"/>
      <c r="H16" s="21"/>
      <c r="I16" s="22"/>
    </row>
    <row r="17" spans="1:9">
      <c r="A17" s="21"/>
      <c r="B17" s="21"/>
      <c r="C17" s="21"/>
      <c r="D17" s="21"/>
      <c r="E17" s="21"/>
      <c r="F17" s="22"/>
      <c r="G17" s="21"/>
      <c r="H17" s="21"/>
      <c r="I17" s="22"/>
    </row>
    <row r="18" spans="1:9">
      <c r="A18" s="21"/>
      <c r="B18" s="21"/>
      <c r="C18" s="21"/>
      <c r="D18" s="21"/>
      <c r="E18" s="21"/>
      <c r="F18" s="22"/>
      <c r="G18" s="21"/>
      <c r="H18" s="21"/>
      <c r="I18" s="22"/>
    </row>
    <row r="19" spans="1:9">
      <c r="A19" s="21"/>
      <c r="B19" s="21"/>
      <c r="C19" s="21"/>
      <c r="D19" s="21"/>
      <c r="E19" s="21"/>
      <c r="F19" s="22"/>
      <c r="G19" s="21"/>
      <c r="H19" s="21"/>
      <c r="I19" s="22"/>
    </row>
    <row r="20" spans="1:9">
      <c r="A20" s="21"/>
      <c r="B20" s="21"/>
      <c r="C20" s="21"/>
      <c r="D20" s="21"/>
      <c r="E20" s="21"/>
      <c r="F20" s="22"/>
      <c r="G20" s="21"/>
      <c r="H20" s="21"/>
      <c r="I20" s="22"/>
    </row>
    <row r="21" spans="1:9">
      <c r="A21" s="21"/>
      <c r="B21" s="21"/>
      <c r="C21" s="21"/>
      <c r="D21" s="21"/>
      <c r="E21" s="21"/>
      <c r="F21" s="22"/>
      <c r="G21" s="21"/>
      <c r="H21" s="21"/>
      <c r="I21" s="22"/>
    </row>
    <row r="22" spans="1:9">
      <c r="A22" s="21"/>
      <c r="B22" s="21"/>
      <c r="C22" s="21"/>
      <c r="D22" s="21"/>
      <c r="E22" s="21"/>
      <c r="F22" s="22"/>
      <c r="G22" s="21"/>
      <c r="H22" s="21"/>
      <c r="I22" s="22"/>
    </row>
    <row r="23" spans="1:9">
      <c r="A23" s="21"/>
      <c r="B23" s="21"/>
      <c r="C23" s="21"/>
      <c r="D23" s="21"/>
      <c r="E23" s="21"/>
      <c r="F23" s="22"/>
      <c r="G23" s="21"/>
      <c r="H23" s="21"/>
      <c r="I23" s="22"/>
    </row>
    <row r="24" spans="1:9">
      <c r="A24" s="21"/>
      <c r="B24" s="21"/>
      <c r="C24" s="21"/>
      <c r="D24" s="21"/>
      <c r="E24" s="21"/>
      <c r="F24" s="22"/>
      <c r="G24" s="21"/>
      <c r="H24" s="21"/>
      <c r="I24" s="22"/>
    </row>
    <row r="25" spans="1:9">
      <c r="A25" s="21"/>
      <c r="B25" s="21"/>
      <c r="C25" s="21"/>
      <c r="D25" s="21"/>
      <c r="E25" s="21"/>
      <c r="F25" s="22"/>
      <c r="G25" s="21"/>
      <c r="H25" s="21"/>
      <c r="I25" s="22"/>
    </row>
    <row r="26" spans="1:9">
      <c r="A26" s="21"/>
      <c r="B26" s="21"/>
      <c r="C26" s="21"/>
      <c r="D26" s="21"/>
      <c r="E26" s="21"/>
      <c r="F26" s="22"/>
      <c r="G26" s="21"/>
      <c r="H26" s="21"/>
      <c r="I26" s="22"/>
    </row>
    <row r="27" spans="1:9">
      <c r="A27" s="21"/>
      <c r="B27" s="21"/>
      <c r="C27" s="21"/>
      <c r="D27" s="21"/>
      <c r="E27" s="21"/>
      <c r="F27" s="22"/>
      <c r="G27" s="21"/>
      <c r="H27" s="21"/>
      <c r="I27" s="22"/>
    </row>
    <row r="28" spans="1:9">
      <c r="A28" s="21"/>
      <c r="B28" s="21"/>
      <c r="C28" s="21"/>
      <c r="D28" s="21"/>
      <c r="E28" s="21"/>
      <c r="F28" s="22"/>
      <c r="G28" s="21"/>
      <c r="H28" s="21"/>
      <c r="I28" s="22"/>
    </row>
    <row r="29" spans="1:9">
      <c r="A29" s="21"/>
      <c r="B29" s="21"/>
      <c r="C29" s="21"/>
      <c r="D29" s="21"/>
      <c r="E29" s="21"/>
      <c r="F29" s="22"/>
      <c r="G29" s="21"/>
      <c r="H29" s="21"/>
      <c r="I29" s="22"/>
    </row>
    <row r="30" spans="1:9">
      <c r="A30" s="21"/>
      <c r="B30" s="21"/>
      <c r="C30" s="21"/>
      <c r="D30" s="21"/>
      <c r="E30" s="21"/>
      <c r="F30" s="22"/>
      <c r="G30" s="21"/>
      <c r="H30" s="21"/>
      <c r="I30" s="22"/>
    </row>
    <row r="31" spans="1:9">
      <c r="A31" s="21"/>
      <c r="B31" s="21"/>
      <c r="C31" s="21"/>
      <c r="D31" s="21"/>
      <c r="E31" s="21"/>
      <c r="F31" s="22"/>
      <c r="G31" s="21"/>
      <c r="H31" s="21"/>
      <c r="I31" s="22"/>
    </row>
    <row r="32" spans="1:9">
      <c r="A32" s="21"/>
      <c r="B32" s="21"/>
      <c r="C32" s="21"/>
      <c r="D32" s="21"/>
      <c r="E32" s="21"/>
      <c r="F32" s="22"/>
      <c r="G32" s="21"/>
      <c r="H32" s="21"/>
      <c r="I32" s="22"/>
    </row>
    <row r="33" spans="1:9">
      <c r="A33" s="21"/>
      <c r="B33" s="21"/>
      <c r="C33" s="21"/>
      <c r="D33" s="21"/>
      <c r="E33" s="21"/>
      <c r="F33" s="22"/>
      <c r="G33" s="21"/>
      <c r="H33" s="21"/>
      <c r="I33" s="22"/>
    </row>
    <row r="34" spans="1:9">
      <c r="A34" s="21"/>
      <c r="B34" s="21"/>
      <c r="C34" s="21"/>
      <c r="D34" s="21"/>
      <c r="E34" s="21"/>
      <c r="F34" s="22"/>
      <c r="G34" s="21"/>
      <c r="H34" s="21"/>
      <c r="I34" s="22"/>
    </row>
    <row r="35" spans="1:9">
      <c r="A35" s="21"/>
      <c r="B35" s="21"/>
      <c r="C35" s="21"/>
      <c r="D35" s="21"/>
      <c r="E35" s="21"/>
      <c r="F35" s="22"/>
      <c r="G35" s="21"/>
      <c r="H35" s="21"/>
      <c r="I35" s="22"/>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tabSelected="1" workbookViewId="0">
      <pane xSplit="2" ySplit="3" topLeftCell="C13" activePane="bottomRight" state="frozen"/>
      <selection pane="bottomRight" activeCell="I21" sqref="I21"/>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12</v>
      </c>
      <c r="E1" s="62"/>
      <c r="F1" s="62"/>
      <c r="G1" s="60" t="s">
        <v>13</v>
      </c>
      <c r="H1" s="60"/>
      <c r="I1" s="60"/>
    </row>
    <row r="2" spans="1:9" ht="19.5" customHeight="1">
      <c r="A2" s="63" t="s">
        <v>2</v>
      </c>
      <c r="B2" s="63"/>
      <c r="C2" s="5">
        <f>SUM(C4:C80)</f>
        <v>12771653.039999999</v>
      </c>
      <c r="D2" s="5">
        <f>SUM(D4:D80)</f>
        <v>12180535.629999999</v>
      </c>
      <c r="E2" s="5">
        <f>C2-D2</f>
        <v>591117.41000000015</v>
      </c>
      <c r="F2" s="6">
        <f>IFERROR(E2/D2, 0)</f>
        <v>4.852967291061569E-2</v>
      </c>
      <c r="G2" s="5">
        <f>SUM(G4:G80)</f>
        <v>13368709.82</v>
      </c>
      <c r="H2" s="7">
        <f>C2-G2</f>
        <v>-597056.78000000119</v>
      </c>
      <c r="I2" s="6">
        <f>IFERROR(H2/G2, 0)</f>
        <v>-4.4660762933666637E-2</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SUM(Apr!C4, May!C4, Jun!C4)</f>
        <v>6407691.04</v>
      </c>
      <c r="D4" s="13">
        <f>SUM(Apr!D4, May!D4, Jun!D4)</f>
        <v>6074873.5800000001</v>
      </c>
      <c r="E4" s="13">
        <f>IF(AND(ISNUMBER(C4),ISNUMBER(D4)), C4-D4, "")</f>
        <v>332817.45999999996</v>
      </c>
      <c r="F4" s="14">
        <f>IFERROR(E4/D4, "")</f>
        <v>5.4785907166153731E-2</v>
      </c>
      <c r="G4" s="15">
        <f>SUM(Apr!G4+May!G4+Jun!G4)</f>
        <v>6574337.5</v>
      </c>
      <c r="H4" s="15">
        <f>SUM(Apr!H4, May!H4, Jun!H4)</f>
        <v>-166646.45999999996</v>
      </c>
      <c r="I4" s="16">
        <f>IFERROR(H4/G4, "")</f>
        <v>-2.534802327991223E-2</v>
      </c>
    </row>
    <row r="5" spans="1:9" ht="15.75">
      <c r="A5" s="49" t="str">
        <v>Puckett Solar</v>
      </c>
      <c r="B5" s="10" t="str">
        <v>NY</v>
      </c>
      <c r="C5" s="11">
        <f>SUM(Apr!C5, May!C5, Jun!C5)</f>
        <v>6363962</v>
      </c>
      <c r="D5" s="18">
        <f>SUM(Apr!D5, May!D5, Jun!D5)</f>
        <v>6105662.0499999998</v>
      </c>
      <c r="E5" s="18">
        <f t="shared" ref="E5" si="0">IF(AND(ISNUMBER(C5),ISNUMBER(D5)), C5-D5, "")</f>
        <v>258299.95000000019</v>
      </c>
      <c r="F5" s="19">
        <f>IFERROR(E5/D5, "")</f>
        <v>4.2304986401925107E-2</v>
      </c>
      <c r="G5" s="59">
        <f>SUM(Apr!G5+May!G5+Jun!G5)</f>
        <v>6794372.3200000003</v>
      </c>
      <c r="H5" s="20">
        <f>SUM(Apr!H5, May!H5, Jun!H5)</f>
        <v>-430410.31999999983</v>
      </c>
      <c r="I5" s="19">
        <f>IFERROR(H5/G5, "")</f>
        <v>-6.3348062150353254E-2</v>
      </c>
    </row>
    <row r="6" spans="1:9">
      <c r="A6" s="21"/>
      <c r="B6" s="21"/>
      <c r="C6" s="21"/>
      <c r="D6" s="21"/>
      <c r="E6" s="21"/>
      <c r="F6" s="21"/>
      <c r="G6" s="21"/>
      <c r="H6" s="21"/>
      <c r="I6" s="21"/>
    </row>
    <row r="7" spans="1:9">
      <c r="A7" s="21"/>
      <c r="B7" s="21"/>
      <c r="C7" s="21"/>
      <c r="D7" s="21"/>
      <c r="E7" s="21"/>
      <c r="F7" s="21"/>
      <c r="G7" s="21"/>
      <c r="H7" s="21"/>
      <c r="I7" s="21"/>
    </row>
    <row r="8" spans="1:9">
      <c r="A8" s="21"/>
      <c r="B8" s="21"/>
      <c r="C8" s="21"/>
      <c r="D8" s="21"/>
      <c r="E8" s="21"/>
      <c r="F8" s="21"/>
      <c r="G8" s="21"/>
      <c r="H8" s="21"/>
      <c r="I8" s="21"/>
    </row>
    <row r="9" spans="1:9">
      <c r="A9" s="21"/>
      <c r="B9" s="21"/>
      <c r="C9" s="21"/>
      <c r="D9" s="21"/>
      <c r="E9" s="21"/>
      <c r="F9" s="58"/>
      <c r="G9" s="21"/>
      <c r="H9" s="21"/>
      <c r="I9" s="21"/>
    </row>
    <row r="10" spans="1:9">
      <c r="A10" s="21"/>
      <c r="B10" s="21"/>
      <c r="C10" s="21"/>
      <c r="D10" s="21"/>
      <c r="E10" s="21"/>
      <c r="F10" s="21"/>
      <c r="G10" s="21"/>
      <c r="H10" s="21"/>
      <c r="I10" s="21"/>
    </row>
    <row r="11" spans="1:9">
      <c r="A11" s="21"/>
      <c r="B11" s="21"/>
      <c r="C11" s="21"/>
      <c r="D11" s="21"/>
      <c r="E11" s="21"/>
      <c r="F11" s="21"/>
      <c r="G11" s="21"/>
      <c r="H11" s="21"/>
      <c r="I11" s="21"/>
    </row>
    <row r="12" spans="1:9">
      <c r="A12" s="21"/>
      <c r="B12" s="21"/>
      <c r="C12" s="21"/>
      <c r="D12" s="21"/>
      <c r="E12" s="21"/>
      <c r="F12" s="21"/>
      <c r="G12" s="21"/>
      <c r="H12" s="21"/>
      <c r="I12" s="21"/>
    </row>
    <row r="13" spans="1:9">
      <c r="A13" s="21"/>
      <c r="B13" s="21"/>
      <c r="C13" s="21"/>
      <c r="D13" s="21"/>
      <c r="E13" s="21"/>
      <c r="F13" s="22"/>
      <c r="G13" s="21"/>
      <c r="H13" s="21"/>
      <c r="I13" s="22"/>
    </row>
    <row r="14" spans="1:9">
      <c r="A14" s="21"/>
      <c r="B14" s="21"/>
      <c r="C14" s="21"/>
      <c r="D14" s="21"/>
      <c r="E14" s="21"/>
      <c r="F14" s="22"/>
      <c r="G14" s="21"/>
      <c r="H14" s="21"/>
      <c r="I14" s="22"/>
    </row>
    <row r="15" spans="1:9">
      <c r="A15" s="21"/>
      <c r="B15" s="21"/>
      <c r="C15" s="21"/>
      <c r="D15" s="21"/>
      <c r="E15" s="21"/>
      <c r="F15" s="22"/>
      <c r="G15" s="21"/>
      <c r="H15" s="21"/>
      <c r="I15" s="22"/>
    </row>
    <row r="16" spans="1:9">
      <c r="A16" s="21"/>
      <c r="B16" s="21"/>
      <c r="C16" s="21"/>
      <c r="D16" s="21"/>
      <c r="E16" s="21"/>
      <c r="F16" s="22"/>
      <c r="G16" s="21"/>
      <c r="H16" s="21"/>
      <c r="I16" s="22"/>
    </row>
    <row r="17" spans="1:9">
      <c r="A17" s="21"/>
      <c r="B17" s="21"/>
      <c r="C17" s="21"/>
      <c r="D17" s="21"/>
      <c r="E17" s="21"/>
      <c r="F17" s="22"/>
      <c r="G17" s="21"/>
      <c r="H17" s="21"/>
      <c r="I17" s="22"/>
    </row>
    <row r="18" spans="1:9">
      <c r="A18" s="21"/>
      <c r="B18" s="21"/>
      <c r="C18" s="21"/>
      <c r="D18" s="21"/>
      <c r="E18" s="21"/>
      <c r="F18" s="22"/>
      <c r="G18" s="21"/>
      <c r="H18" s="21"/>
      <c r="I18" s="22"/>
    </row>
    <row r="19" spans="1:9">
      <c r="A19" s="21"/>
      <c r="B19" s="21"/>
      <c r="C19" s="21"/>
      <c r="D19" s="21"/>
      <c r="E19" s="21"/>
      <c r="F19" s="22"/>
      <c r="G19" s="21"/>
      <c r="H19" s="21"/>
      <c r="I19" s="22"/>
    </row>
    <row r="20" spans="1:9">
      <c r="A20" s="21"/>
      <c r="B20" s="21"/>
      <c r="C20" s="21"/>
      <c r="D20" s="21"/>
      <c r="E20" s="21"/>
      <c r="F20" s="22"/>
      <c r="G20" s="21"/>
      <c r="H20" s="21"/>
      <c r="I20" s="22"/>
    </row>
    <row r="21" spans="1:9">
      <c r="A21" s="21"/>
      <c r="B21" s="21"/>
      <c r="C21" s="21"/>
      <c r="D21" s="21"/>
      <c r="E21" s="21"/>
      <c r="F21" s="22"/>
      <c r="G21" s="21"/>
      <c r="H21" s="21"/>
      <c r="I21" s="22"/>
    </row>
    <row r="22" spans="1:9">
      <c r="A22" s="21"/>
      <c r="B22" s="21"/>
      <c r="C22" s="21"/>
      <c r="D22" s="21"/>
      <c r="E22" s="21"/>
      <c r="F22" s="22"/>
      <c r="G22" s="21"/>
      <c r="H22" s="21"/>
      <c r="I22" s="22"/>
    </row>
    <row r="23" spans="1:9">
      <c r="A23" s="21"/>
      <c r="B23" s="21"/>
      <c r="C23" s="21"/>
      <c r="D23" s="21"/>
      <c r="E23" s="21"/>
      <c r="F23" s="22"/>
      <c r="G23" s="21"/>
      <c r="H23" s="21"/>
      <c r="I23" s="22"/>
    </row>
    <row r="24" spans="1:9">
      <c r="A24" s="21"/>
      <c r="B24" s="21"/>
      <c r="C24" s="21"/>
      <c r="D24" s="21"/>
      <c r="E24" s="21"/>
      <c r="F24" s="22"/>
      <c r="G24" s="21"/>
      <c r="H24" s="21"/>
      <c r="I24" s="22"/>
    </row>
    <row r="25" spans="1:9">
      <c r="A25" s="21"/>
      <c r="B25" s="21"/>
      <c r="C25" s="21"/>
      <c r="D25" s="21"/>
      <c r="E25" s="21"/>
      <c r="F25" s="22"/>
      <c r="G25" s="21"/>
      <c r="H25" s="21"/>
      <c r="I25" s="22"/>
    </row>
    <row r="26" spans="1:9">
      <c r="A26" s="21"/>
      <c r="B26" s="21"/>
      <c r="C26" s="21"/>
      <c r="D26" s="21"/>
      <c r="E26" s="21"/>
      <c r="F26" s="22"/>
      <c r="G26" s="21"/>
      <c r="H26" s="21"/>
      <c r="I26" s="22"/>
    </row>
    <row r="27" spans="1:9">
      <c r="A27" s="21"/>
      <c r="B27" s="21"/>
      <c r="C27" s="21"/>
      <c r="D27" s="21"/>
      <c r="E27" s="21"/>
      <c r="F27" s="22"/>
      <c r="G27" s="21"/>
      <c r="H27" s="21"/>
      <c r="I27" s="22"/>
    </row>
    <row r="28" spans="1:9">
      <c r="A28" s="21"/>
      <c r="B28" s="21"/>
      <c r="C28" s="21"/>
      <c r="D28" s="21"/>
      <c r="E28" s="21"/>
      <c r="F28" s="22"/>
      <c r="G28" s="21"/>
      <c r="H28" s="21"/>
      <c r="I28" s="22"/>
    </row>
    <row r="29" spans="1:9">
      <c r="A29" s="21"/>
      <c r="B29" s="21"/>
      <c r="C29" s="21"/>
      <c r="D29" s="21"/>
      <c r="E29" s="21"/>
      <c r="F29" s="22"/>
      <c r="G29" s="21"/>
      <c r="H29" s="21"/>
      <c r="I29" s="22"/>
    </row>
    <row r="30" spans="1:9">
      <c r="A30" s="21"/>
      <c r="B30" s="21"/>
      <c r="C30" s="21"/>
      <c r="D30" s="21"/>
      <c r="E30" s="21"/>
      <c r="F30" s="22"/>
      <c r="G30" s="21"/>
      <c r="H30" s="21"/>
      <c r="I30" s="22"/>
    </row>
    <row r="31" spans="1:9">
      <c r="A31" s="21"/>
      <c r="B31" s="21"/>
      <c r="C31" s="21"/>
      <c r="D31" s="21"/>
      <c r="E31" s="21"/>
      <c r="F31" s="22"/>
      <c r="G31" s="21"/>
      <c r="H31" s="21"/>
      <c r="I31" s="22"/>
    </row>
    <row r="32" spans="1:9">
      <c r="A32" s="21"/>
      <c r="B32" s="21"/>
      <c r="C32" s="21"/>
      <c r="D32" s="21"/>
      <c r="E32" s="21"/>
      <c r="F32" s="22"/>
      <c r="G32" s="21"/>
      <c r="H32" s="21"/>
      <c r="I32" s="22"/>
    </row>
    <row r="33" spans="1:9">
      <c r="A33" s="21"/>
      <c r="B33" s="21"/>
      <c r="C33" s="21"/>
      <c r="D33" s="21"/>
      <c r="E33" s="21"/>
      <c r="F33" s="22"/>
      <c r="G33" s="21"/>
      <c r="H33" s="21"/>
      <c r="I33" s="22"/>
    </row>
    <row r="34" spans="1:9">
      <c r="A34" s="21"/>
      <c r="B34" s="21"/>
      <c r="C34" s="21"/>
      <c r="D34" s="21"/>
      <c r="E34" s="21"/>
      <c r="F34" s="22"/>
      <c r="G34" s="21"/>
      <c r="H34" s="21"/>
      <c r="I34" s="22"/>
    </row>
    <row r="35" spans="1:9">
      <c r="A35" s="21"/>
      <c r="B35" s="21"/>
      <c r="C35" s="21"/>
      <c r="D35" s="21"/>
      <c r="E35" s="21"/>
      <c r="F35" s="22"/>
      <c r="G35" s="21"/>
      <c r="H35" s="21"/>
      <c r="I35" s="22"/>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G4" sqref="G4"/>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14</v>
      </c>
      <c r="E1" s="62"/>
      <c r="F1" s="62"/>
      <c r="G1" s="60" t="s">
        <v>15</v>
      </c>
      <c r="H1" s="60"/>
      <c r="I1" s="60"/>
    </row>
    <row r="2" spans="1:9" ht="19.5" customHeight="1">
      <c r="A2" s="63" t="s">
        <v>2</v>
      </c>
      <c r="B2" s="63"/>
      <c r="C2" s="5">
        <f>SUM(C4:C80)</f>
        <v>0</v>
      </c>
      <c r="D2" s="5">
        <f>SUM(D4:D80)</f>
        <v>0</v>
      </c>
      <c r="E2" s="5">
        <f>C2-D2</f>
        <v>0</v>
      </c>
      <c r="F2" s="6">
        <f>IFERROR(E2/D2, 0)</f>
        <v>0</v>
      </c>
      <c r="G2" s="5">
        <f>SUM(G4:G80)</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SUM(Jul!C4, Aug!C4, Sep!C4)</f>
        <v>0</v>
      </c>
      <c r="D4" s="13">
        <f>SUM(Jul!D4, Aug!D4, Sep!D4)</f>
        <v>0</v>
      </c>
      <c r="E4" s="13">
        <f>IF(AND(ISNUMBER(C4),ISNUMBER(D4)), C4-D4, "")</f>
        <v>0</v>
      </c>
      <c r="F4" s="14" t="str">
        <f>IFERROR(E4/D4, "")</f>
        <v/>
      </c>
      <c r="G4" s="15"/>
      <c r="H4" s="15">
        <f>SUM(Jul!H4, Aug!H4, Sep!H4)</f>
        <v>0</v>
      </c>
      <c r="I4" s="16" t="str">
        <f>IFERROR(H4/G4, "")</f>
        <v/>
      </c>
    </row>
    <row r="5" spans="1:9" ht="15.75">
      <c r="A5" s="49" t="str">
        <v>Puckett Solar</v>
      </c>
      <c r="B5" s="10" t="str">
        <v>NY</v>
      </c>
      <c r="C5" s="11">
        <f>SUM(Jul!C5, Aug!C5, Sep!C5)</f>
        <v>0</v>
      </c>
      <c r="D5" s="18">
        <f>SUM(Jul!D5, Aug!D5, Sep!D5)</f>
        <v>0</v>
      </c>
      <c r="E5" s="18">
        <f t="shared" ref="E5" si="0">IF(AND(ISNUMBER(C5),ISNUMBER(D5)), C5-D5, "")</f>
        <v>0</v>
      </c>
      <c r="F5" s="19" t="str">
        <f>IFERROR(E5/D5, "")</f>
        <v/>
      </c>
      <c r="G5" s="20"/>
      <c r="H5" s="20">
        <f>SUM(Jul!H5, Aug!H5, Sep!H5)</f>
        <v>0</v>
      </c>
      <c r="I5" s="19" t="str">
        <f>IFERROR(H5/G5, "")</f>
        <v/>
      </c>
    </row>
    <row r="6" spans="1:9" ht="15.75">
      <c r="A6" s="17"/>
      <c r="B6" s="21"/>
      <c r="C6" s="21"/>
      <c r="D6" s="21"/>
      <c r="E6" s="21"/>
      <c r="F6" s="21"/>
      <c r="G6" s="21"/>
      <c r="H6" s="21"/>
      <c r="I6" s="21"/>
    </row>
    <row r="7" spans="1:9" ht="15.75">
      <c r="A7" s="17"/>
      <c r="B7" s="21"/>
      <c r="C7" s="21"/>
      <c r="D7" s="21"/>
      <c r="E7" s="21"/>
      <c r="F7" s="21"/>
      <c r="G7" s="21"/>
      <c r="H7" s="21"/>
      <c r="I7" s="21"/>
    </row>
    <row r="8" spans="1:9" ht="15.75">
      <c r="A8" s="17"/>
      <c r="B8" s="21"/>
      <c r="C8" s="21"/>
      <c r="D8" s="21"/>
      <c r="E8" s="21"/>
      <c r="F8" s="21"/>
      <c r="G8" s="21"/>
      <c r="H8" s="21"/>
      <c r="I8" s="21"/>
    </row>
    <row r="9" spans="1:9" ht="15.75">
      <c r="A9" s="17"/>
      <c r="B9" s="21"/>
      <c r="C9" s="21"/>
      <c r="D9" s="21"/>
      <c r="E9" s="21"/>
      <c r="F9" s="21"/>
      <c r="G9" s="21"/>
      <c r="H9" s="21"/>
      <c r="I9" s="21"/>
    </row>
    <row r="10" spans="1:9" ht="15.75">
      <c r="A10" s="17"/>
      <c r="B10" s="21"/>
      <c r="C10" s="21"/>
      <c r="D10" s="21"/>
      <c r="E10" s="21"/>
      <c r="F10" s="21"/>
      <c r="G10" s="21"/>
      <c r="H10" s="21"/>
      <c r="I10" s="21"/>
    </row>
    <row r="11" spans="1:9" ht="15.75">
      <c r="A11" s="17"/>
      <c r="B11" s="21"/>
      <c r="C11" s="21"/>
      <c r="D11" s="21"/>
      <c r="E11" s="21"/>
      <c r="F11" s="21"/>
      <c r="G11" s="21"/>
      <c r="H11" s="21"/>
      <c r="I11" s="21"/>
    </row>
    <row r="12" spans="1:9">
      <c r="A12" s="21"/>
      <c r="B12" s="21"/>
      <c r="C12" s="21"/>
      <c r="D12" s="21"/>
      <c r="E12" s="21"/>
      <c r="F12" s="21"/>
      <c r="G12" s="21"/>
      <c r="H12" s="21"/>
      <c r="I12" s="21"/>
    </row>
    <row r="13" spans="1:9">
      <c r="A13" s="21"/>
      <c r="B13" s="21"/>
      <c r="C13" s="21"/>
      <c r="D13" s="21"/>
      <c r="E13" s="21"/>
      <c r="F13" s="22"/>
      <c r="G13" s="21"/>
      <c r="H13" s="21"/>
      <c r="I13" s="22"/>
    </row>
    <row r="14" spans="1:9">
      <c r="A14" s="21"/>
      <c r="B14" s="21"/>
      <c r="C14" s="21"/>
      <c r="D14" s="21"/>
      <c r="E14" s="21"/>
      <c r="F14" s="22"/>
      <c r="G14" s="21"/>
      <c r="H14" s="21"/>
      <c r="I14" s="22"/>
    </row>
    <row r="15" spans="1:9">
      <c r="A15" s="21"/>
      <c r="B15" s="21"/>
      <c r="C15" s="21"/>
      <c r="D15" s="21"/>
      <c r="E15" s="21"/>
      <c r="F15" s="22"/>
      <c r="G15" s="21"/>
      <c r="H15" s="21"/>
      <c r="I15" s="22"/>
    </row>
    <row r="16" spans="1:9">
      <c r="A16" s="21"/>
      <c r="B16" s="21"/>
      <c r="C16" s="21"/>
      <c r="D16" s="21"/>
      <c r="E16" s="21"/>
      <c r="F16" s="22"/>
      <c r="G16" s="21"/>
      <c r="H16" s="21"/>
      <c r="I16" s="22"/>
    </row>
    <row r="17" spans="1:9">
      <c r="A17" s="21"/>
      <c r="B17" s="21"/>
      <c r="C17" s="21"/>
      <c r="D17" s="21"/>
      <c r="E17" s="21"/>
      <c r="F17" s="22"/>
      <c r="G17" s="21"/>
      <c r="H17" s="21"/>
      <c r="I17" s="22"/>
    </row>
    <row r="18" spans="1:9">
      <c r="A18" s="21"/>
      <c r="B18" s="21"/>
      <c r="C18" s="21"/>
      <c r="D18" s="21"/>
      <c r="E18" s="21"/>
      <c r="F18" s="22"/>
      <c r="G18" s="21"/>
      <c r="H18" s="21"/>
      <c r="I18" s="22"/>
    </row>
    <row r="19" spans="1:9">
      <c r="A19" s="21"/>
      <c r="B19" s="21"/>
      <c r="C19" s="21"/>
      <c r="D19" s="21"/>
      <c r="E19" s="21"/>
      <c r="F19" s="22"/>
      <c r="G19" s="21"/>
      <c r="H19" s="21"/>
      <c r="I19" s="22"/>
    </row>
    <row r="20" spans="1:9">
      <c r="A20" s="21"/>
      <c r="B20" s="21"/>
      <c r="C20" s="21"/>
      <c r="D20" s="21"/>
      <c r="E20" s="21"/>
      <c r="F20" s="22"/>
      <c r="G20" s="21"/>
      <c r="H20" s="21"/>
      <c r="I20" s="22"/>
    </row>
    <row r="21" spans="1:9">
      <c r="A21" s="21"/>
      <c r="B21" s="21"/>
      <c r="C21" s="21"/>
      <c r="D21" s="21"/>
      <c r="E21" s="21"/>
      <c r="F21" s="22"/>
      <c r="G21" s="21"/>
      <c r="H21" s="21"/>
      <c r="I21" s="22"/>
    </row>
    <row r="22" spans="1:9">
      <c r="A22" s="21"/>
      <c r="B22" s="21"/>
      <c r="C22" s="21"/>
      <c r="D22" s="21"/>
      <c r="E22" s="21"/>
      <c r="F22" s="22"/>
      <c r="G22" s="21"/>
      <c r="H22" s="21"/>
      <c r="I22" s="22"/>
    </row>
    <row r="23" spans="1:9">
      <c r="A23" s="21"/>
      <c r="B23" s="21"/>
      <c r="C23" s="21"/>
      <c r="D23" s="21"/>
      <c r="E23" s="21"/>
      <c r="F23" s="22"/>
      <c r="G23" s="21"/>
      <c r="H23" s="21"/>
      <c r="I23" s="22"/>
    </row>
    <row r="24" spans="1:9">
      <c r="A24" s="21"/>
      <c r="B24" s="21"/>
      <c r="C24" s="21"/>
      <c r="D24" s="21"/>
      <c r="E24" s="21"/>
      <c r="F24" s="22"/>
      <c r="G24" s="21"/>
      <c r="H24" s="21"/>
      <c r="I24" s="22"/>
    </row>
    <row r="25" spans="1:9">
      <c r="A25" s="21"/>
      <c r="B25" s="21"/>
      <c r="C25" s="21"/>
      <c r="D25" s="21"/>
      <c r="E25" s="21"/>
      <c r="F25" s="22"/>
      <c r="G25" s="21"/>
      <c r="H25" s="21"/>
      <c r="I25" s="22"/>
    </row>
    <row r="26" spans="1:9">
      <c r="A26" s="21"/>
      <c r="B26" s="21"/>
      <c r="C26" s="21"/>
      <c r="D26" s="21"/>
      <c r="E26" s="21"/>
      <c r="F26" s="22"/>
      <c r="G26" s="21"/>
      <c r="H26" s="21"/>
      <c r="I26" s="22"/>
    </row>
    <row r="27" spans="1:9">
      <c r="A27" s="21"/>
      <c r="B27" s="21"/>
      <c r="C27" s="21"/>
      <c r="D27" s="21"/>
      <c r="E27" s="21"/>
      <c r="F27" s="22"/>
      <c r="G27" s="21"/>
      <c r="H27" s="21"/>
      <c r="I27" s="22"/>
    </row>
    <row r="28" spans="1:9">
      <c r="A28" s="21"/>
      <c r="B28" s="21"/>
      <c r="C28" s="21"/>
      <c r="D28" s="21"/>
      <c r="E28" s="21"/>
      <c r="F28" s="22"/>
      <c r="G28" s="21"/>
      <c r="H28" s="21"/>
      <c r="I28" s="22"/>
    </row>
    <row r="29" spans="1:9">
      <c r="A29" s="21"/>
      <c r="B29" s="21"/>
      <c r="C29" s="21"/>
      <c r="D29" s="21"/>
      <c r="E29" s="21"/>
      <c r="F29" s="22"/>
      <c r="G29" s="21"/>
      <c r="H29" s="21"/>
      <c r="I29" s="22"/>
    </row>
    <row r="30" spans="1:9">
      <c r="A30" s="21"/>
      <c r="B30" s="21"/>
      <c r="C30" s="21"/>
      <c r="D30" s="21"/>
      <c r="E30" s="21"/>
      <c r="F30" s="22"/>
      <c r="G30" s="21"/>
      <c r="H30" s="21"/>
      <c r="I30" s="22"/>
    </row>
    <row r="31" spans="1:9">
      <c r="A31" s="21"/>
      <c r="B31" s="21"/>
      <c r="C31" s="21"/>
      <c r="D31" s="21"/>
      <c r="E31" s="21"/>
      <c r="F31" s="22"/>
      <c r="G31" s="21"/>
      <c r="H31" s="21"/>
      <c r="I31" s="22"/>
    </row>
    <row r="32" spans="1:9">
      <c r="A32" s="21"/>
      <c r="B32" s="21"/>
      <c r="C32" s="21"/>
      <c r="D32" s="21"/>
      <c r="E32" s="21"/>
      <c r="F32" s="22"/>
      <c r="G32" s="21"/>
      <c r="H32" s="21"/>
      <c r="I32" s="22"/>
    </row>
    <row r="33" spans="1:9">
      <c r="A33" s="21"/>
      <c r="B33" s="21"/>
      <c r="C33" s="21"/>
      <c r="D33" s="21"/>
      <c r="E33" s="21"/>
      <c r="F33" s="22"/>
      <c r="G33" s="21"/>
      <c r="H33" s="21"/>
      <c r="I33" s="22"/>
    </row>
    <row r="34" spans="1:9">
      <c r="A34" s="21"/>
      <c r="B34" s="21"/>
      <c r="C34" s="21"/>
      <c r="D34" s="21"/>
      <c r="E34" s="21"/>
      <c r="F34" s="22"/>
      <c r="G34" s="21"/>
      <c r="H34" s="21"/>
      <c r="I34" s="22"/>
    </row>
    <row r="35" spans="1:9">
      <c r="A35" s="21"/>
      <c r="B35" s="21"/>
      <c r="C35" s="21"/>
      <c r="D35" s="21"/>
      <c r="E35" s="21"/>
      <c r="F35" s="22"/>
      <c r="G35" s="21"/>
      <c r="H35" s="21"/>
      <c r="I35" s="22"/>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16</v>
      </c>
      <c r="E1" s="62"/>
      <c r="F1" s="62"/>
      <c r="G1" s="60" t="s">
        <v>17</v>
      </c>
      <c r="H1" s="60"/>
      <c r="I1" s="60"/>
    </row>
    <row r="2" spans="1:9" ht="19.5" customHeight="1">
      <c r="A2" s="63" t="s">
        <v>2</v>
      </c>
      <c r="B2" s="63"/>
      <c r="C2" s="5">
        <f>SUM(C4:C80)</f>
        <v>0</v>
      </c>
      <c r="D2" s="5">
        <f>SUM(D4:D80)</f>
        <v>0</v>
      </c>
      <c r="E2" s="5">
        <f>C2-D2</f>
        <v>0</v>
      </c>
      <c r="F2" s="6">
        <f>IFERROR(E2/D2, 0)</f>
        <v>0</v>
      </c>
      <c r="G2" s="5">
        <f>SUM(G4:G80)</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SUM(Oct!C4, Nov!C4, Dec!C4)</f>
        <v>0</v>
      </c>
      <c r="D4" s="13">
        <f>SUM(Oct!D4, Nov!D4, Dec!D4)</f>
        <v>0</v>
      </c>
      <c r="E4" s="13">
        <f>IF(AND(ISNUMBER(C4),ISNUMBER(D4)), C4-D4, "")</f>
        <v>0</v>
      </c>
      <c r="F4" s="14" t="str">
        <f>IFERROR(E4/D4, "")</f>
        <v/>
      </c>
      <c r="G4" s="15"/>
      <c r="H4" s="15">
        <f>SUM(Oct!H4, Nov!H4, Dec!H4)</f>
        <v>0</v>
      </c>
      <c r="I4" s="16" t="str">
        <f>IFERROR(H4/G4, "")</f>
        <v/>
      </c>
    </row>
    <row r="5" spans="1:9" ht="15.75">
      <c r="A5" s="49" t="str">
        <v>Puckett Solar</v>
      </c>
      <c r="B5" s="10" t="str">
        <v>NY</v>
      </c>
      <c r="C5" s="11">
        <f>SUM(Oct!C5, Nov!C5, Dec!C5)</f>
        <v>0</v>
      </c>
      <c r="D5" s="18">
        <f>SUM(Oct!D5, Nov!D5, Dec!D5)</f>
        <v>0</v>
      </c>
      <c r="E5" s="18">
        <f t="shared" ref="E5" si="0">IF(AND(ISNUMBER(C5),ISNUMBER(D5)), C5-D5, "")</f>
        <v>0</v>
      </c>
      <c r="F5" s="19" t="str">
        <f>IFERROR(E5/D5, "")</f>
        <v/>
      </c>
      <c r="G5" s="20"/>
      <c r="H5" s="20">
        <f>SUM(Oct!H5, Nov!H5, Dec!H5)</f>
        <v>0</v>
      </c>
      <c r="I5" s="19" t="str">
        <f>IFERROR(H5/G5, "")</f>
        <v/>
      </c>
    </row>
    <row r="6" spans="1:9" ht="15.75">
      <c r="A6" s="17"/>
      <c r="B6" s="10"/>
      <c r="C6" s="45"/>
      <c r="D6" s="18"/>
      <c r="E6" s="18"/>
      <c r="F6" s="19"/>
      <c r="G6" s="20"/>
      <c r="H6" s="20"/>
      <c r="I6" s="19"/>
    </row>
    <row r="7" spans="1:9" ht="15">
      <c r="A7" s="21"/>
      <c r="B7" s="10"/>
      <c r="C7" s="45"/>
      <c r="D7" s="18"/>
      <c r="E7" s="18"/>
      <c r="F7" s="19"/>
      <c r="G7" s="20"/>
      <c r="H7" s="20"/>
      <c r="I7" s="19"/>
    </row>
    <row r="8" spans="1:9" ht="15">
      <c r="A8" s="21"/>
      <c r="B8" s="10"/>
      <c r="C8" s="45"/>
      <c r="D8" s="18"/>
      <c r="E8" s="18"/>
      <c r="F8" s="19"/>
      <c r="G8" s="20"/>
      <c r="H8" s="20"/>
      <c r="I8" s="19"/>
    </row>
    <row r="9" spans="1:9" ht="15">
      <c r="A9" s="21"/>
      <c r="B9" s="10"/>
      <c r="C9" s="45"/>
      <c r="D9" s="18"/>
      <c r="E9" s="18"/>
      <c r="F9" s="19"/>
      <c r="G9" s="20"/>
      <c r="H9" s="20"/>
      <c r="I9" s="19"/>
    </row>
    <row r="10" spans="1:9" ht="15">
      <c r="A10" s="21"/>
      <c r="B10" s="10"/>
      <c r="C10" s="45"/>
      <c r="D10" s="18"/>
      <c r="E10" s="18"/>
      <c r="F10" s="19"/>
      <c r="G10" s="20"/>
      <c r="H10" s="20"/>
      <c r="I10" s="19"/>
    </row>
    <row r="11" spans="1:9">
      <c r="A11" s="21"/>
      <c r="B11" s="21"/>
      <c r="C11" s="21"/>
      <c r="D11" s="21"/>
      <c r="E11" s="21"/>
      <c r="F11" s="21"/>
      <c r="G11" s="21"/>
      <c r="H11" s="21"/>
      <c r="I11" s="21"/>
    </row>
    <row r="12" spans="1:9">
      <c r="A12" s="21"/>
      <c r="B12" s="21"/>
      <c r="C12" s="21"/>
      <c r="D12" s="21"/>
      <c r="E12" s="21"/>
      <c r="F12" s="21"/>
      <c r="G12" s="21"/>
      <c r="H12" s="21"/>
      <c r="I12" s="21"/>
    </row>
    <row r="13" spans="1:9">
      <c r="A13" s="21"/>
      <c r="B13" s="21"/>
      <c r="C13" s="21"/>
      <c r="D13" s="21"/>
      <c r="E13" s="21"/>
      <c r="F13" s="22"/>
      <c r="G13" s="21"/>
      <c r="H13" s="21"/>
      <c r="I13" s="22"/>
    </row>
    <row r="14" spans="1:9">
      <c r="A14" s="21"/>
      <c r="B14" s="21"/>
      <c r="C14" s="21"/>
      <c r="D14" s="21"/>
      <c r="E14" s="21"/>
      <c r="F14" s="22"/>
      <c r="G14" s="21"/>
      <c r="H14" s="21"/>
      <c r="I14" s="22"/>
    </row>
    <row r="15" spans="1:9">
      <c r="A15" s="21"/>
      <c r="B15" s="21"/>
      <c r="C15" s="21"/>
      <c r="D15" s="21"/>
      <c r="E15" s="21"/>
      <c r="F15" s="22"/>
      <c r="G15" s="21"/>
      <c r="H15" s="21"/>
      <c r="I15" s="22"/>
    </row>
    <row r="16" spans="1:9">
      <c r="A16" s="21"/>
      <c r="B16" s="21"/>
      <c r="C16" s="21"/>
      <c r="D16" s="21"/>
      <c r="E16" s="21"/>
      <c r="F16" s="22"/>
      <c r="G16" s="21"/>
      <c r="H16" s="21"/>
      <c r="I16" s="22"/>
    </row>
    <row r="17" spans="1:9">
      <c r="A17" s="21"/>
      <c r="B17" s="21"/>
      <c r="C17" s="21"/>
      <c r="D17" s="21"/>
      <c r="E17" s="21"/>
      <c r="F17" s="22"/>
      <c r="G17" s="21"/>
      <c r="H17" s="21"/>
      <c r="I17" s="22"/>
    </row>
    <row r="18" spans="1:9">
      <c r="A18" s="21"/>
      <c r="B18" s="21"/>
      <c r="C18" s="21"/>
      <c r="D18" s="21"/>
      <c r="E18" s="21"/>
      <c r="F18" s="22"/>
      <c r="G18" s="21"/>
      <c r="H18" s="21"/>
      <c r="I18" s="22"/>
    </row>
    <row r="19" spans="1:9">
      <c r="A19" s="21"/>
      <c r="B19" s="21"/>
      <c r="C19" s="21"/>
      <c r="D19" s="21"/>
      <c r="E19" s="21"/>
      <c r="F19" s="22"/>
      <c r="G19" s="21"/>
      <c r="H19" s="21"/>
      <c r="I19" s="22"/>
    </row>
    <row r="20" spans="1:9">
      <c r="A20" s="21"/>
      <c r="B20" s="21"/>
      <c r="C20" s="21"/>
      <c r="D20" s="21"/>
      <c r="E20" s="21"/>
      <c r="F20" s="22"/>
      <c r="G20" s="21"/>
      <c r="H20" s="21"/>
      <c r="I20" s="22"/>
    </row>
    <row r="21" spans="1:9">
      <c r="A21" s="21"/>
      <c r="B21" s="21"/>
      <c r="C21" s="21"/>
      <c r="D21" s="21"/>
      <c r="E21" s="21"/>
      <c r="F21" s="22"/>
      <c r="G21" s="21"/>
      <c r="H21" s="21"/>
      <c r="I21" s="22"/>
    </row>
    <row r="22" spans="1:9">
      <c r="A22" s="21"/>
      <c r="B22" s="21"/>
      <c r="C22" s="21"/>
      <c r="D22" s="21"/>
      <c r="E22" s="21"/>
      <c r="F22" s="22"/>
      <c r="G22" s="21"/>
      <c r="H22" s="21"/>
      <c r="I22" s="22"/>
    </row>
    <row r="23" spans="1:9">
      <c r="A23" s="21"/>
      <c r="B23" s="21"/>
      <c r="C23" s="21"/>
      <c r="D23" s="21"/>
      <c r="E23" s="21"/>
      <c r="F23" s="22"/>
      <c r="G23" s="21"/>
      <c r="H23" s="21"/>
      <c r="I23" s="22"/>
    </row>
    <row r="24" spans="1:9">
      <c r="A24" s="21"/>
      <c r="B24" s="21"/>
      <c r="C24" s="21"/>
      <c r="D24" s="21"/>
      <c r="E24" s="21"/>
      <c r="F24" s="22"/>
      <c r="G24" s="21"/>
      <c r="H24" s="21"/>
      <c r="I24" s="22"/>
    </row>
    <row r="25" spans="1:9">
      <c r="A25" s="21"/>
      <c r="B25" s="21"/>
      <c r="C25" s="21"/>
      <c r="D25" s="21"/>
      <c r="E25" s="21"/>
      <c r="F25" s="22"/>
      <c r="G25" s="21"/>
      <c r="H25" s="21"/>
      <c r="I25" s="22"/>
    </row>
    <row r="26" spans="1:9">
      <c r="A26" s="21"/>
      <c r="B26" s="21"/>
      <c r="C26" s="21"/>
      <c r="D26" s="21"/>
      <c r="E26" s="21"/>
      <c r="F26" s="22"/>
      <c r="G26" s="21"/>
      <c r="H26" s="21"/>
      <c r="I26" s="22"/>
    </row>
    <row r="27" spans="1:9">
      <c r="A27" s="21"/>
      <c r="B27" s="21"/>
      <c r="C27" s="21"/>
      <c r="D27" s="21"/>
      <c r="E27" s="21"/>
      <c r="F27" s="22"/>
      <c r="G27" s="21"/>
      <c r="H27" s="21"/>
      <c r="I27" s="22"/>
    </row>
    <row r="28" spans="1:9">
      <c r="A28" s="21"/>
      <c r="B28" s="21"/>
      <c r="C28" s="21"/>
      <c r="D28" s="21"/>
      <c r="E28" s="21"/>
      <c r="F28" s="22"/>
      <c r="G28" s="21"/>
      <c r="H28" s="21"/>
      <c r="I28" s="22"/>
    </row>
    <row r="29" spans="1:9">
      <c r="A29" s="21"/>
      <c r="B29" s="21"/>
      <c r="C29" s="21"/>
      <c r="D29" s="21"/>
      <c r="E29" s="21"/>
      <c r="F29" s="22"/>
      <c r="G29" s="21"/>
      <c r="H29" s="21"/>
      <c r="I29" s="22"/>
    </row>
    <row r="30" spans="1:9">
      <c r="A30" s="21"/>
      <c r="B30" s="21"/>
      <c r="C30" s="21"/>
      <c r="D30" s="21"/>
      <c r="E30" s="21"/>
      <c r="F30" s="22"/>
      <c r="G30" s="21"/>
      <c r="H30" s="21"/>
      <c r="I30" s="22"/>
    </row>
    <row r="31" spans="1:9">
      <c r="A31" s="21"/>
      <c r="B31" s="21"/>
      <c r="C31" s="21"/>
      <c r="D31" s="21"/>
      <c r="E31" s="21"/>
      <c r="F31" s="22"/>
      <c r="G31" s="21"/>
      <c r="H31" s="21"/>
      <c r="I31" s="22"/>
    </row>
    <row r="32" spans="1:9">
      <c r="A32" s="21"/>
      <c r="B32" s="21"/>
      <c r="C32" s="21"/>
      <c r="D32" s="21"/>
      <c r="E32" s="21"/>
      <c r="F32" s="22"/>
      <c r="G32" s="21"/>
      <c r="H32" s="21"/>
      <c r="I32" s="22"/>
    </row>
    <row r="33" spans="1:9">
      <c r="A33" s="21"/>
      <c r="B33" s="21"/>
      <c r="C33" s="21"/>
      <c r="D33" s="21"/>
      <c r="E33" s="21"/>
      <c r="F33" s="22"/>
      <c r="G33" s="21"/>
      <c r="H33" s="21"/>
      <c r="I33" s="22"/>
    </row>
    <row r="34" spans="1:9">
      <c r="A34" s="21"/>
      <c r="B34" s="21"/>
      <c r="C34" s="21"/>
      <c r="D34" s="21"/>
      <c r="E34" s="21"/>
      <c r="F34" s="22"/>
      <c r="G34" s="21"/>
      <c r="H34" s="21"/>
      <c r="I34" s="22"/>
    </row>
    <row r="35" spans="1:9">
      <c r="A35" s="21"/>
      <c r="B35" s="21"/>
      <c r="C35" s="21"/>
      <c r="D35" s="21"/>
      <c r="E35" s="21"/>
      <c r="F35" s="22"/>
      <c r="G35" s="21"/>
      <c r="H35" s="21"/>
      <c r="I35" s="22"/>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sheetData>
  <mergeCells count="4">
    <mergeCell ref="G1:I1"/>
    <mergeCell ref="A1:C1"/>
    <mergeCell ref="D1:F1"/>
    <mergeCell ref="A2:B2"/>
  </mergeCells>
  <conditionalFormatting sqref="F2 I2 F4:F80 I4:I8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workbookViewId="0">
      <pane xSplit="2" ySplit="3" topLeftCell="I19" activePane="bottomRight" state="frozen"/>
      <selection pane="bottomRight" activeCell="I19" sqref="I19"/>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96.7109375" customWidth="1"/>
    <col min="11" max="11" width="20.5703125" bestFit="1" customWidth="1"/>
  </cols>
  <sheetData>
    <row r="1" spans="1:11" ht="19.5" customHeight="1">
      <c r="A1" s="61" t="str" cm="1">
        <f t="array" ref="A1">portfolio</f>
        <v>MN8 NY8</v>
      </c>
      <c r="B1" s="61"/>
      <c r="C1" s="61"/>
      <c r="D1" s="62" t="s">
        <v>18</v>
      </c>
      <c r="E1" s="62"/>
      <c r="F1" s="62"/>
      <c r="G1" s="60" t="s">
        <v>19</v>
      </c>
      <c r="H1" s="60"/>
      <c r="I1" s="60"/>
      <c r="J1" s="4"/>
      <c r="K1" s="4"/>
    </row>
    <row r="2" spans="1:11" ht="19.5" customHeight="1">
      <c r="A2" s="63" t="s">
        <v>2</v>
      </c>
      <c r="B2" s="63"/>
      <c r="C2" s="5">
        <f>SUM(C4:C79)</f>
        <v>1386024.183989774</v>
      </c>
      <c r="D2" s="5">
        <f>SUM(D4:D79)</f>
        <v>1687476.4</v>
      </c>
      <c r="E2" s="5">
        <f>C2-D2</f>
        <v>-301452.21601022594</v>
      </c>
      <c r="F2" s="6">
        <f>IFERROR(E2/D2, 0)</f>
        <v>-0.17864084855363072</v>
      </c>
      <c r="G2" s="5">
        <f>SUM(G4:G79)</f>
        <v>2753954</v>
      </c>
      <c r="H2" s="7">
        <f>C2-G2</f>
        <v>-1367929.816010226</v>
      </c>
      <c r="I2" s="6">
        <f>IFERROR(H2/G2, 0)</f>
        <v>-0.49671483837791991</v>
      </c>
      <c r="J2" s="26" t="str">
        <f ca="1">IF(AND(TODAY()&gt;DATE(2024, 1, 1), COUNTA(Sites[Site])&lt;&gt;(COUNT(C:C)-1)), "Some sites are missing actual data; if new sites were added, make sure they are aligned correctly (including prior months!)", "")</f>
        <v/>
      </c>
      <c r="K2" s="4"/>
    </row>
    <row r="3" spans="1:11" ht="14.25" customHeight="1">
      <c r="A3" s="27" t="s">
        <v>3</v>
      </c>
      <c r="B3" s="8" t="s">
        <v>4</v>
      </c>
      <c r="C3" s="23" t="s">
        <v>5</v>
      </c>
      <c r="D3" s="34" t="s">
        <v>6</v>
      </c>
      <c r="E3" s="34" t="s">
        <v>7</v>
      </c>
      <c r="F3" s="35" t="s">
        <v>8</v>
      </c>
      <c r="G3" s="39" t="s">
        <v>9</v>
      </c>
      <c r="H3" s="37" t="s">
        <v>7</v>
      </c>
      <c r="I3" s="38" t="s">
        <v>8</v>
      </c>
      <c r="J3" s="25" t="s">
        <v>20</v>
      </c>
      <c r="K3" s="25" t="s">
        <v>21</v>
      </c>
    </row>
    <row r="4" spans="1:11" ht="45">
      <c r="A4" s="51" t="str" cm="1">
        <f t="array" ref="A4:A5">Sites[Site]</f>
        <v>Janis</v>
      </c>
      <c r="B4" s="28" t="str" cm="1">
        <f t="array" ref="B4:B5">Sites[State]</f>
        <v>NY</v>
      </c>
      <c r="C4" s="13">
        <v>641158.18398977397</v>
      </c>
      <c r="D4" s="13">
        <v>1056577</v>
      </c>
      <c r="E4" s="13">
        <f>IF(AND(ISNUMBER(C4),ISNUMBER(D4)), C4-D4, "")</f>
        <v>-415418.81601022603</v>
      </c>
      <c r="F4" s="44">
        <f>IFERROR(E4/D4, "")</f>
        <v>-0.39317419933447922</v>
      </c>
      <c r="G4" s="15">
        <v>1516236</v>
      </c>
      <c r="H4" s="15">
        <f>IF(AND(ISNUMBER(C4),ISNUMBER(G4)), C4-G4, "")</f>
        <v>-875077.81601022603</v>
      </c>
      <c r="I4" s="16">
        <f>IFERROR(H4/G4, "")</f>
        <v>-0.57713826608141872</v>
      </c>
      <c r="J4" s="40" t="s">
        <v>22</v>
      </c>
      <c r="K4" s="40" t="s">
        <v>23</v>
      </c>
    </row>
    <row r="5" spans="1:11" ht="60.75">
      <c r="A5" s="52" t="str">
        <v>Puckett Solar</v>
      </c>
      <c r="B5" s="30" t="str">
        <v>NY</v>
      </c>
      <c r="C5" s="18">
        <v>744866</v>
      </c>
      <c r="D5" s="18">
        <v>630899.4</v>
      </c>
      <c r="E5" s="18">
        <f t="shared" ref="E5" si="0">IF(AND(ISNUMBER(C5),ISNUMBER(D5)), C5-D5, "")</f>
        <v>113966.59999999998</v>
      </c>
      <c r="F5" s="44">
        <f t="shared" ref="F5" si="1">IFERROR(E5/D5, "")</f>
        <v>0.18064147786477522</v>
      </c>
      <c r="G5" s="20">
        <v>1237718</v>
      </c>
      <c r="H5" s="20">
        <f t="shared" ref="H5" si="2">IF(AND(ISNUMBER(C5),ISNUMBER(G5)), C5-G5, "")</f>
        <v>-492852</v>
      </c>
      <c r="I5" s="19">
        <f t="shared" ref="I5" si="3">IFERROR(H5/G5, "")</f>
        <v>-0.39819409590876115</v>
      </c>
      <c r="J5" s="41" t="s">
        <v>24</v>
      </c>
      <c r="K5" s="41" t="s">
        <v>25</v>
      </c>
    </row>
    <row r="6" spans="1:11" ht="15">
      <c r="A6" s="21"/>
      <c r="B6" s="32"/>
      <c r="C6" s="42"/>
      <c r="D6" s="21"/>
      <c r="E6" s="21"/>
      <c r="F6" s="21"/>
      <c r="G6" s="21"/>
      <c r="H6" s="21"/>
      <c r="I6" s="21"/>
      <c r="J6" s="43"/>
      <c r="K6" s="21"/>
    </row>
    <row r="7" spans="1:11" ht="15">
      <c r="A7" s="21"/>
      <c r="B7" s="32"/>
      <c r="C7" s="21"/>
      <c r="D7" s="21"/>
      <c r="E7" s="21"/>
      <c r="F7" s="21"/>
      <c r="G7" s="21"/>
      <c r="H7" s="21"/>
      <c r="I7" s="21"/>
      <c r="J7" s="4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2"/>
      <c r="G12" s="21"/>
      <c r="H12" s="21"/>
      <c r="I12" s="22"/>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sheetData>
  <mergeCells count="4">
    <mergeCell ref="D1:F1"/>
    <mergeCell ref="A1:C1"/>
    <mergeCell ref="G1:I1"/>
    <mergeCell ref="A2:B2"/>
  </mergeCells>
  <conditionalFormatting sqref="F2 I2 I4:I79">
    <cfRule type="cellIs" dxfId="30" priority="4" stopIfTrue="1" operator="lessThanOrEqual">
      <formula>-0.1</formula>
    </cfRule>
    <cfRule type="expression" dxfId="29" priority="5">
      <formula>AND(ISNUMBER(F2), F2&gt;=0.1)</formula>
    </cfRule>
  </conditionalFormatting>
  <conditionalFormatting sqref="F6:F79">
    <cfRule type="cellIs" dxfId="28" priority="1" stopIfTrue="1" operator="lessThanOrEqual">
      <formula>-0.1</formula>
    </cfRule>
    <cfRule type="expression" dxfId="27" priority="2">
      <formula>AND(ISNUMBER(F6), F6&gt;=0.1)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22"/>
  <sheetViews>
    <sheetView workbookViewId="0">
      <pane xSplit="2" ySplit="3" topLeftCell="C4" activePane="bottomRight" state="frozen"/>
      <selection pane="bottomRight" activeCell="G14" sqref="G14"/>
      <selection pane="bottomLeft" activeCell="A6" sqref="A6:XFD25"/>
      <selection pane="topRight" activeCell="A6" sqref="A6:XFD25"/>
    </sheetView>
  </sheetViews>
  <sheetFormatPr defaultRowHeight="14.25"/>
  <cols>
    <col min="1" max="1" width="35.85546875" bestFit="1" customWidth="1"/>
    <col min="2" max="2" width="8.1406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26</v>
      </c>
      <c r="E1" s="62"/>
      <c r="F1" s="62"/>
      <c r="G1" s="60" t="s">
        <v>27</v>
      </c>
      <c r="H1" s="60"/>
      <c r="I1" s="60"/>
      <c r="J1" s="4"/>
      <c r="K1" s="4"/>
    </row>
    <row r="2" spans="1:11" ht="19.5" customHeight="1">
      <c r="A2" s="63" t="s">
        <v>2</v>
      </c>
      <c r="B2" s="63"/>
      <c r="C2" s="5">
        <f>SUM(C4:C80)</f>
        <v>5046188.7574642999</v>
      </c>
      <c r="D2" s="5">
        <f>SUM(D4:D80)</f>
        <v>4124450</v>
      </c>
      <c r="E2" s="5">
        <f>C2-D2</f>
        <v>921738.75746429991</v>
      </c>
      <c r="F2" s="6">
        <f>IFERROR(E2/D2, 0)</f>
        <v>0.22348161754035081</v>
      </c>
      <c r="G2" s="5">
        <f>SUM(G4:G80)</f>
        <v>3585377</v>
      </c>
      <c r="H2" s="7">
        <f>C2-G2</f>
        <v>1460811.7574642999</v>
      </c>
      <c r="I2" s="6">
        <f>IFERROR(H2/G2, 0)</f>
        <v>0.40743602624334901</v>
      </c>
      <c r="J2" s="26"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30">
      <c r="A4" s="51" t="str" cm="1">
        <f t="array" ref="A4:A5">Sites[Site]</f>
        <v>Janis</v>
      </c>
      <c r="B4" s="28" t="str" cm="1">
        <f t="array" ref="B4:B5">Sites[State]</f>
        <v>NY</v>
      </c>
      <c r="C4" s="24">
        <v>2476319.7574642999</v>
      </c>
      <c r="D4" s="13">
        <v>2363767</v>
      </c>
      <c r="E4" s="13">
        <f>IF(AND(ISNUMBER(C4),ISNUMBER(D4)), C4-D4, "")</f>
        <v>112552.75746429991</v>
      </c>
      <c r="F4" s="14">
        <f>IFERROR(E4/D4, "")</f>
        <v>4.7615842620825112E-2</v>
      </c>
      <c r="G4" s="15">
        <v>1923083</v>
      </c>
      <c r="H4" s="15">
        <f>IF(AND(ISNUMBER(C4),ISNUMBER(G4)), C4-G4, "")</f>
        <v>553236.75746429991</v>
      </c>
      <c r="I4" s="16">
        <f>IFERROR(H4/G4, "")</f>
        <v>0.28768220480566875</v>
      </c>
      <c r="J4" s="40" t="s">
        <v>28</v>
      </c>
      <c r="K4" s="40" t="s">
        <v>29</v>
      </c>
    </row>
    <row r="5" spans="1:11" ht="60">
      <c r="A5" s="52" t="str">
        <v>Puckett Solar</v>
      </c>
      <c r="B5" s="30" t="str">
        <v>NY</v>
      </c>
      <c r="C5" s="11">
        <v>2569869</v>
      </c>
      <c r="D5" s="18">
        <v>1760683</v>
      </c>
      <c r="E5" s="18">
        <f t="shared" ref="E5" si="0">IF(AND(ISNUMBER(C5),ISNUMBER(D5)), C5-D5, "")</f>
        <v>809186</v>
      </c>
      <c r="F5" s="19">
        <f>IFERROR(E5/D5, "")</f>
        <v>0.45958642186015314</v>
      </c>
      <c r="G5" s="20">
        <v>1662294</v>
      </c>
      <c r="H5" s="20">
        <f t="shared" ref="H5" si="1">IF(AND(ISNUMBER(C5),ISNUMBER(G5)), C5-G5, "")</f>
        <v>907575</v>
      </c>
      <c r="I5" s="19">
        <f t="shared" ref="I5" si="2">IFERROR(H5/G5, "")</f>
        <v>0.54597742637583968</v>
      </c>
      <c r="J5" s="53" t="s">
        <v>30</v>
      </c>
      <c r="K5" s="53" t="s">
        <v>31</v>
      </c>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22"/>
  <sheetViews>
    <sheetView workbookViewId="0">
      <pane xSplit="2" ySplit="3" topLeftCell="C4" activePane="bottomRight" state="frozen"/>
      <selection pane="bottomRight" activeCell="J4" sqref="J4"/>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32</v>
      </c>
      <c r="E1" s="62"/>
      <c r="F1" s="62"/>
      <c r="G1" s="60" t="s">
        <v>33</v>
      </c>
      <c r="H1" s="60"/>
      <c r="I1" s="60"/>
      <c r="J1" s="4"/>
      <c r="K1" s="4"/>
    </row>
    <row r="2" spans="1:11" ht="19.5" customHeight="1">
      <c r="A2" s="63" t="s">
        <v>2</v>
      </c>
      <c r="B2" s="63"/>
      <c r="C2" s="5">
        <f>SUM(C4:C80)</f>
        <v>5088743</v>
      </c>
      <c r="D2" s="5">
        <f>SUM(D4:D80)</f>
        <v>4626587</v>
      </c>
      <c r="E2" s="5">
        <f>C2-D2</f>
        <v>462156</v>
      </c>
      <c r="F2" s="6">
        <f>IFERROR(E2/D2, 0)</f>
        <v>9.989134539132194E-2</v>
      </c>
      <c r="G2" s="5">
        <f>SUM(G4:G80)</f>
        <v>5375362</v>
      </c>
      <c r="H2" s="7">
        <f>C2-G2</f>
        <v>-286619</v>
      </c>
      <c r="I2" s="6">
        <f>IFERROR(H2/G2, 0)</f>
        <v>-5.3320874017415011E-2</v>
      </c>
      <c r="J2" s="26" t="str">
        <f ca="1">IF(AND(TODAY()&gt;DATE(2024, 3,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v>2517231</v>
      </c>
      <c r="D4" s="13">
        <v>2459406</v>
      </c>
      <c r="E4" s="13">
        <f>IF(AND(ISNUMBER(C4),ISNUMBER(D4)), C4-D4, "")</f>
        <v>57825</v>
      </c>
      <c r="F4" s="14">
        <f>IFERROR(E4/D4, "")</f>
        <v>2.3511774794401575E-2</v>
      </c>
      <c r="G4" s="15">
        <v>2711929</v>
      </c>
      <c r="H4" s="15">
        <f>IF(AND(ISNUMBER(C4),ISNUMBER(G4)), C4-G4, "")</f>
        <v>-194698</v>
      </c>
      <c r="I4" s="16">
        <f>IFERROR(H4/G4, "")</f>
        <v>-7.1793177476253994E-2</v>
      </c>
      <c r="J4" s="40"/>
      <c r="K4" s="40"/>
    </row>
    <row r="5" spans="1:11" ht="15.75">
      <c r="A5" s="29" t="str">
        <v>Puckett Solar</v>
      </c>
      <c r="B5" s="30" t="str">
        <v>NY</v>
      </c>
      <c r="C5" s="11">
        <v>2571512</v>
      </c>
      <c r="D5" s="18">
        <v>2167181</v>
      </c>
      <c r="E5" s="18">
        <f t="shared" ref="E5" si="0">IF(AND(ISNUMBER(C5),ISNUMBER(D5)), C5-D5, "")</f>
        <v>404331</v>
      </c>
      <c r="F5" s="19">
        <f>IFERROR(E5/D5, "")</f>
        <v>0.18657001884014301</v>
      </c>
      <c r="G5" s="20">
        <v>2663433</v>
      </c>
      <c r="H5" s="20">
        <f t="shared" ref="H5" si="1">IF(AND(ISNUMBER(C5),ISNUMBER(G5)), C5-G5, "")</f>
        <v>-91921</v>
      </c>
      <c r="I5" s="19">
        <f t="shared" ref="I5" si="2">IFERROR(H5/G5, "")</f>
        <v>-3.4512225387310289E-2</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4" priority="3" stopIfTrue="1" operator="lessThanOrEqual">
      <formula>-0.1</formula>
    </cfRule>
    <cfRule type="expression" dxfId="23"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22"/>
  <sheetViews>
    <sheetView zoomScaleNormal="100" workbookViewId="0">
      <selection activeCell="A4" sqref="A4:J5"/>
    </sheetView>
  </sheetViews>
  <sheetFormatPr defaultRowHeight="14.25"/>
  <cols>
    <col min="1" max="1" width="33.42578125"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1" t="str" cm="1">
        <f t="array" ref="A1">portfolio</f>
        <v>MN8 NY8</v>
      </c>
      <c r="B1" s="61"/>
      <c r="C1" s="61"/>
      <c r="D1" s="62" t="s">
        <v>34</v>
      </c>
      <c r="E1" s="62"/>
      <c r="F1" s="62"/>
      <c r="G1" s="60" t="s">
        <v>35</v>
      </c>
      <c r="H1" s="60"/>
      <c r="I1" s="60"/>
      <c r="J1" s="4"/>
      <c r="K1" s="4"/>
    </row>
    <row r="2" spans="1:12" ht="19.5" customHeight="1">
      <c r="A2" s="63" t="s">
        <v>2</v>
      </c>
      <c r="B2" s="63"/>
      <c r="C2" s="5">
        <f>SUM(C4:C80)</f>
        <v>5434443.04</v>
      </c>
      <c r="D2" s="5">
        <f>SUM(D4:D80)</f>
        <v>5120409.63</v>
      </c>
      <c r="E2" s="5">
        <f>C2-D2</f>
        <v>314033.41000000015</v>
      </c>
      <c r="F2" s="6">
        <f>IFERROR(E2/D2, 0)</f>
        <v>6.1329743651778922E-2</v>
      </c>
      <c r="G2" s="5">
        <f>SUM(G4:G80)</f>
        <v>6170938.8200000003</v>
      </c>
      <c r="H2" s="7">
        <f>C2-G2</f>
        <v>-736495.78000000026</v>
      </c>
      <c r="I2" s="6">
        <f>IFERROR(H2/G2, 0)</f>
        <v>-0.11934906526913197</v>
      </c>
      <c r="J2" s="26"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95.25" customHeight="1">
      <c r="A4" s="54" t="str" cm="1">
        <f t="array" ref="A4:A5">Sites[Site]</f>
        <v>Janis</v>
      </c>
      <c r="B4" s="28" t="str" cm="1">
        <f t="array" ref="B4:B5">Sites[State]</f>
        <v>NY</v>
      </c>
      <c r="C4" s="24">
        <v>2731784.04</v>
      </c>
      <c r="D4" s="13">
        <v>2587991.58</v>
      </c>
      <c r="E4" s="13">
        <f>IF(AND(ISNUMBER(C4),ISNUMBER(D4)), C4-D4, "")</f>
        <v>143792.45999999996</v>
      </c>
      <c r="F4" s="14">
        <f>IFERROR(E4/D4, "")</f>
        <v>5.5561409515868659E-2</v>
      </c>
      <c r="G4" s="15">
        <v>3099310.5</v>
      </c>
      <c r="H4" s="15">
        <f>IF(AND(ISNUMBER(C4),ISNUMBER(G4)), C4-G4, "")</f>
        <v>-367526.45999999996</v>
      </c>
      <c r="I4" s="16">
        <f>IFERROR(H4/G4, "")</f>
        <v>-0.11858329780123675</v>
      </c>
      <c r="J4" s="40" t="s">
        <v>36</v>
      </c>
      <c r="K4" s="40" t="s">
        <v>37</v>
      </c>
      <c r="L4" s="46"/>
    </row>
    <row r="5" spans="1:12" ht="238.5" customHeight="1">
      <c r="A5" s="29" t="str">
        <v>Puckett Solar</v>
      </c>
      <c r="B5" s="30" t="str">
        <v>NY</v>
      </c>
      <c r="C5" s="11">
        <v>2702659</v>
      </c>
      <c r="D5" s="18">
        <v>2532418.0499999998</v>
      </c>
      <c r="E5" s="18">
        <f t="shared" ref="E5" si="0">IF(AND(ISNUMBER(C5),ISNUMBER(D5)), C5-D5, "")</f>
        <v>170240.95000000019</v>
      </c>
      <c r="F5" s="19">
        <f>IFERROR(E5/D5, "")</f>
        <v>6.7224663005383406E-2</v>
      </c>
      <c r="G5" s="20">
        <v>3071628.32</v>
      </c>
      <c r="H5" s="20">
        <f t="shared" ref="H5" si="1">IF(AND(ISNUMBER(C5),ISNUMBER(G5)), C5-G5, "")</f>
        <v>-368969.31999999983</v>
      </c>
      <c r="I5" s="19">
        <f t="shared" ref="I5" si="2">IFERROR(H5/G5, "")</f>
        <v>-0.12012173399937914</v>
      </c>
      <c r="J5" s="55" t="s">
        <v>38</v>
      </c>
      <c r="K5" s="55" t="s">
        <v>39</v>
      </c>
    </row>
    <row r="6" spans="1:12" ht="15">
      <c r="A6" s="21"/>
      <c r="B6" s="32"/>
      <c r="C6" s="21"/>
      <c r="D6" s="21"/>
      <c r="E6" s="21"/>
      <c r="F6" s="21"/>
      <c r="G6" s="21"/>
      <c r="H6" s="21"/>
      <c r="I6" s="21"/>
      <c r="J6" s="21"/>
      <c r="K6" s="21"/>
    </row>
    <row r="7" spans="1:12" ht="15">
      <c r="A7" s="21"/>
      <c r="B7" s="32"/>
      <c r="C7" s="21"/>
      <c r="D7" s="21"/>
      <c r="E7" s="21"/>
      <c r="F7" s="21"/>
      <c r="G7" s="21"/>
      <c r="H7" s="21"/>
      <c r="I7" s="21"/>
      <c r="J7" s="21"/>
      <c r="K7" s="21"/>
    </row>
    <row r="8" spans="1:12" ht="15">
      <c r="A8" s="21"/>
      <c r="B8" s="32"/>
      <c r="C8" s="21"/>
      <c r="D8" s="21"/>
      <c r="E8" s="21"/>
      <c r="F8" s="21"/>
      <c r="G8" s="21"/>
      <c r="H8" s="21"/>
      <c r="I8" s="21"/>
      <c r="J8" s="21"/>
      <c r="K8" s="21"/>
    </row>
    <row r="9" spans="1:12" ht="15">
      <c r="A9" s="21"/>
      <c r="B9" s="32"/>
      <c r="C9" s="21"/>
      <c r="D9" s="21"/>
      <c r="E9" s="21"/>
      <c r="F9" s="21"/>
      <c r="G9" s="21"/>
      <c r="H9" s="21"/>
      <c r="I9" s="21"/>
      <c r="J9" s="21"/>
      <c r="K9" s="21"/>
    </row>
    <row r="10" spans="1:12" ht="15">
      <c r="A10" s="21"/>
      <c r="B10" s="32"/>
      <c r="C10" s="21"/>
      <c r="D10" s="21"/>
      <c r="E10" s="21"/>
      <c r="F10" s="21"/>
      <c r="G10" s="21"/>
      <c r="H10" s="21"/>
      <c r="I10" s="21"/>
      <c r="J10" s="21"/>
      <c r="K10" s="21"/>
    </row>
    <row r="11" spans="1:12" ht="15">
      <c r="A11" s="21"/>
      <c r="B11" s="32"/>
      <c r="C11" s="21"/>
      <c r="D11" s="21"/>
      <c r="E11" s="21"/>
      <c r="F11" s="21"/>
      <c r="G11" s="21"/>
      <c r="H11" s="21"/>
      <c r="I11" s="21"/>
      <c r="J11" s="56"/>
      <c r="K11" s="21"/>
    </row>
    <row r="12" spans="1:12" ht="15">
      <c r="A12" s="21"/>
      <c r="B12" s="32"/>
      <c r="C12" s="21"/>
      <c r="D12" s="21"/>
      <c r="E12" s="21"/>
      <c r="F12" s="21"/>
      <c r="G12" s="21"/>
      <c r="H12" s="21"/>
      <c r="I12" s="21"/>
      <c r="J12" s="21"/>
      <c r="K12" s="21"/>
    </row>
    <row r="13" spans="1:12" ht="15">
      <c r="A13" s="21"/>
      <c r="B13" s="32"/>
      <c r="C13" s="21"/>
      <c r="D13" s="21"/>
      <c r="E13" s="21"/>
      <c r="F13" s="22"/>
      <c r="G13" s="21"/>
      <c r="H13" s="21"/>
      <c r="I13" s="22"/>
      <c r="J13" s="21"/>
      <c r="K13" s="21"/>
    </row>
    <row r="14" spans="1:12" ht="15">
      <c r="A14" s="21"/>
      <c r="B14" s="32"/>
      <c r="C14" s="21"/>
      <c r="D14" s="21"/>
      <c r="E14" s="21"/>
      <c r="F14" s="22"/>
      <c r="G14" s="21"/>
      <c r="H14" s="21"/>
      <c r="I14" s="22"/>
      <c r="J14" s="21"/>
      <c r="K14" s="21"/>
    </row>
    <row r="15" spans="1:12" ht="15">
      <c r="A15" s="21"/>
      <c r="B15" s="32"/>
      <c r="C15" s="21"/>
      <c r="D15" s="21"/>
      <c r="E15" s="21"/>
      <c r="F15" s="22"/>
      <c r="G15" s="21"/>
      <c r="H15" s="21"/>
      <c r="I15" s="22"/>
      <c r="J15" s="21"/>
      <c r="K15" s="21"/>
    </row>
    <row r="16" spans="1:12"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3"/>
  <sheetViews>
    <sheetView workbookViewId="0">
      <pane xSplit="2" ySplit="3" topLeftCell="C4" activePane="bottomRight" state="frozen"/>
      <selection pane="bottomRight" activeCell="J9" sqref="J9"/>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40</v>
      </c>
      <c r="E1" s="62"/>
      <c r="F1" s="62"/>
      <c r="G1" s="60" t="s">
        <v>41</v>
      </c>
      <c r="H1" s="60"/>
      <c r="I1" s="60"/>
      <c r="J1" s="4"/>
      <c r="K1" s="4"/>
    </row>
    <row r="2" spans="1:11" ht="19.5" customHeight="1">
      <c r="A2" s="63" t="s">
        <v>2</v>
      </c>
      <c r="B2" s="63"/>
      <c r="C2" s="5">
        <f>SUM(C4:C81)</f>
        <v>7337210</v>
      </c>
      <c r="D2" s="5">
        <f>SUM(D4:D81)</f>
        <v>7060126</v>
      </c>
      <c r="E2" s="5">
        <f>C2-D2</f>
        <v>277084</v>
      </c>
      <c r="F2" s="6">
        <f>IFERROR(E2/D2, 0)</f>
        <v>3.9246325065586646E-2</v>
      </c>
      <c r="G2" s="5">
        <f>SUM(G4:G81)</f>
        <v>7197771</v>
      </c>
      <c r="H2" s="7">
        <f>C2-G2</f>
        <v>139439</v>
      </c>
      <c r="I2" s="6">
        <f>IFERROR(H2/G2, 0)</f>
        <v>1.9372525188700779E-2</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54" t="str" cm="1">
        <f t="array" ref="A4:A5">Sites[Site]</f>
        <v>Janis</v>
      </c>
      <c r="B4" s="28" t="str" cm="1">
        <f t="array" ref="B4:B5">Sites[State]</f>
        <v>NY</v>
      </c>
      <c r="C4" s="24">
        <v>3675907</v>
      </c>
      <c r="D4" s="13">
        <v>3486882</v>
      </c>
      <c r="E4" s="13">
        <f>IF(AND(ISNUMBER(C4),ISNUMBER(D4)), C4-D4, "")</f>
        <v>189025</v>
      </c>
      <c r="F4" s="14">
        <f>IFERROR(E4/D4, "")</f>
        <v>5.4210323148302694E-2</v>
      </c>
      <c r="G4" s="15">
        <v>3475027</v>
      </c>
      <c r="H4" s="15">
        <f>IF(AND(ISNUMBER(C4),ISNUMBER(G4)), C4-G4, "")</f>
        <v>200880</v>
      </c>
      <c r="I4" s="16">
        <f>IFERROR(H4/G4, "")</f>
        <v>5.7806745098671175E-2</v>
      </c>
      <c r="J4" s="40"/>
      <c r="K4" s="54"/>
    </row>
    <row r="5" spans="1:11" ht="48.75">
      <c r="A5" s="29" t="str">
        <v>Puckett Solar</v>
      </c>
      <c r="B5" s="30" t="str">
        <v>NY</v>
      </c>
      <c r="C5" s="11">
        <v>3661303</v>
      </c>
      <c r="D5" s="18">
        <v>3573244</v>
      </c>
      <c r="E5" s="18">
        <f t="shared" ref="E5" si="0">IF(AND(ISNUMBER(C5),ISNUMBER(D5)), C5-D5, "")</f>
        <v>88059</v>
      </c>
      <c r="F5" s="19">
        <f>IFERROR(E5/D5, "")</f>
        <v>2.4643992965495781E-2</v>
      </c>
      <c r="G5" s="20">
        <v>3722744</v>
      </c>
      <c r="H5" s="20">
        <f t="shared" ref="H5" si="1">IF(AND(ISNUMBER(C5),ISNUMBER(G5)), C5-G5, "")</f>
        <v>-61441</v>
      </c>
      <c r="I5" s="19">
        <f t="shared" ref="I5" si="2">IFERROR(H5/G5, "")</f>
        <v>-1.6504223766125203E-2</v>
      </c>
      <c r="J5" s="55" t="s">
        <v>42</v>
      </c>
      <c r="K5" s="57" t="s">
        <v>43</v>
      </c>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1"/>
      <c r="G13" s="21"/>
      <c r="H13" s="21"/>
      <c r="I13" s="21"/>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ht="15">
      <c r="A322" s="21"/>
      <c r="B322" s="32"/>
      <c r="C322" s="21"/>
      <c r="D322" s="21"/>
      <c r="E322" s="21"/>
      <c r="F322" s="22"/>
      <c r="G322" s="21"/>
      <c r="H322" s="21"/>
      <c r="I322" s="22"/>
      <c r="J322" s="21"/>
      <c r="K322" s="21"/>
    </row>
    <row r="323" spans="1:11">
      <c r="C323" s="21"/>
      <c r="D323" s="21"/>
      <c r="E323" s="21"/>
      <c r="F323" s="22"/>
      <c r="G323" s="21"/>
      <c r="H323" s="21"/>
      <c r="I323" s="22"/>
      <c r="J323" s="21"/>
      <c r="K323" s="21"/>
    </row>
  </sheetData>
  <mergeCells count="4">
    <mergeCell ref="G1:I1"/>
    <mergeCell ref="A1:C1"/>
    <mergeCell ref="D1:F1"/>
    <mergeCell ref="A2:B2"/>
  </mergeCells>
  <conditionalFormatting sqref="F2 I2 F6:F81 I6:I81">
    <cfRule type="cellIs" dxfId="20" priority="5" stopIfTrue="1" operator="lessThanOrEqual">
      <formula>-0.1</formula>
    </cfRule>
    <cfRule type="expression" dxfId="19" priority="6">
      <formula>AND(ISNUMBER(F2), F2&gt;=0.1)</formula>
    </cfRule>
  </conditionalFormatting>
  <conditionalFormatting sqref="F4:F5 I4:I5">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workbookViewId="0">
      <pane xSplit="2" ySplit="3" topLeftCell="C4" activePane="bottomRight" state="frozen"/>
      <selection pane="bottomRight" activeCell="E11" sqref="E11"/>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44</v>
      </c>
      <c r="E1" s="62"/>
      <c r="F1" s="62"/>
      <c r="G1" s="60" t="s">
        <v>45</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46</v>
      </c>
      <c r="E1" s="62"/>
      <c r="F1" s="62"/>
      <c r="G1" s="60" t="s">
        <v>47</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7,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sortState xmlns:xlrd2="http://schemas.microsoft.com/office/spreadsheetml/2017/richdata2" ref="A3:K5">
    <sortCondition ref="A3:A5"/>
  </sortState>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48</v>
      </c>
      <c r="E1" s="62"/>
      <c r="F1" s="62"/>
      <c r="G1" s="60" t="s">
        <v>49</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8,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50</v>
      </c>
      <c r="E1" s="62"/>
      <c r="F1" s="62"/>
      <c r="G1" s="60" t="s">
        <v>51</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52</v>
      </c>
      <c r="E1" s="62"/>
      <c r="F1" s="62"/>
      <c r="G1" s="60" t="s">
        <v>53</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10,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54</v>
      </c>
      <c r="E1" s="62"/>
      <c r="F1" s="62"/>
      <c r="G1" s="60" t="s">
        <v>55</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11,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56</v>
      </c>
      <c r="E1" s="62"/>
      <c r="F1" s="62"/>
      <c r="G1" s="60" t="s">
        <v>57</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12,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1"/>
  <sheetViews>
    <sheetView workbookViewId="0">
      <pane ySplit="3" topLeftCell="A4" activePane="bottomLeft" state="frozen"/>
      <selection pane="bottomLeft" activeCell="C31" sqref="C31"/>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58</v>
      </c>
      <c r="B1" t="s">
        <v>59</v>
      </c>
    </row>
    <row r="3" spans="1:12">
      <c r="A3" t="s">
        <v>60</v>
      </c>
      <c r="B3" t="s">
        <v>3</v>
      </c>
      <c r="C3" t="s">
        <v>4</v>
      </c>
      <c r="D3" t="s">
        <v>61</v>
      </c>
      <c r="E3" s="2" t="s">
        <v>62</v>
      </c>
    </row>
    <row r="4" spans="1:12" ht="15">
      <c r="A4" s="50" t="s">
        <v>63</v>
      </c>
      <c r="B4" t="s">
        <v>63</v>
      </c>
      <c r="C4" s="47" t="s">
        <v>64</v>
      </c>
      <c r="D4" s="46" t="s">
        <v>65</v>
      </c>
      <c r="E4" t="s">
        <v>66</v>
      </c>
      <c r="G4" s="3"/>
    </row>
    <row r="5" spans="1:12" ht="15">
      <c r="A5" s="50" t="s">
        <v>67</v>
      </c>
      <c r="B5" t="s">
        <v>67</v>
      </c>
      <c r="C5" s="47" t="s">
        <v>64</v>
      </c>
      <c r="D5" s="46" t="s">
        <v>65</v>
      </c>
      <c r="E5" t="s">
        <v>66</v>
      </c>
      <c r="G5" s="3"/>
    </row>
    <row r="6" spans="1:12" ht="12.75" customHeight="1">
      <c r="K6" s="42"/>
      <c r="L6" s="42"/>
    </row>
    <row r="7" spans="1:12" ht="12.75" customHeight="1">
      <c r="K7" s="42"/>
      <c r="L7" s="42"/>
    </row>
    <row r="8" spans="1:12" ht="12.75" customHeight="1">
      <c r="K8" s="42"/>
      <c r="L8" s="42"/>
    </row>
    <row r="9" spans="1:12" ht="12.75" customHeight="1">
      <c r="K9" s="42"/>
      <c r="L9" s="42"/>
    </row>
    <row r="10" spans="1:12" ht="12.75" customHeight="1">
      <c r="K10" s="42"/>
      <c r="L10" s="42"/>
    </row>
    <row r="11" spans="1:12" ht="12.75" customHeight="1">
      <c r="K11" s="42"/>
      <c r="L11"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F12EFA50-0068-4A8C-85A0-F1B26389EBC3}"/>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C0BCDC1E-6052-4E48-9BAF-94A40814E7C2}"/>
</file>

<file path=customXml/itemProps12.xml><?xml version="1.0" encoding="utf-8"?>
<ds:datastoreItem xmlns:ds="http://schemas.openxmlformats.org/officeDocument/2006/customXml" ds:itemID="{2BC74AAC-D69B-4AF1-9649-B21EF3C1C463}"/>
</file>

<file path=customXml/itemProps13.xml><?xml version="1.0" encoding="utf-8"?>
<ds:datastoreItem xmlns:ds="http://schemas.openxmlformats.org/officeDocument/2006/customXml" ds:itemID="{BF5C6359-7763-4C37-8EAF-2BC4698CB285}"/>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0389C43E-394D-44C0-87DC-4780FCFCFB40}"/>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66B09F59-6532-46F8-924A-9A02417E070D}"/>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2024-06-10T14:00:53Z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