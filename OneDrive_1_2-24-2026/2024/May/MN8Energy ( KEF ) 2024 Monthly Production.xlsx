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WFreport\"/>
    </mc:Choice>
  </mc:AlternateContent>
  <xr:revisionPtr revIDLastSave="92" documentId="13_ncr:1_{7E708530-676B-4FF6-B5F1-60EEC46EDC73}" xr6:coauthVersionLast="47" xr6:coauthVersionMax="47" xr10:uidLastSave="{2550B87F-E31F-4FC2-9C7B-FD15065E1B04}"/>
  <bookViews>
    <workbookView xWindow="-93" yWindow="-93" windowWidth="19386" windowHeight="1146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20" i="18" l="1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5" i="34" s="1"/>
  <c r="C14" i="1"/>
  <c r="C14" i="34" s="1"/>
  <c r="C13" i="1"/>
  <c r="C13" i="34" s="1"/>
  <c r="C12" i="1"/>
  <c r="C12" i="34" s="1"/>
  <c r="C11" i="1"/>
  <c r="C11" i="34" s="1"/>
  <c r="C10" i="1"/>
  <c r="C10" i="34" s="1"/>
  <c r="C9" i="1"/>
  <c r="C9" i="34" s="1"/>
  <c r="C8" i="1"/>
  <c r="C8" i="34" s="1"/>
  <c r="C7" i="1"/>
  <c r="C7" i="34" s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29" l="1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0" i="34" l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<sst xmlns="http://schemas.openxmlformats.org/spreadsheetml/2006/main" count="414" uniqueCount="159">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</sst>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MN8 KEF</v>
      </c>
      <c r="B1" s="77"/>
      <c r="C1" s="77"/>
      <c r="D1" s="78" t="s">
        <v>0</v>
      </c>
      <c r="E1" s="78"/>
      <c r="F1" s="78"/>
      <c r="G1" s="76" t="s">
        <v>1</v>
      </c>
      <c r="H1" s="76"/>
      <c r="I1" s="76"/>
    </row>
    <row r="2" spans="1:9" ht="19.5" customHeight="1">
      <c r="A2" s="79" t="s">
        <v>2</v>
      </c>
      <c r="B2" s="79"/>
      <c r="C2" s="5">
        <f>SUM(C4:C95)</f>
        <v>-1373007.6272314722</v>
      </c>
      <c r="D2" s="5">
        <f>SUM(D4:D95)</f>
        <v>6064959.5100000016</v>
      </c>
      <c r="E2" s="5">
        <f>C2-D2</f>
        <v>-7437967.1372314738</v>
      </c>
      <c r="F2" s="6">
        <f>IFERROR(E2/D2, 0)</f>
        <v>-1.226383642787332</v>
      </c>
      <c r="G2" s="5">
        <f>SUM(G4:G95)</f>
        <v>12222354.630000001</v>
      </c>
      <c r="H2" s="7">
        <f>C2-G2</f>
        <v>-13595362.257231474</v>
      </c>
      <c r="I2" s="6">
        <f>IFERROR(H2/G2, 0)</f>
        <v>-1.1123357707083217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616737.77709923661</v>
      </c>
      <c r="D4" s="45">
        <f>SUM('1st Qtr'!D4, '2nd Qtr'!D4, '3rd Qtr'!D4, '4th Qtr'!D4)</f>
        <v>665354.34</v>
      </c>
      <c r="E4" s="45">
        <f>IF(AND(ISNUMBER(C4),ISNUMBER(D4)), C4-D4, "")</f>
        <v>-48616.562900763354</v>
      </c>
      <c r="F4" s="58">
        <f>IFERROR(E4/D4, "")</f>
        <v>-7.3068679315691179E-2</v>
      </c>
      <c r="G4" s="47">
        <f>SUM('1st Qtr'!G4, '2nd Qtr'!G4, '3rd Qtr'!G4, '4th Qtr'!G4)</f>
        <v>704509.09</v>
      </c>
      <c r="H4" s="47">
        <f>SUM('1st Qtr'!H4, '2nd Qtr'!H4, '3rd Qtr'!H4, '4th Qtr'!H4)</f>
        <v>-87771.312900763398</v>
      </c>
      <c r="I4" s="46">
        <f>IFERROR(H4/G4, "")</f>
        <v>-0.12458506802341386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499883.39566929115</v>
      </c>
      <c r="D5" s="51">
        <f>SUM(Jan!D5, Feb!D5, Mar!D5)</f>
        <v>258904.44999999998</v>
      </c>
      <c r="E5" s="51">
        <f t="shared" ref="E5:E15" si="0">IF(AND(ISNUMBER(C5),ISNUMBER(D5)), C5-D5, "")</f>
        <v>240978.94566929116</v>
      </c>
      <c r="F5" s="52">
        <f>IFERROR(E5/D5, "")</f>
        <v>0.93076401610436277</v>
      </c>
      <c r="G5" s="53">
        <f>SUM('1st Qtr'!G5, '2nd Qtr'!G5, '3rd Qtr'!G5, '4th Qtr'!G5)</f>
        <v>568034.89</v>
      </c>
      <c r="H5" s="53">
        <f>SUM(Jan!H5, Feb!H5, Mar!H5)</f>
        <v>-50872.194330708902</v>
      </c>
      <c r="I5" s="52">
        <f>IFERROR(H5/G5, "")</f>
        <v>-8.9558221204878635E-2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-11452932.75</v>
      </c>
      <c r="D6" s="45">
        <f>SUM(Jan!D6, Feb!D6, Mar!D6)</f>
        <v>308555.5</v>
      </c>
      <c r="E6" s="45">
        <f t="shared" si="0"/>
        <v>-11761488.25</v>
      </c>
      <c r="F6" s="58">
        <f t="shared" ref="F6:F15" si="1">IFERROR(E6/D6, "")</f>
        <v>-38.117901803727371</v>
      </c>
      <c r="G6" s="47">
        <f>SUM('1st Qtr'!G6, '2nd Qtr'!G6, '3rd Qtr'!G6, '4th Qtr'!G6)</f>
        <v>416874.56</v>
      </c>
      <c r="H6" s="47">
        <f>SUM(Jan!H6, Feb!H6, Mar!H6)</f>
        <v>70756.84</v>
      </c>
      <c r="I6" s="46">
        <f t="shared" ref="I6:I15" si="2">IFERROR(H6/G6, "")</f>
        <v>0.16973172937202019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591471</v>
      </c>
      <c r="D7" s="51">
        <f>SUM(Jan!D7, Feb!D7, Mar!D7)</f>
        <v>395445.18</v>
      </c>
      <c r="E7" s="51">
        <f t="shared" si="0"/>
        <v>196025.82</v>
      </c>
      <c r="F7" s="52">
        <f t="shared" si="1"/>
        <v>0.49570921562376868</v>
      </c>
      <c r="G7" s="53">
        <f>SUM('1st Qtr'!G7, '2nd Qtr'!G7, '3rd Qtr'!G7, '4th Qtr'!G7)</f>
        <v>472307.68</v>
      </c>
      <c r="H7" s="53">
        <f>SUM(Jan!H7, Feb!H7, Mar!H7)</f>
        <v>63957.32</v>
      </c>
      <c r="I7" s="52">
        <f t="shared" si="2"/>
        <v>0.1354145247013557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624045</v>
      </c>
      <c r="D8" s="45">
        <f>SUM(Jan!D8, Feb!D8, Mar!D8)</f>
        <v>356457.4</v>
      </c>
      <c r="E8" s="45">
        <f t="shared" si="0"/>
        <v>267587.59999999998</v>
      </c>
      <c r="F8" s="58">
        <f t="shared" si="1"/>
        <v>0.75068605673497013</v>
      </c>
      <c r="G8" s="47">
        <f>SUM('1st Qtr'!G8, '2nd Qtr'!G8, '3rd Qtr'!G8, '4th Qtr'!G8)</f>
        <v>743358.7</v>
      </c>
      <c r="H8" s="47">
        <f>SUM(Jan!H8, Feb!H8, Mar!H8)</f>
        <v>-77950.400000000009</v>
      </c>
      <c r="I8" s="46">
        <f t="shared" si="2"/>
        <v>-0.10486243047939038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1027191.5</v>
      </c>
      <c r="D9" s="51">
        <f>SUM(Jan!D9, Feb!D9, Mar!D9)</f>
        <v>566022.19999999995</v>
      </c>
      <c r="E9" s="51">
        <f t="shared" si="0"/>
        <v>461169.30000000005</v>
      </c>
      <c r="F9" s="52">
        <f t="shared" si="1"/>
        <v>0.81475479230319958</v>
      </c>
      <c r="G9" s="53">
        <f>SUM('1st Qtr'!G9, '2nd Qtr'!G9, '3rd Qtr'!G9, '4th Qtr'!G9)</f>
        <v>1240399.7</v>
      </c>
      <c r="H9" s="53">
        <f>SUM(Jan!H9, Feb!H9, Mar!H9)</f>
        <v>-146117.19999999998</v>
      </c>
      <c r="I9" s="52">
        <f t="shared" si="2"/>
        <v>-0.11779848060266379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544401</v>
      </c>
      <c r="D10" s="45">
        <f>SUM(Jan!D10, Feb!D10, Mar!D10)</f>
        <v>302395.95</v>
      </c>
      <c r="E10" s="45">
        <f t="shared" si="0"/>
        <v>242005.05</v>
      </c>
      <c r="F10" s="58">
        <f t="shared" si="1"/>
        <v>0.80029196819600257</v>
      </c>
      <c r="G10" s="47">
        <f>SUM('1st Qtr'!G10, '2nd Qtr'!G10, '3rd Qtr'!G10, '4th Qtr'!G10)</f>
        <v>702461.41999999993</v>
      </c>
      <c r="H10" s="47">
        <f>SUM(Jan!H10, Feb!H10, Mar!H10)</f>
        <v>-109860.32</v>
      </c>
      <c r="I10" s="46">
        <f t="shared" si="2"/>
        <v>-0.15639338598837216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567270</v>
      </c>
      <c r="D11" s="51">
        <f>SUM(Jan!D11, Feb!D11, Mar!D11)</f>
        <v>294516.74</v>
      </c>
      <c r="E11" s="51">
        <f t="shared" si="0"/>
        <v>272753.26</v>
      </c>
      <c r="F11" s="52">
        <f t="shared" si="1"/>
        <v>0.9261044380703114</v>
      </c>
      <c r="G11" s="53">
        <f>SUM('1st Qtr'!G11, '2nd Qtr'!G11, '3rd Qtr'!G11, '4th Qtr'!G11)</f>
        <v>727467.16</v>
      </c>
      <c r="H11" s="53">
        <f>SUM(Jan!H11, Feb!H11, Mar!H11)</f>
        <v>-104920.85999999999</v>
      </c>
      <c r="I11" s="52">
        <f t="shared" si="2"/>
        <v>-0.14422762396587083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546983</v>
      </c>
      <c r="D12" s="45">
        <f>SUM(Jan!D12, Feb!D12, Mar!D12)</f>
        <v>254351.52999999997</v>
      </c>
      <c r="E12" s="45">
        <f t="shared" si="0"/>
        <v>292631.47000000003</v>
      </c>
      <c r="F12" s="58">
        <f t="shared" si="1"/>
        <v>1.1505001365629688</v>
      </c>
      <c r="G12" s="47">
        <f>SUM('1st Qtr'!G12, '2nd Qtr'!G12, '3rd Qtr'!G12, '4th Qtr'!G12)</f>
        <v>727467.16</v>
      </c>
      <c r="H12" s="47">
        <f>SUM(Jan!H12, Feb!H12, Mar!H12)</f>
        <v>-122625.85999999999</v>
      </c>
      <c r="I12" s="46">
        <f t="shared" si="2"/>
        <v>-0.1685654923584454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567692</v>
      </c>
      <c r="D13" s="51">
        <f>SUM(Jan!D13, Feb!D13, Mar!D13)</f>
        <v>280640.43000000005</v>
      </c>
      <c r="E13" s="51">
        <f t="shared" si="0"/>
        <v>287051.56999999995</v>
      </c>
      <c r="F13" s="52">
        <f t="shared" si="1"/>
        <v>1.0228446770837683</v>
      </c>
      <c r="G13" s="53">
        <f>SUM('1st Qtr'!G13, '2nd Qtr'!G13, '3rd Qtr'!G13, '4th Qtr'!G13)</f>
        <v>724163.09</v>
      </c>
      <c r="H13" s="53">
        <f>SUM(Jan!H13, Feb!H13, Mar!H13)</f>
        <v>-108476.99</v>
      </c>
      <c r="I13" s="52">
        <f t="shared" si="2"/>
        <v>-0.14979635319441648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653355</v>
      </c>
      <c r="D14" s="45">
        <f>SUM(Jan!D14, Feb!D14, Mar!D14)</f>
        <v>361411.34</v>
      </c>
      <c r="E14" s="45">
        <f t="shared" si="0"/>
        <v>291943.65999999997</v>
      </c>
      <c r="F14" s="58">
        <f t="shared" si="1"/>
        <v>0.80778776891726733</v>
      </c>
      <c r="G14" s="47">
        <f>SUM('1st Qtr'!G14, '2nd Qtr'!G14, '3rd Qtr'!G14, '4th Qtr'!G14)</f>
        <v>485767.91</v>
      </c>
      <c r="H14" s="47">
        <f>SUM(Jan!H14, Feb!H14, Mar!H14)</f>
        <v>99719.689999999988</v>
      </c>
      <c r="I14" s="46">
        <f t="shared" si="2"/>
        <v>0.20528258031700775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573336.44999999995</v>
      </c>
      <c r="D15" s="51">
        <f>SUM(Jan!D15, Feb!D15, Mar!D15)</f>
        <v>287011.73</v>
      </c>
      <c r="E15" s="51">
        <f t="shared" si="0"/>
        <v>286324.71999999997</v>
      </c>
      <c r="F15" s="52">
        <f t="shared" si="1"/>
        <v>0.99760633476548155</v>
      </c>
      <c r="G15" s="53">
        <f>SUM('1st Qtr'!G15, '2nd Qtr'!G15, '3rd Qtr'!G15, '4th Qtr'!G15)</f>
        <v>785231.2</v>
      </c>
      <c r="H15" s="53">
        <f>SUM(Jan!H15, Feb!H15, Mar!H15)</f>
        <v>-123800.45</v>
      </c>
      <c r="I15" s="52">
        <f t="shared" si="2"/>
        <v>-0.15766114489592364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527951</v>
      </c>
      <c r="D16" s="45">
        <f>SUM(Jan!D16, Feb!D16, Mar!D16)</f>
        <v>280103.39</v>
      </c>
      <c r="E16" s="45">
        <f t="shared" ref="E16:E19" si="3">IF(AND(ISNUMBER(C16),ISNUMBER(D16)), C16-D16, "")</f>
        <v>247847.61</v>
      </c>
      <c r="F16" s="58">
        <f t="shared" ref="F16:F19" si="4">IFERROR(E16/D16, "")</f>
        <v>0.8848433073230566</v>
      </c>
      <c r="G16" s="47">
        <f>SUM('1st Qtr'!G16, '2nd Qtr'!G16, '3rd Qtr'!G16, '4th Qtr'!G16)</f>
        <v>607149.89</v>
      </c>
      <c r="H16" s="47">
        <f>SUM(Jan!H16, Feb!H16, Mar!H16)</f>
        <v>-50948.990000000005</v>
      </c>
      <c r="I16" s="46">
        <f t="shared" ref="I16:I19" si="5">IFERROR(H16/G16, "")</f>
        <v>-8.3915011497408001E-2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434549</v>
      </c>
      <c r="D17" s="51">
        <f>SUM(Jan!D17, Feb!D17, Mar!D17)</f>
        <v>180108.57</v>
      </c>
      <c r="E17" s="51">
        <f t="shared" si="3"/>
        <v>254440.43</v>
      </c>
      <c r="F17" s="52">
        <f t="shared" si="4"/>
        <v>1.4127058473675072</v>
      </c>
      <c r="G17" s="53">
        <f>SUM('1st Qtr'!G17, '2nd Qtr'!G17, '3rd Qtr'!G17, '4th Qtr'!G17)</f>
        <v>487337.67000000004</v>
      </c>
      <c r="H17" s="53">
        <f>SUM(Jan!H17, Feb!H17, Mar!H17)</f>
        <v>-33449.769999999997</v>
      </c>
      <c r="I17" s="52">
        <f t="shared" si="5"/>
        <v>-6.8637768141338207E-2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606744</v>
      </c>
      <c r="D18" s="45">
        <f>SUM(Jan!D18, Feb!D18, Mar!D18)</f>
        <v>324177.82</v>
      </c>
      <c r="E18" s="45">
        <f t="shared" si="3"/>
        <v>282566.18</v>
      </c>
      <c r="F18" s="58">
        <f t="shared" si="4"/>
        <v>0.87163946009631377</v>
      </c>
      <c r="G18" s="47">
        <f>SUM('1st Qtr'!G18, '2nd Qtr'!G18, '3rd Qtr'!G18, '4th Qtr'!G18)</f>
        <v>737860.87</v>
      </c>
      <c r="H18" s="47">
        <f>SUM(Jan!H18, Feb!H18, Mar!H18)</f>
        <v>-97796.77</v>
      </c>
      <c r="I18" s="46">
        <f t="shared" si="5"/>
        <v>-0.13254093552894328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1081164</v>
      </c>
      <c r="D19" s="51">
        <f>SUM(Jan!D19, Feb!D19, Mar!D19)</f>
        <v>619098.5</v>
      </c>
      <c r="E19" s="51">
        <f t="shared" si="3"/>
        <v>462065.5</v>
      </c>
      <c r="F19" s="52">
        <f t="shared" si="4"/>
        <v>0.7463521555939806</v>
      </c>
      <c r="G19" s="53">
        <f>SUM('1st Qtr'!G19, '2nd Qtr'!G19, '3rd Qtr'!G19, '4th Qtr'!G19)</f>
        <v>1349466</v>
      </c>
      <c r="H19" s="53">
        <f>SUM(Jan!H19, Feb!H19, Mar!H19)</f>
        <v>-135592.90000000002</v>
      </c>
      <c r="I19" s="52">
        <f t="shared" si="5"/>
        <v>-0.10047893018423586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617151</v>
      </c>
      <c r="D20" s="45">
        <f>SUM(Jan!D20, Feb!D20, Mar!D20)</f>
        <v>330404.44</v>
      </c>
      <c r="E20" s="45">
        <f t="shared" ref="E20" si="6">IF(AND(ISNUMBER(C20),ISNUMBER(D20)), C20-D20, "")</f>
        <v>286746.56</v>
      </c>
      <c r="F20" s="58">
        <f t="shared" ref="F20" si="7">IFERROR(E20/D20, "")</f>
        <v>0.86786533498157592</v>
      </c>
      <c r="G20" s="47">
        <f>SUM('1st Qtr'!G20, '2nd Qtr'!G20, '3rd Qtr'!G20, '4th Qtr'!G20)</f>
        <v>742497.64</v>
      </c>
      <c r="H20" s="47">
        <f>SUM(Jan!H20, Feb!H20, Mar!H20)</f>
        <v>-84032.239999999991</v>
      </c>
      <c r="I20" s="46">
        <f t="shared" ref="I20" si="8">IFERROR(H20/G20, "")</f>
        <v>-0.11317509372824403</v>
      </c>
    </row>
    <row r="21" spans="1:9" ht="12.9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MN8 KEF</v>
      </c>
      <c r="B1" s="77"/>
      <c r="C1" s="77"/>
      <c r="D1" s="78" t="s">
        <v>10</v>
      </c>
      <c r="E1" s="78"/>
      <c r="F1" s="78"/>
      <c r="G1" s="76" t="s">
        <v>11</v>
      </c>
      <c r="H1" s="76"/>
      <c r="I1" s="76"/>
    </row>
    <row r="2" spans="1:9" ht="19.5" customHeight="1">
      <c r="A2" s="79" t="s">
        <v>2</v>
      </c>
      <c r="B2" s="79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MN8 KEF</v>
      </c>
      <c r="B1" s="77"/>
      <c r="C1" s="77"/>
      <c r="D1" s="78" t="s">
        <v>12</v>
      </c>
      <c r="E1" s="78"/>
      <c r="F1" s="78"/>
      <c r="G1" s="76" t="s">
        <v>13</v>
      </c>
      <c r="H1" s="76"/>
      <c r="I1" s="76"/>
    </row>
    <row r="2" spans="1:9" ht="19.5" customHeight="1">
      <c r="A2" s="79" t="s">
        <v>2</v>
      </c>
      <c r="B2" s="79"/>
      <c r="C2" s="5">
        <f>SUM(C4:C95)</f>
        <v>-6434906.6671755714</v>
      </c>
      <c r="D2" s="5">
        <f>SUM(D4:D95)</f>
        <v>5585014.790000001</v>
      </c>
      <c r="E2" s="5">
        <f>C2-D2</f>
        <v>-12019921.457175571</v>
      </c>
      <c r="F2" s="6">
        <f>IFERROR(E2/D2, 0)</f>
        <v>-2.1521736126280819</v>
      </c>
      <c r="G2" s="5">
        <f>SUM(G4:G95)</f>
        <v>6089745.1000000015</v>
      </c>
      <c r="H2" s="7">
        <f>C2-G2</f>
        <v>-12524651.767175574</v>
      </c>
      <c r="I2" s="6">
        <f>IFERROR(H2/G2, 0)</f>
        <v>-2.0566791485534544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317223.68282442901</v>
      </c>
      <c r="D4" s="45">
        <f>SUM(Apr!D4, May!D4, Jun!D4)</f>
        <v>322022.59999999998</v>
      </c>
      <c r="E4" s="45">
        <f>IF(AND(ISNUMBER(C4),ISNUMBER(D4)), C4-D4, "")</f>
        <v>-4798.9171755709685</v>
      </c>
      <c r="F4" s="58">
        <f>IFERROR(E4/D4, "")</f>
        <v>-1.4902423542853729E-2</v>
      </c>
      <c r="G4" s="47">
        <f>SUM(Apr!G4+May!G4+Jun!G4)</f>
        <v>346295.6</v>
      </c>
      <c r="H4" s="47">
        <f>SUM(Apr!H4, May!H4, Jun!H4)</f>
        <v>-29071.917175570998</v>
      </c>
      <c r="I4" s="46">
        <f>IFERROR(H4/G4, "")</f>
        <v>-8.3951159574568668E-2</v>
      </c>
    </row>
    <row r="5" spans="1:9" ht="15.75">
      <c r="A5" s="67" t="str">
        <v>Orange A KB</v>
      </c>
      <c r="B5" s="64" t="str">
        <v>MA</v>
      </c>
      <c r="C5" s="59">
        <f>SUM(Apr!C5, May!C5, Jun!C5)</f>
        <v>252603.7</v>
      </c>
      <c r="D5" s="51">
        <f>SUM(Apr!D5, May!D5, Jun!D5)</f>
        <v>238507</v>
      </c>
      <c r="E5" s="51">
        <f t="shared" ref="E5:E15" si="0">IF(AND(ISNUMBER(C5),ISNUMBER(D5)), C5-D5, "")</f>
        <v>14096.700000000012</v>
      </c>
      <c r="F5" s="52">
        <f>IFERROR(E5/D5, "")</f>
        <v>5.9103925670944718E-2</v>
      </c>
      <c r="G5" s="47">
        <f>SUM(Apr!G5+May!G5+Jun!G5)</f>
        <v>269883</v>
      </c>
      <c r="H5" s="53">
        <f>SUM(Apr!H5, May!H5, Jun!H5)</f>
        <v>-17279.300000000003</v>
      </c>
      <c r="I5" s="52">
        <f>IFERROR(H5/G5, "")</f>
        <v>-6.4025151639784658E-2</v>
      </c>
    </row>
    <row r="6" spans="1:9" ht="15.75">
      <c r="A6" s="66" t="str">
        <v>Goshen A</v>
      </c>
      <c r="B6" s="62" t="str">
        <v>MA</v>
      </c>
      <c r="C6" s="57">
        <f>SUM(Apr!C6, May!C6, Jun!C6)</f>
        <v>-11714777.75</v>
      </c>
      <c r="D6" s="45">
        <f>SUM(Apr!D6, May!D6, Jun!D6)</f>
        <v>282662.5</v>
      </c>
      <c r="E6" s="45">
        <f t="shared" si="0"/>
        <v>-11997440.25</v>
      </c>
      <c r="F6" s="58">
        <f t="shared" ref="F6:F15" si="1">IFERROR(E6/D6, "")</f>
        <v>-42.444400123822582</v>
      </c>
      <c r="G6" s="47">
        <f>SUM(Apr!G6+May!G6+Jun!G6)</f>
        <v>225786.4</v>
      </c>
      <c r="H6" s="47">
        <f>SUM(Apr!H6, May!H6, Jun!H6)</f>
        <v>-11940564.15</v>
      </c>
      <c r="I6" s="46">
        <f t="shared" ref="I6:I15" si="2">IFERROR(H6/G6, "")</f>
        <v>-52.884337364872287</v>
      </c>
    </row>
    <row r="7" spans="1:9" ht="15.75">
      <c r="A7" s="67" t="str">
        <v>Phillipston A KB</v>
      </c>
      <c r="B7" s="64" t="str">
        <v>MA</v>
      </c>
      <c r="C7" s="59">
        <f>SUM(Apr!C7, May!C7, Jun!C7)</f>
        <v>309204</v>
      </c>
      <c r="D7" s="51">
        <f>SUM(Apr!D7, May!D7, Jun!D7)</f>
        <v>330515</v>
      </c>
      <c r="E7" s="51">
        <f t="shared" si="0"/>
        <v>-21311</v>
      </c>
      <c r="F7" s="52">
        <f t="shared" si="1"/>
        <v>-6.4478162867040834E-2</v>
      </c>
      <c r="G7" s="47">
        <f>SUM(Apr!G7+May!G7+Jun!G7)</f>
        <v>253998</v>
      </c>
      <c r="H7" s="53">
        <f>SUM(Apr!H7, May!H7, Jun!H7)</f>
        <v>55205.999999999985</v>
      </c>
      <c r="I7" s="52">
        <f t="shared" si="2"/>
        <v>0.21734816809581173</v>
      </c>
    </row>
    <row r="8" spans="1:9" ht="15.75">
      <c r="A8" s="66" t="str">
        <v>Uxbridge D</v>
      </c>
      <c r="B8" s="62" t="str">
        <v>MA</v>
      </c>
      <c r="C8" s="57">
        <f>SUM(Apr!C8, May!C8, Jun!C8)</f>
        <v>311818</v>
      </c>
      <c r="D8" s="45">
        <f>SUM(Apr!D8, May!D8, Jun!D8)</f>
        <v>317386.7</v>
      </c>
      <c r="E8" s="45">
        <f t="shared" si="0"/>
        <v>-5568.7000000000116</v>
      </c>
      <c r="F8" s="58">
        <f t="shared" si="1"/>
        <v>-1.7545473707625464E-2</v>
      </c>
      <c r="G8" s="47">
        <f>SUM(Apr!G8+May!G8+Jun!G8)</f>
        <v>353181.3</v>
      </c>
      <c r="H8" s="47">
        <f>SUM(Apr!H8, May!H8, Jun!H8)</f>
        <v>-41363.299999999988</v>
      </c>
      <c r="I8" s="46">
        <f t="shared" si="2"/>
        <v>-0.11711633656708323</v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533869.5</v>
      </c>
      <c r="D9" s="51">
        <f>SUM(Apr!D9, May!D9, Jun!D9)</f>
        <v>549836.5</v>
      </c>
      <c r="E9" s="51">
        <f t="shared" si="0"/>
        <v>-15967</v>
      </c>
      <c r="F9" s="52">
        <f t="shared" si="1"/>
        <v>-2.9039541754685257E-2</v>
      </c>
      <c r="G9" s="47">
        <f>SUM(Apr!G9+May!G9+Jun!G9)</f>
        <v>600960.5</v>
      </c>
      <c r="H9" s="53">
        <f>SUM(Apr!H9, May!H9, Jun!H9)</f>
        <v>-67091</v>
      </c>
      <c r="I9" s="52">
        <f t="shared" si="2"/>
        <v>-0.11163961691325802</v>
      </c>
    </row>
    <row r="10" spans="1:9" ht="15.75">
      <c r="A10" s="66" t="str">
        <v>Sutton A</v>
      </c>
      <c r="B10" s="62" t="str">
        <v>MA</v>
      </c>
      <c r="C10" s="57">
        <f>SUM(Apr!C10, May!C10, Jun!C10)</f>
        <v>292928</v>
      </c>
      <c r="D10" s="45">
        <f>SUM(Apr!D10, May!D10, Jun!D10)</f>
        <v>294853.40000000002</v>
      </c>
      <c r="E10" s="45">
        <f t="shared" si="0"/>
        <v>-1925.4000000000233</v>
      </c>
      <c r="F10" s="58">
        <f t="shared" si="1"/>
        <v>-6.5300247512832584E-3</v>
      </c>
      <c r="G10" s="47">
        <f>SUM(Apr!G10+May!G10+Jun!G10)</f>
        <v>341128.1</v>
      </c>
      <c r="H10" s="47">
        <f>SUM(Apr!H10, May!H10, Jun!H10)</f>
        <v>-48200.100000000006</v>
      </c>
      <c r="I10" s="46">
        <f t="shared" si="2"/>
        <v>-0.14129618756121237</v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308485</v>
      </c>
      <c r="D11" s="51">
        <f>SUM(Apr!D11, May!D11, Jun!D11)</f>
        <v>313165.40000000002</v>
      </c>
      <c r="E11" s="51">
        <f t="shared" si="0"/>
        <v>-4680.4000000000233</v>
      </c>
      <c r="F11" s="52">
        <f t="shared" si="1"/>
        <v>-1.4945456937452296E-2</v>
      </c>
      <c r="G11" s="47">
        <f>SUM(Apr!G11+May!G11+Jun!G11)</f>
        <v>363761.30000000005</v>
      </c>
      <c r="H11" s="53">
        <f>SUM(Apr!H11, May!H11, Jun!H11)</f>
        <v>-55276.300000000017</v>
      </c>
      <c r="I11" s="52">
        <f t="shared" si="2"/>
        <v>-0.15195761616202716</v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305903</v>
      </c>
      <c r="D12" s="45">
        <f>SUM(Apr!D12, May!D12, Jun!D12)</f>
        <v>271955.69999999995</v>
      </c>
      <c r="E12" s="45">
        <f t="shared" si="0"/>
        <v>33947.300000000047</v>
      </c>
      <c r="F12" s="58">
        <f t="shared" si="1"/>
        <v>0.12482658021140962</v>
      </c>
      <c r="G12" s="47">
        <f>SUM(Apr!G12+May!G12+Jun!G12)</f>
        <v>363761.30000000005</v>
      </c>
      <c r="H12" s="47">
        <f>SUM(Apr!H12, May!H12, Jun!H12)</f>
        <v>-57858.300000000017</v>
      </c>
      <c r="I12" s="46">
        <f t="shared" si="2"/>
        <v>-0.15905567744562166</v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314116</v>
      </c>
      <c r="D13" s="51">
        <f>SUM(Apr!D13, May!D13, Jun!D13)</f>
        <v>315940</v>
      </c>
      <c r="E13" s="51">
        <f t="shared" si="0"/>
        <v>-1824</v>
      </c>
      <c r="F13" s="52">
        <f t="shared" si="1"/>
        <v>-5.7732480850794451E-3</v>
      </c>
      <c r="G13" s="47">
        <f>SUM(Apr!G13+May!G13+Jun!G13)</f>
        <v>362110.1</v>
      </c>
      <c r="H13" s="53">
        <f>SUM(Apr!H13, May!H13, Jun!H13)</f>
        <v>-47994.099999999977</v>
      </c>
      <c r="I13" s="52">
        <f t="shared" si="2"/>
        <v>-0.13254007551846794</v>
      </c>
    </row>
    <row r="14" spans="1:9" ht="15.75">
      <c r="A14" s="66" t="str">
        <v>Swansea B</v>
      </c>
      <c r="B14" s="62" t="str">
        <v>MA</v>
      </c>
      <c r="C14" s="57">
        <f>SUM(Apr!C14, May!C14, Jun!C14)</f>
        <v>334681</v>
      </c>
      <c r="D14" s="45">
        <f>SUM(Apr!D14, May!D14, Jun!D14)</f>
        <v>341998.9</v>
      </c>
      <c r="E14" s="45">
        <f t="shared" si="0"/>
        <v>-7317.9000000000233</v>
      </c>
      <c r="F14" s="58">
        <f t="shared" si="1"/>
        <v>-2.1397437243219269E-2</v>
      </c>
      <c r="G14" s="47">
        <f>SUM(Apr!G14+May!G14+Jun!G14)</f>
        <v>266813.59999999998</v>
      </c>
      <c r="H14" s="47">
        <f>SUM(Apr!H14, May!H14, Jun!H14)</f>
        <v>67867.399999999994</v>
      </c>
      <c r="I14" s="46">
        <f t="shared" si="2"/>
        <v>0.25436259620948859</v>
      </c>
    </row>
    <row r="15" spans="1:9" ht="15.75">
      <c r="A15" s="67" t="str">
        <v>Wareham 2</v>
      </c>
      <c r="B15" s="64" t="str">
        <v>MA</v>
      </c>
      <c r="C15" s="59">
        <f>SUM(Apr!C15, May!C15, Jun!C15)</f>
        <v>301582.2</v>
      </c>
      <c r="D15" s="51">
        <f>SUM(Apr!D15, May!D15, Jun!D15)</f>
        <v>294326.09999999998</v>
      </c>
      <c r="E15" s="51">
        <f t="shared" si="0"/>
        <v>7256.1000000000349</v>
      </c>
      <c r="F15" s="52">
        <f t="shared" si="1"/>
        <v>2.4653267243374053E-2</v>
      </c>
      <c r="G15" s="47">
        <f>SUM(Apr!G15+May!G15+Jun!G15)</f>
        <v>389676.5</v>
      </c>
      <c r="H15" s="53">
        <f>SUM(Apr!H15, May!H15, Jun!H15)</f>
        <v>-88094.299999999988</v>
      </c>
      <c r="I15" s="52">
        <f t="shared" si="2"/>
        <v>-0.22607034296397135</v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281589</v>
      </c>
      <c r="D16" s="45">
        <f>SUM(Apr!D16, May!D16, Jun!D16)</f>
        <v>278462.69999999995</v>
      </c>
      <c r="E16" s="45">
        <f t="shared" ref="E16:E18" si="3">IF(AND(ISNUMBER(C16),ISNUMBER(D16)), C16-D16, "")</f>
        <v>3126.3000000000466</v>
      </c>
      <c r="F16" s="58">
        <f t="shared" ref="F16:F18" si="4">IFERROR(E16/D16, "")</f>
        <v>1.1226997368049822E-2</v>
      </c>
      <c r="G16" s="47">
        <f>SUM(Apr!G16+May!G16+Jun!G16)</f>
        <v>309838.90000000002</v>
      </c>
      <c r="H16" s="47">
        <f>SUM(Apr!H16, May!H16, Jun!H16)</f>
        <v>-28249.900000000023</v>
      </c>
      <c r="I16" s="46">
        <f t="shared" ref="I16:I18" si="5">IFERROR(H16/G16, "")</f>
        <v>-9.1176091833530329E-2</v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229357</v>
      </c>
      <c r="D17" s="45">
        <f>SUM(Apr!D17, May!D17, Jun!D17)</f>
        <v>192767.99</v>
      </c>
      <c r="E17" s="45">
        <f t="shared" si="3"/>
        <v>36589.010000000009</v>
      </c>
      <c r="F17" s="58">
        <f t="shared" si="4"/>
        <v>0.18980853615789639</v>
      </c>
      <c r="G17" s="47">
        <f>SUM(Apr!G17+May!G17+Jun!G17)</f>
        <v>248695.90000000002</v>
      </c>
      <c r="H17" s="47">
        <f>SUM(Apr!H17, May!H17, Jun!H17)</f>
        <v>-19338.900000000009</v>
      </c>
      <c r="I17" s="46">
        <f t="shared" si="5"/>
        <v>-7.7761233699469939E-2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325001</v>
      </c>
      <c r="D18" s="51">
        <f>SUM(Apr!D18, May!D18, Jun!D18)</f>
        <v>314249.90000000002</v>
      </c>
      <c r="E18" s="51">
        <f t="shared" si="3"/>
        <v>10751.099999999977</v>
      </c>
      <c r="F18" s="52">
        <f t="shared" si="4"/>
        <v>3.4211944061079975E-2</v>
      </c>
      <c r="G18" s="47">
        <f>SUM(Apr!G18+May!G18+Jun!G18)</f>
        <v>358321.1</v>
      </c>
      <c r="H18" s="53">
        <f>SUM(Apr!H18, May!H18, Jun!H18)</f>
        <v>-33320.100000000006</v>
      </c>
      <c r="I18" s="52">
        <f t="shared" si="5"/>
        <v>-9.298950019968126E-2</v>
      </c>
    </row>
    <row r="19" spans="1:9" ht="15.75">
      <c r="A19" s="67" t="str">
        <v>Fairhaven C</v>
      </c>
      <c r="B19" s="64" t="str">
        <v>MA</v>
      </c>
      <c r="C19" s="57">
        <f>SUM(Apr!C19, May!C19, Jun!C19)</f>
        <v>538528</v>
      </c>
      <c r="D19" s="45">
        <f>SUM(Apr!D19, May!D19, Jun!D19)</f>
        <v>596764.4</v>
      </c>
      <c r="E19" s="45">
        <f t="shared" ref="E19:E20" si="6">IF(AND(ISNUMBER(C19),ISNUMBER(D19)), C19-D19, "")</f>
        <v>-58236.400000000023</v>
      </c>
      <c r="F19" s="58">
        <f t="shared" ref="F19:F20" si="7">IFERROR(E19/D19, "")</f>
        <v>-9.7586920399407237E-2</v>
      </c>
      <c r="G19" s="47">
        <f>SUM(Apr!G19+May!G19+Jun!G19)</f>
        <v>671237.10000000009</v>
      </c>
      <c r="H19" s="47">
        <f>SUM(Apr!H19, May!H19, Jun!H19)</f>
        <v>-132709.10000000003</v>
      </c>
      <c r="I19" s="46">
        <f t="shared" ref="I19:I20" si="8">IFERROR(H19/G19, "")</f>
        <v>-0.19770823156229</v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322982</v>
      </c>
      <c r="D20" s="45">
        <f>SUM(Apr!D20, May!D20, Jun!D20)</f>
        <v>329600</v>
      </c>
      <c r="E20" s="45">
        <f t="shared" si="6"/>
        <v>-6618</v>
      </c>
      <c r="F20" s="58">
        <f t="shared" si="7"/>
        <v>-2.0078883495145632E-2</v>
      </c>
      <c r="G20" s="47">
        <f>SUM(Apr!G20+May!G20+Jun!G20)</f>
        <v>364296.4</v>
      </c>
      <c r="H20" s="47">
        <f>SUM(Apr!H20, May!H20, Jun!H20)</f>
        <v>-41314.399999999994</v>
      </c>
      <c r="I20" s="46">
        <f t="shared" si="8"/>
        <v>-0.1134087517746538</v>
      </c>
    </row>
    <row r="21" spans="1:9" ht="12.9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2.9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2.9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2.9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2.9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MN8 KEF</v>
      </c>
      <c r="B1" s="77"/>
      <c r="C1" s="77"/>
      <c r="D1" s="78" t="s">
        <v>14</v>
      </c>
      <c r="E1" s="78"/>
      <c r="F1" s="78"/>
      <c r="G1" s="76" t="s">
        <v>15</v>
      </c>
      <c r="H1" s="76"/>
      <c r="I1" s="76"/>
    </row>
    <row r="2" spans="1:9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/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/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/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/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/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/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/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/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/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/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/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/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/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/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MN8 KEF</v>
      </c>
      <c r="B1" s="77"/>
      <c r="C1" s="77"/>
      <c r="D1" s="78" t="s">
        <v>16</v>
      </c>
      <c r="E1" s="78"/>
      <c r="F1" s="78"/>
      <c r="G1" s="76" t="s">
        <v>17</v>
      </c>
      <c r="H1" s="76"/>
      <c r="I1" s="76"/>
    </row>
    <row r="2" spans="1:9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2.9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2.9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2.9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2.9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2.9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2.9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2.9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2.9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2.9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2.9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2.9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2.9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2.9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2.9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2.9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2.9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2.9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2.9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2.9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2.9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2.9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2.9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2.9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2.9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2.9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2.9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2.9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2.9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2.9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2.9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2.9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2.9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2.9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2.9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2.9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2.9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2.9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2.9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2.9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2.9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2.9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2.9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2.9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2.9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2.9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2.9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2.9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2.9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2.9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2.9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2.9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2.9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2.9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2.9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2.9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2.9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2.9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2.9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2.9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2.9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2.9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2.9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2.9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2.9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2.9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2.9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2.9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2.9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2.9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2.9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2.9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2.9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2.9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2.9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2.9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2.9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2.9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2.9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2.9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2.9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2.9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2.9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2.9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2.9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2.9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2.9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2.9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2.9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2.9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2.9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2.9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2.9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2.9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2.9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2.9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2.9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2.9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2.9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2.9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2.9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2.9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2.9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2.9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2.9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2.9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2.9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2.9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2.9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2.9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2.9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2.9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2.9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2.9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2.9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2.9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2.9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2.9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2.9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2.9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2.9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2.9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2.9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2.9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2.9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2.9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2.9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2.9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2.9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2.9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2.9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2.9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2.9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2.9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2.9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2.9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2.9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2.9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2.9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2.9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2.9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2.9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2.9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2.9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2.9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2.9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2.9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2.9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2.9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2.9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2.9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2.9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2.9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2.9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2.9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2.9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2.9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2.9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2.9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2.9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2.9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2.9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2.9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2.9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2.9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2.9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2.9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2.9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2.9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2.9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2.9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2.9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2.9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2.9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2.9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2.9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2.9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2.9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2.9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2.9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2.9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2.9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2.9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2.9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2.9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2.9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2.9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2.9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2.9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2.9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2.9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2.9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2.9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2.9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2.9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2.9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2.9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2.9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2.9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2.9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2.9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2.9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2.9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2.9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2.9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2.9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2.9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2.9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2.9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2.9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2.9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2.9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2.9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2.9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2.9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2.9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2.9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2.9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2.9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2.9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2.9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2.9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2.9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2.9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2.9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2.9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2.9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2.9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2.9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2.9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2.9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2.9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2.9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2.9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2.9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2.9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2.9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2.9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2.9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2.9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2.9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2.9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2.9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2.9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2.9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2.9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2.9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2.9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2.9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2.9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2.9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2.9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2.9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2.9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2.9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2.9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2.9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2.9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2.9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2.9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2.9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2.9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2.9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2.9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2.9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2.9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2.9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2.9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2.9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2.9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2.9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2.9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2.9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2.9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2.9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2.9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2.9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2.9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2.9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2.9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2.9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2.9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2.9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2.9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2.9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2.9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2.9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2.9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2.9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2.9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2.9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2.9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2.9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2.9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2.9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2.9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2.9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2.9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2.9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2.9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2.9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2.9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2.9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2.9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2.9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2.9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2.9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2.9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2.9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2.9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2.9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2.9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2.9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7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7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7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75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2.9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2.9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42.95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15.75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38</v>
      </c>
      <c r="E1" s="78"/>
      <c r="F1" s="78"/>
      <c r="G1" s="76" t="s">
        <v>39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7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7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53</v>
      </c>
      <c r="E1" s="78"/>
      <c r="F1" s="78"/>
      <c r="G1" s="76" t="s">
        <v>54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7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7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7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workbookViewId="0">
      <pane xSplit="2" ySplit="3" topLeftCell="C4" activePane="bottomRight" state="frozen"/>
      <selection pane="bottomRight" activeCell="J19" sqref="J19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60</v>
      </c>
      <c r="E1" s="78"/>
      <c r="F1" s="78"/>
      <c r="G1" s="76" t="s">
        <v>61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75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75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75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75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75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1.650000000000006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75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1.650000000000006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75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tabSelected="1" workbookViewId="0">
      <pane xSplit="2" ySplit="3" topLeftCell="C6" activePane="bottomRight" state="frozen"/>
      <selection pane="bottomRight" activeCell="C9" sqref="C9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84</v>
      </c>
      <c r="E1" s="78"/>
      <c r="F1" s="78"/>
      <c r="G1" s="76" t="s">
        <v>85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75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6.5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75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75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75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75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30.75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30.75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75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75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75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75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30.75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75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103</v>
      </c>
      <c r="E1" s="78"/>
      <c r="F1" s="78"/>
      <c r="G1" s="76" t="s">
        <v>104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105</v>
      </c>
      <c r="E1" s="78"/>
      <c r="F1" s="78"/>
      <c r="G1" s="76" t="s">
        <v>106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107</v>
      </c>
      <c r="E1" s="78"/>
      <c r="F1" s="78"/>
      <c r="G1" s="76" t="s">
        <v>108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109</v>
      </c>
      <c r="E1" s="78"/>
      <c r="F1" s="78"/>
      <c r="G1" s="76" t="s">
        <v>110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111</v>
      </c>
      <c r="E1" s="78"/>
      <c r="F1" s="78"/>
      <c r="G1" s="76" t="s">
        <v>112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113</v>
      </c>
      <c r="E1" s="78"/>
      <c r="F1" s="78"/>
      <c r="G1" s="76" t="s">
        <v>114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7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MN8 KEF</v>
      </c>
      <c r="B1" s="77"/>
      <c r="C1" s="77"/>
      <c r="D1" s="78" t="s">
        <v>115</v>
      </c>
      <c r="E1" s="78"/>
      <c r="F1" s="78"/>
      <c r="G1" s="76" t="s">
        <v>116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117</v>
      </c>
      <c r="B1" t="s">
        <v>118</v>
      </c>
    </row>
    <row r="3" spans="1:12">
      <c r="A3" t="s">
        <v>119</v>
      </c>
      <c r="B3" t="s">
        <v>3</v>
      </c>
      <c r="C3" t="s">
        <v>4</v>
      </c>
      <c r="D3" t="s">
        <v>120</v>
      </c>
      <c r="E3" s="2" t="s">
        <v>121</v>
      </c>
    </row>
    <row r="4" spans="1:12" ht="14.45">
      <c r="A4" s="35" t="s">
        <v>122</v>
      </c>
      <c r="B4" t="s">
        <v>123</v>
      </c>
      <c r="C4" s="34" t="s">
        <v>124</v>
      </c>
      <c r="D4" s="33" t="s">
        <v>125</v>
      </c>
      <c r="E4" t="s">
        <v>126</v>
      </c>
      <c r="G4" s="3"/>
    </row>
    <row r="5" spans="1:12" ht="14.45">
      <c r="A5" s="35" t="s">
        <v>127</v>
      </c>
      <c r="B5" t="s">
        <v>128</v>
      </c>
      <c r="C5" s="34" t="s">
        <v>124</v>
      </c>
      <c r="D5" s="33" t="s">
        <v>125</v>
      </c>
      <c r="E5" t="s">
        <v>126</v>
      </c>
      <c r="G5" s="3"/>
    </row>
    <row r="6" spans="1:12" ht="14.45">
      <c r="A6" s="35" t="s">
        <v>129</v>
      </c>
      <c r="B6" t="s">
        <v>130</v>
      </c>
      <c r="C6" s="34" t="s">
        <v>124</v>
      </c>
      <c r="D6" s="33" t="s">
        <v>125</v>
      </c>
      <c r="E6" t="s">
        <v>126</v>
      </c>
      <c r="G6" s="3"/>
    </row>
    <row r="7" spans="1:12" ht="12.75" customHeight="1">
      <c r="A7" s="35" t="s">
        <v>131</v>
      </c>
      <c r="B7" t="s">
        <v>132</v>
      </c>
      <c r="C7" s="34" t="s">
        <v>124</v>
      </c>
      <c r="D7" s="33" t="s">
        <v>125</v>
      </c>
      <c r="E7" t="s">
        <v>126</v>
      </c>
    </row>
    <row r="8" spans="1:12" ht="12.75" customHeight="1">
      <c r="A8" s="35" t="s">
        <v>133</v>
      </c>
      <c r="B8" t="s">
        <v>134</v>
      </c>
      <c r="C8" s="34" t="s">
        <v>124</v>
      </c>
      <c r="D8" s="33" t="s">
        <v>125</v>
      </c>
      <c r="E8" t="s">
        <v>126</v>
      </c>
    </row>
    <row r="9" spans="1:12" ht="12.75" customHeight="1">
      <c r="A9" s="35" t="s">
        <v>135</v>
      </c>
      <c r="B9" t="s">
        <v>136</v>
      </c>
      <c r="C9" s="34" t="s">
        <v>124</v>
      </c>
      <c r="D9" s="33" t="s">
        <v>125</v>
      </c>
      <c r="E9" t="s">
        <v>126</v>
      </c>
    </row>
    <row r="10" spans="1:12" ht="12.75" customHeight="1">
      <c r="A10" s="35" t="s">
        <v>137</v>
      </c>
      <c r="B10" t="s">
        <v>138</v>
      </c>
      <c r="C10" s="34" t="s">
        <v>124</v>
      </c>
      <c r="D10" s="33" t="s">
        <v>125</v>
      </c>
      <c r="E10" t="s">
        <v>126</v>
      </c>
      <c r="K10" s="30"/>
      <c r="L10" s="30"/>
    </row>
    <row r="11" spans="1:12" ht="12.75" customHeight="1">
      <c r="A11" s="35" t="s">
        <v>139</v>
      </c>
      <c r="B11" t="s">
        <v>140</v>
      </c>
      <c r="C11" s="34" t="s">
        <v>124</v>
      </c>
      <c r="D11" s="33" t="s">
        <v>125</v>
      </c>
      <c r="E11" t="s">
        <v>126</v>
      </c>
      <c r="K11" s="30"/>
      <c r="L11" s="30"/>
    </row>
    <row r="12" spans="1:12" ht="12.75" customHeight="1">
      <c r="A12" s="35" t="s">
        <v>141</v>
      </c>
      <c r="B12" t="s">
        <v>142</v>
      </c>
      <c r="C12" s="34" t="s">
        <v>124</v>
      </c>
      <c r="D12" s="33" t="s">
        <v>125</v>
      </c>
      <c r="E12" t="s">
        <v>126</v>
      </c>
      <c r="K12" s="30"/>
      <c r="L12" s="30"/>
    </row>
    <row r="13" spans="1:12" ht="12.75" customHeight="1">
      <c r="A13" s="35" t="s">
        <v>143</v>
      </c>
      <c r="B13" t="s">
        <v>144</v>
      </c>
      <c r="C13" s="34" t="s">
        <v>124</v>
      </c>
      <c r="D13" s="33" t="s">
        <v>125</v>
      </c>
      <c r="E13" t="s">
        <v>126</v>
      </c>
      <c r="K13" s="30"/>
      <c r="L13" s="30"/>
    </row>
    <row r="14" spans="1:12" ht="12.75" customHeight="1">
      <c r="A14" s="35" t="s">
        <v>145</v>
      </c>
      <c r="B14" t="s">
        <v>146</v>
      </c>
      <c r="C14" s="34" t="s">
        <v>124</v>
      </c>
      <c r="D14" s="33" t="s">
        <v>125</v>
      </c>
      <c r="E14" t="s">
        <v>126</v>
      </c>
      <c r="K14" s="30"/>
      <c r="L14" s="30"/>
    </row>
    <row r="15" spans="1:12" ht="12.75" customHeight="1">
      <c r="A15" s="35" t="s">
        <v>147</v>
      </c>
      <c r="B15" t="s">
        <v>148</v>
      </c>
      <c r="C15" s="34" t="s">
        <v>124</v>
      </c>
      <c r="D15" s="33" t="s">
        <v>125</v>
      </c>
      <c r="E15" t="s">
        <v>126</v>
      </c>
      <c r="K15" s="30"/>
      <c r="L15" s="30"/>
    </row>
    <row r="16" spans="1:12" ht="12.75" customHeight="1">
      <c r="A16" s="35" t="s">
        <v>149</v>
      </c>
      <c r="B16" t="s">
        <v>150</v>
      </c>
      <c r="C16" s="34" t="s">
        <v>124</v>
      </c>
      <c r="D16" s="33" t="s">
        <v>125</v>
      </c>
      <c r="E16" t="s">
        <v>126</v>
      </c>
      <c r="K16" s="30"/>
      <c r="L16" s="30"/>
    </row>
    <row r="17" spans="1:12" ht="12.75" customHeight="1">
      <c r="A17" s="35" t="s">
        <v>151</v>
      </c>
      <c r="B17" t="s">
        <v>152</v>
      </c>
      <c r="C17" s="34" t="s">
        <v>124</v>
      </c>
      <c r="D17" s="33" t="s">
        <v>125</v>
      </c>
      <c r="E17" t="s">
        <v>126</v>
      </c>
      <c r="K17" s="30"/>
      <c r="L17" s="30"/>
    </row>
    <row r="18" spans="1:12" ht="12.75" customHeight="1">
      <c r="A18" s="35" t="s">
        <v>153</v>
      </c>
      <c r="B18" t="s">
        <v>154</v>
      </c>
      <c r="C18" s="34" t="s">
        <v>124</v>
      </c>
      <c r="D18" s="33" t="s">
        <v>125</v>
      </c>
      <c r="E18" t="s">
        <v>126</v>
      </c>
      <c r="K18" s="30"/>
      <c r="L18" s="30"/>
    </row>
    <row r="19" spans="1:12" ht="12.75" customHeight="1">
      <c r="A19" s="35" t="s">
        <v>155</v>
      </c>
      <c r="B19" t="s">
        <v>156</v>
      </c>
      <c r="C19" s="34" t="s">
        <v>124</v>
      </c>
      <c r="D19" s="33" t="s">
        <v>125</v>
      </c>
      <c r="E19" t="s">
        <v>126</v>
      </c>
      <c r="K19" s="30"/>
      <c r="L19" s="30"/>
    </row>
    <row r="20" spans="1:12" ht="12.75" customHeight="1">
      <c r="A20" s="35" t="s">
        <v>157</v>
      </c>
      <c r="B20" t="s">
        <v>158</v>
      </c>
      <c r="C20" s="34" t="s">
        <v>124</v>
      </c>
      <c r="D20" s="33" t="s">
        <v>125</v>
      </c>
      <c r="E20" t="s">
        <v>126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2024-06-18T02:21:12Z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