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74" documentId="13_ncr:1_{9E70908C-4AA4-4E01-8DDF-23772429EF51}" xr6:coauthVersionLast="47" xr6:coauthVersionMax="47" xr10:uidLastSave="{1DB19CB6-1F41-4CA7-AC9F-0F72A9E5C941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0" l="1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E20" i="18" l="1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E16" i="29" s="1"/>
  <c r="F16" i="29" s="1"/>
  <c r="D16" i="29"/>
  <c r="C17" i="29"/>
  <c r="D17" i="29"/>
  <c r="E17" i="29"/>
  <c r="F17" i="29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1" i="18" l="1"/>
  <c r="F11" i="18" s="1"/>
  <c r="E15" i="18"/>
  <c r="F15" i="18" s="1"/>
  <c r="D4" i="34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I16" i="29" s="1"/>
  <c r="E19" i="30"/>
  <c r="F19" i="30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E21" i="30"/>
  <c r="F21" i="30" s="1"/>
  <c r="E21" i="1"/>
  <c r="F21" i="1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<sst xmlns="http://schemas.openxmlformats.org/spreadsheetml/2006/main" count="468" uniqueCount="176">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</sst>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1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38 DN</v>
      </c>
      <c r="B1" s="72"/>
      <c r="C1" s="72"/>
      <c r="D1" s="73" t="s">
        <v>0</v>
      </c>
      <c r="E1" s="73"/>
      <c r="F1" s="73"/>
      <c r="G1" s="71" t="s">
        <v>1</v>
      </c>
      <c r="H1" s="71"/>
      <c r="I1" s="71"/>
    </row>
    <row r="2" spans="1:9" ht="19.5" customHeight="1">
      <c r="A2" s="74" t="s">
        <v>2</v>
      </c>
      <c r="B2" s="74"/>
      <c r="C2" s="5">
        <f>SUM(C4:C99)</f>
        <v>8080379.5</v>
      </c>
      <c r="D2" s="5">
        <f>SUM(D4:D99)</f>
        <v>10085163.689999999</v>
      </c>
      <c r="E2" s="5">
        <f>C2-D2</f>
        <v>-2004784.1899999995</v>
      </c>
      <c r="F2" s="6">
        <f>IFERROR(E2/D2, 0)</f>
        <v>-0.19878548842869595</v>
      </c>
      <c r="G2" s="5">
        <f>SUM(G4:G99)</f>
        <v>18474231.719999995</v>
      </c>
      <c r="H2" s="7">
        <f>C2-G2</f>
        <v>-10393852.219999995</v>
      </c>
      <c r="I2" s="6">
        <f>IFERROR(H2/G2, 0)</f>
        <v>-0.56261350282554523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859509</v>
      </c>
      <c r="D4" s="37">
        <f>SUM('1st Qtr'!D4, '2nd Qtr'!D4, '3rd Qtr'!D4, '4th Qtr'!D4)</f>
        <v>873204.7</v>
      </c>
      <c r="E4" s="37">
        <f>IF(AND(ISNUMBER(C4),ISNUMBER(D4)), C4-D4, "")</f>
        <v>-13695.699999999953</v>
      </c>
      <c r="F4" s="38">
        <f>IFERROR(E4/D4, "")</f>
        <v>-1.5684409394498167E-2</v>
      </c>
      <c r="G4" s="39">
        <f>SUM('1st Qtr'!G4, '2nd Qtr'!G4, '3rd Qtr'!G4, '4th Qtr'!G4)</f>
        <v>967362.5</v>
      </c>
      <c r="H4" s="39">
        <f>SUM('1st Qtr'!H4, '2nd Qtr'!H4, '3rd Qtr'!H4, '4th Qtr'!H4)</f>
        <v>-107853.50000000003</v>
      </c>
      <c r="I4" s="40">
        <f>IFERROR(H4/G4, "")</f>
        <v>-0.11149233095142723</v>
      </c>
    </row>
    <row r="5" spans="1:9" ht="15.6">
      <c r="A5" s="41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SUM('1st Qtr'!G5, '2nd Qtr'!G5, '3rd Qtr'!G5, '4th Qtr'!G5)</f>
        <v>671186.73</v>
      </c>
      <c r="H5" s="46">
        <f>SUM(Jan!H5, Feb!H5, Mar!H5)</f>
        <v>-31399.929999999993</v>
      </c>
      <c r="I5" s="45">
        <f>IFERROR(H5/G5, "")</f>
        <v>-4.6782703823718318E-2</v>
      </c>
    </row>
    <row r="6" spans="1:9" ht="15.6">
      <c r="A6" s="34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SUM('1st Qtr'!G6, '2nd Qtr'!G6, '3rd Qtr'!G6, '4th Qtr'!G6)</f>
        <v>1401888.6</v>
      </c>
      <c r="H6" s="39">
        <f>SUM(Jan!H6, Feb!H6, Mar!H6)</f>
        <v>-84457.999999999971</v>
      </c>
      <c r="I6" s="40">
        <f t="shared" ref="I6:I15" si="2">IFERROR(H6/G6, "")</f>
        <v>-6.0245871176925161E-2</v>
      </c>
    </row>
    <row r="7" spans="1:9" ht="15.6">
      <c r="A7" s="41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SUM('1st Qtr'!G7, '2nd Qtr'!G7, '3rd Qtr'!G7, '4th Qtr'!G7)</f>
        <v>701583.44000000006</v>
      </c>
      <c r="H7" s="46">
        <f>SUM(Jan!H7, Feb!H7, Mar!H7)</f>
        <v>-46244.540000000008</v>
      </c>
      <c r="I7" s="45">
        <f t="shared" si="2"/>
        <v>-6.5914526146740302E-2</v>
      </c>
    </row>
    <row r="8" spans="1:9" ht="15.6">
      <c r="A8" s="34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SUM('1st Qtr'!G8, '2nd Qtr'!G8, '3rd Qtr'!G8, '4th Qtr'!G8)</f>
        <v>1842482.7000000002</v>
      </c>
      <c r="H8" s="39">
        <f>SUM(Jan!H8, Feb!H8, Mar!H8)</f>
        <v>-24305.299999999988</v>
      </c>
      <c r="I8" s="40">
        <f t="shared" si="2"/>
        <v>-1.3191602830246377E-2</v>
      </c>
    </row>
    <row r="9" spans="1:9" ht="15.6">
      <c r="A9" s="41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SUM('1st Qtr'!G9, '2nd Qtr'!G9, '3rd Qtr'!G9, '4th Qtr'!G9)</f>
        <v>686577</v>
      </c>
      <c r="H9" s="46">
        <f>SUM(Jan!H9, Feb!H9, Mar!H9)</f>
        <v>-46680</v>
      </c>
      <c r="I9" s="45">
        <f t="shared" si="2"/>
        <v>-6.7989460759681722E-2</v>
      </c>
    </row>
    <row r="10" spans="1:9" ht="15.6">
      <c r="A10" s="34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SUM('1st Qtr'!G10, '2nd Qtr'!G10, '3rd Qtr'!G10, '4th Qtr'!G10)</f>
        <v>788919.60000000009</v>
      </c>
      <c r="H10" s="39">
        <f>SUM(Jan!H10, Feb!H10, Mar!H10)</f>
        <v>-141140.20000000001</v>
      </c>
      <c r="I10" s="40">
        <f t="shared" si="2"/>
        <v>-0.17890314805209553</v>
      </c>
    </row>
    <row r="11" spans="1:9" ht="15.6">
      <c r="A11" s="41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SUM('1st Qtr'!G11, '2nd Qtr'!G11, '3rd Qtr'!G11, '4th Qtr'!G11)</f>
        <v>1462722.7</v>
      </c>
      <c r="H11" s="46">
        <f>SUM(Jan!H11, Feb!H11, Mar!H11)</f>
        <v>-68152.899999999994</v>
      </c>
      <c r="I11" s="45">
        <f t="shared" si="2"/>
        <v>-4.6593178597693193E-2</v>
      </c>
    </row>
    <row r="12" spans="1:9" ht="15.6">
      <c r="A12" s="34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SUM('1st Qtr'!G12, '2nd Qtr'!G12, '3rd Qtr'!G12, '4th Qtr'!G12)</f>
        <v>712055.33000000007</v>
      </c>
      <c r="H12" s="39">
        <f>SUM(Jan!H12, Feb!H12, Mar!H12)</f>
        <v>-39098.029999999984</v>
      </c>
      <c r="I12" s="40">
        <f t="shared" si="2"/>
        <v>-5.4908696491324599E-2</v>
      </c>
    </row>
    <row r="13" spans="1:9" ht="15.6">
      <c r="A13" s="41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SUM('1st Qtr'!G13, '2nd Qtr'!G13, '3rd Qtr'!G13, '4th Qtr'!G13)</f>
        <v>682501.62999999989</v>
      </c>
      <c r="H13" s="46">
        <f>SUM(Jan!H13, Feb!H13, Mar!H13)</f>
        <v>-33626.930000000008</v>
      </c>
      <c r="I13" s="45">
        <f t="shared" si="2"/>
        <v>-4.9270109435489574E-2</v>
      </c>
    </row>
    <row r="14" spans="1:9" ht="15.6">
      <c r="A14" s="34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SUM('1st Qtr'!G14, '2nd Qtr'!G14, '3rd Qtr'!G14, '4th Qtr'!G14)</f>
        <v>692187.79</v>
      </c>
      <c r="H14" s="39">
        <f>SUM(Jan!H14, Feb!H14, Mar!H14)</f>
        <v>-17504.989999999991</v>
      </c>
      <c r="I14" s="40">
        <f t="shared" si="2"/>
        <v>-2.5289365476961086E-2</v>
      </c>
    </row>
    <row r="15" spans="1:9" ht="15.6">
      <c r="A15" s="41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SUM('1st Qtr'!G15, '2nd Qtr'!G15, '3rd Qtr'!G15, '4th Qtr'!G15)</f>
        <v>320821.84999999998</v>
      </c>
      <c r="H15" s="46">
        <f>SUM(Jan!H15, Feb!H15, Mar!H15)</f>
        <v>-11730.430000000008</v>
      </c>
      <c r="I15" s="45">
        <f t="shared" si="2"/>
        <v>-3.6563687915894781E-2</v>
      </c>
    </row>
    <row r="16" spans="1:9" ht="15.6">
      <c r="A16" s="34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9" si="3">IF(AND(ISNUMBER(C16),ISNUMBER(D16)), C16-D16, "")</f>
        <v>-202502.30000000005</v>
      </c>
      <c r="F16" s="38">
        <f t="shared" ref="F16:F19" si="4">IFERROR(E16/D16, "")</f>
        <v>-0.24306402185606865</v>
      </c>
      <c r="G16" s="39">
        <f>SUM('1st Qtr'!G16, '2nd Qtr'!G16, '3rd Qtr'!G16, '4th Qtr'!G16)</f>
        <v>1572291.1</v>
      </c>
      <c r="H16" s="39">
        <f>SUM(Jan!H16, Feb!H16, Mar!H16)</f>
        <v>-196429.69999999998</v>
      </c>
      <c r="I16" s="40">
        <f t="shared" ref="I16:I19" si="5">IFERROR(H16/G16, "")</f>
        <v>-0.12493214519881209</v>
      </c>
    </row>
    <row r="17" spans="1:9" ht="15.6">
      <c r="A17" s="41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SUM('1st Qtr'!G17, '2nd Qtr'!G17, '3rd Qtr'!G17, '4th Qtr'!G17)</f>
        <v>765250.20000000007</v>
      </c>
      <c r="H17" s="46">
        <f>SUM(Jan!H17, Feb!H17, Mar!H17)</f>
        <v>-113116.4</v>
      </c>
      <c r="I17" s="45">
        <f t="shared" si="5"/>
        <v>-0.14781623056093285</v>
      </c>
    </row>
    <row r="18" spans="1:9" ht="12.75" customHeight="1">
      <c r="A18" s="34" t="str">
        <v>Ledeaux</v>
      </c>
      <c r="B18" s="41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SUM('1st Qtr'!G18, '2nd Qtr'!G18, '3rd Qtr'!G18, '4th Qtr'!G18)</f>
        <v>735922.99</v>
      </c>
      <c r="H18" s="39">
        <f>SUM(Jan!H18, Feb!H18, Mar!H18)</f>
        <v>-116096.19</v>
      </c>
      <c r="I18" s="40">
        <f t="shared" si="5"/>
        <v>-0.15775589508353313</v>
      </c>
    </row>
    <row r="19" spans="1:9" ht="15.6">
      <c r="A19" s="41" t="str">
        <v>Palombo A</v>
      </c>
      <c r="B19" s="41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si="3"/>
        <v>-218385.00000000047</v>
      </c>
      <c r="F19" s="45">
        <f t="shared" si="4"/>
        <v>-0.26194234473692474</v>
      </c>
      <c r="G19" s="46">
        <f>SUM('1st Qtr'!G19, '2nd Qtr'!G19, '3rd Qtr'!G19, '4th Qtr'!G19)</f>
        <v>1665433</v>
      </c>
      <c r="H19" s="46">
        <f>SUM(Jan!H19, Feb!H19, Mar!H19)</f>
        <v>-290292.00000000041</v>
      </c>
      <c r="I19" s="45">
        <f t="shared" si="5"/>
        <v>-0.17430421998363213</v>
      </c>
    </row>
    <row r="20" spans="1:9" ht="15.6">
      <c r="A20" s="34" t="str">
        <v>Palombo B</v>
      </c>
      <c r="B20" s="41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ref="E20:E24" si="6">IF(AND(ISNUMBER(C20),ISNUMBER(D20)), C20-D20, "")</f>
        <v>-99142.849999999977</v>
      </c>
      <c r="F20" s="38">
        <f t="shared" ref="F20:F24" si="7">IFERROR(E20/D20, "")</f>
        <v>-0.25362464452575739</v>
      </c>
      <c r="G20" s="39">
        <f>SUM('1st Qtr'!G20, '2nd Qtr'!G20, '3rd Qtr'!G20, '4th Qtr'!G20)</f>
        <v>697476.39</v>
      </c>
      <c r="H20" s="39">
        <f>SUM(Jan!H20, Feb!H20, Mar!H20)</f>
        <v>-30222.289999999994</v>
      </c>
      <c r="I20" s="40">
        <f t="shared" ref="I20:I24" si="8">IFERROR(H20/G20, "")</f>
        <v>-4.3330914756842157E-2</v>
      </c>
    </row>
    <row r="21" spans="1:9" ht="15.6">
      <c r="A21" s="41" t="str">
        <v>St Josephs Church</v>
      </c>
      <c r="B21" s="41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SUM('1st Qtr'!G21, '2nd Qtr'!G21, '3rd Qtr'!G21, '4th Qtr'!G21)</f>
        <v>719169.12000000011</v>
      </c>
      <c r="H21" s="46">
        <f>SUM(Jan!H21, Feb!H21, Mar!H21)</f>
        <v>-79594.820000000007</v>
      </c>
      <c r="I21" s="45">
        <f t="shared" si="8"/>
        <v>-0.11067608130894162</v>
      </c>
    </row>
    <row r="22" spans="1:9" ht="15.6">
      <c r="A22" s="34" t="str">
        <v>Sunset A</v>
      </c>
      <c r="B22" s="41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SUM('1st Qtr'!G22, '2nd Qtr'!G22, '3rd Qtr'!G22, '4th Qtr'!G22)</f>
        <v>315999.56000000006</v>
      </c>
      <c r="H22" s="39">
        <f>SUM(Jan!H22, Feb!H22, Mar!H22)</f>
        <v>-8226.9600000000028</v>
      </c>
      <c r="I22" s="40">
        <f t="shared" si="8"/>
        <v>-2.6034719795179465E-2</v>
      </c>
    </row>
    <row r="23" spans="1:9" ht="15.6">
      <c r="A23" s="41" t="str">
        <v>Sunset B</v>
      </c>
      <c r="B23" s="41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SUM('1st Qtr'!G23, '2nd Qtr'!G23, '3rd Qtr'!G23, '4th Qtr'!G23)</f>
        <v>312209.99</v>
      </c>
      <c r="H23" s="46">
        <f>SUM(Jan!H23, Feb!H23, Mar!H23)</f>
        <v>-18118.310000000005</v>
      </c>
      <c r="I23" s="45">
        <f t="shared" si="8"/>
        <v>-5.8032447968753356E-2</v>
      </c>
    </row>
    <row r="24" spans="1:9" ht="15.6">
      <c r="A24" s="34" t="str">
        <v>Woodchuck</v>
      </c>
      <c r="B24" s="41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SUM('1st Qtr'!G24, '2nd Qtr'!G24, '3rd Qtr'!G24, '4th Qtr'!G24)</f>
        <v>760189.5</v>
      </c>
      <c r="H24" s="39">
        <f>SUM(Jan!H24, Feb!H24, Mar!H24)</f>
        <v>-95543.8</v>
      </c>
      <c r="I24" s="40">
        <f t="shared" si="8"/>
        <v>-0.1256841879557663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workbookViewId="0">
      <pane xSplit="2" ySplit="3" topLeftCell="C4" activePane="bottomRight" state="frozen"/>
      <selection pane="bottomRight" activeCell="O14" sqref="O1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38 DN</v>
      </c>
      <c r="B1" s="72"/>
      <c r="C1" s="72"/>
      <c r="D1" s="73" t="s">
        <v>10</v>
      </c>
      <c r="E1" s="73"/>
      <c r="F1" s="73"/>
      <c r="G1" s="71" t="s">
        <v>11</v>
      </c>
      <c r="H1" s="71"/>
      <c r="I1" s="71"/>
    </row>
    <row r="2" spans="1:9" ht="19.5" customHeight="1">
      <c r="A2" s="74" t="s">
        <v>2</v>
      </c>
      <c r="B2" s="74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6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6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6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6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6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6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6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6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6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6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6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6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6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6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6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6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6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6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6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G4" sqref="G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38 DN</v>
      </c>
      <c r="B1" s="72"/>
      <c r="C1" s="72"/>
      <c r="D1" s="73" t="s">
        <v>12</v>
      </c>
      <c r="E1" s="73"/>
      <c r="F1" s="73"/>
      <c r="G1" s="71" t="s">
        <v>13</v>
      </c>
      <c r="H1" s="71"/>
      <c r="I1" s="71"/>
    </row>
    <row r="2" spans="1:9" ht="19.5" customHeight="1">
      <c r="A2" s="74" t="s">
        <v>2</v>
      </c>
      <c r="B2" s="74"/>
      <c r="C2" s="5">
        <f>SUM(C4:C99)</f>
        <v>8479816.2707580291</v>
      </c>
      <c r="D2" s="5">
        <f>SUM(D4:D99)</f>
        <v>8718158.9500000011</v>
      </c>
      <c r="E2" s="5">
        <f>C2-D2</f>
        <v>-238342.67924197204</v>
      </c>
      <c r="F2" s="6">
        <f>IFERROR(E2/D2, 0)</f>
        <v>-2.7338648057336924E-2</v>
      </c>
      <c r="G2" s="5">
        <f>SUM(G4:G99)</f>
        <v>9275261.1999999974</v>
      </c>
      <c r="H2" s="7">
        <f>C2-G2</f>
        <v>-795444.92924196832</v>
      </c>
      <c r="I2" s="6">
        <f>IFERROR(H2/G2, 0)</f>
        <v>-8.5759841376970444E-2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444085.3</v>
      </c>
      <c r="D4" s="37">
        <f>SUM(Apr!D4, May!D4, Jun!D4)</f>
        <v>492670.6</v>
      </c>
      <c r="E4" s="37">
        <f>IF(AND(ISNUMBER(C4),ISNUMBER(D4)), C4-D4, "")</f>
        <v>-48585.299999999988</v>
      </c>
      <c r="F4" s="38">
        <f>IFERROR(E4/D4, "")</f>
        <v>-9.861619508044521E-2</v>
      </c>
      <c r="G4" s="39">
        <f>SUM(Apr!G4, May!G4, Jun!G4)</f>
        <v>481244.2</v>
      </c>
      <c r="H4" s="39">
        <f>SUM(Apr!H4, May!H4, Jun!H4)</f>
        <v>-37158.900000000023</v>
      </c>
      <c r="I4" s="40">
        <f>IFERROR(H4/G4, "")</f>
        <v>-7.7214229283178934E-2</v>
      </c>
    </row>
    <row r="5" spans="1:9" ht="15.6">
      <c r="A5" s="56" t="str">
        <v>Barton Acres</v>
      </c>
      <c r="B5" s="42" t="str">
        <v>MA</v>
      </c>
      <c r="C5" s="43">
        <f>SUM(Apr!C5, May!C5, Jun!C5)</f>
        <v>341677.71741354803</v>
      </c>
      <c r="D5" s="44">
        <f>SUM(Apr!D5, May!D5, Jun!D5)</f>
        <v>344471.8</v>
      </c>
      <c r="E5" s="44">
        <f t="shared" ref="E5:E15" si="0">IF(AND(ISNUMBER(C5),ISNUMBER(D5)), C5-D5, "")</f>
        <v>-2794.0825864519575</v>
      </c>
      <c r="F5" s="45">
        <f>IFERROR(E5/D5, "")</f>
        <v>-8.1112084833996796E-3</v>
      </c>
      <c r="G5" s="46">
        <f>SUM(Apr!G5, May!G5, Jun!G5)</f>
        <v>360883.80000000005</v>
      </c>
      <c r="H5" s="46">
        <f>SUM(Apr!H5, May!H5, Jun!H5)</f>
        <v>-19206.082586452016</v>
      </c>
      <c r="I5" s="45">
        <f>IFERROR(H5/G5, "")</f>
        <v>-5.3219575349328543E-2</v>
      </c>
    </row>
    <row r="6" spans="1:9" ht="15.6">
      <c r="A6" s="55" t="str">
        <v>Bowden</v>
      </c>
      <c r="B6" s="35" t="str">
        <v>MA</v>
      </c>
      <c r="C6" s="36">
        <f>SUM(Apr!C6, May!C6, Jun!C6)</f>
        <v>695360</v>
      </c>
      <c r="D6" s="37">
        <f>SUM(Apr!D6, May!D6, Jun!D6)</f>
        <v>696547.2</v>
      </c>
      <c r="E6" s="37">
        <f t="shared" si="0"/>
        <v>-1187.1999999999534</v>
      </c>
      <c r="F6" s="38">
        <f t="shared" ref="F6:F15" si="1">IFERROR(E6/D6, "")</f>
        <v>-1.7044071098124484E-3</v>
      </c>
      <c r="G6" s="39">
        <f>SUM(Apr!G6, May!G6, Jun!G6)</f>
        <v>717649.6</v>
      </c>
      <c r="H6" s="39">
        <f>SUM(Apr!H6, May!H6, Jun!H6)</f>
        <v>-22289.599999999977</v>
      </c>
      <c r="I6" s="40">
        <f t="shared" ref="I6:I15" si="2">IFERROR(H6/G6, "")</f>
        <v>-3.105916870851733E-2</v>
      </c>
    </row>
    <row r="7" spans="1:9" ht="15.6">
      <c r="A7" s="56" t="str">
        <v>Blair Wire Village</v>
      </c>
      <c r="B7" s="42" t="str">
        <v>MA</v>
      </c>
      <c r="C7" s="43">
        <f>SUM(Apr!C7, May!C7, Jun!C7)</f>
        <v>318710</v>
      </c>
      <c r="D7" s="44">
        <f>SUM(Apr!D7, May!D7, Jun!D7)</f>
        <v>363018</v>
      </c>
      <c r="E7" s="44">
        <f t="shared" si="0"/>
        <v>-44308</v>
      </c>
      <c r="F7" s="45">
        <f t="shared" si="1"/>
        <v>-0.12205455376868364</v>
      </c>
      <c r="G7" s="46">
        <f>SUM(Apr!G7, May!G7, Jun!G7)</f>
        <v>360276.9</v>
      </c>
      <c r="H7" s="46">
        <f>SUM(Apr!H7, May!H7, Jun!H7)</f>
        <v>-41566.899999999994</v>
      </c>
      <c r="I7" s="45">
        <f t="shared" si="2"/>
        <v>-0.11537486860800676</v>
      </c>
    </row>
    <row r="8" spans="1:9" ht="15.6">
      <c r="A8" s="55" t="str">
        <v>Boutilier</v>
      </c>
      <c r="B8" s="35" t="str">
        <v>MA</v>
      </c>
      <c r="C8" s="36">
        <f>SUM(Apr!C8, May!C8, Jun!C8)</f>
        <v>933526</v>
      </c>
      <c r="D8" s="37">
        <f>SUM(Apr!D8, May!D8, Jun!D8)</f>
        <v>935483.39999999991</v>
      </c>
      <c r="E8" s="37">
        <f t="shared" si="0"/>
        <v>-1957.3999999999069</v>
      </c>
      <c r="F8" s="38">
        <f t="shared" si="1"/>
        <v>-2.0923941568604071E-3</v>
      </c>
      <c r="G8" s="39">
        <f>SUM(Apr!G8, May!G8, Jun!G8)</f>
        <v>990660.4</v>
      </c>
      <c r="H8" s="39">
        <f>SUM(Apr!H8, May!H8, Jun!H8)</f>
        <v>-57134.400000000023</v>
      </c>
      <c r="I8" s="40">
        <f t="shared" si="2"/>
        <v>-5.7673043153839622E-2</v>
      </c>
    </row>
    <row r="9" spans="1:9" ht="15.6">
      <c r="A9" s="56" t="str">
        <v>Cherry Valley</v>
      </c>
      <c r="B9" s="42" t="str">
        <v>MA</v>
      </c>
      <c r="C9" s="43">
        <f>SUM(Apr!C9, May!C9, Jun!C9)</f>
        <v>329037</v>
      </c>
      <c r="D9" s="44">
        <f>SUM(Apr!D9, May!D9, Jun!D9)</f>
        <v>349126.3</v>
      </c>
      <c r="E9" s="44">
        <f t="shared" si="0"/>
        <v>-20089.299999999988</v>
      </c>
      <c r="F9" s="45">
        <f t="shared" si="1"/>
        <v>-5.7541640374844258E-2</v>
      </c>
      <c r="G9" s="46">
        <f>SUM(Apr!G9, May!G9, Jun!G9)</f>
        <v>357881</v>
      </c>
      <c r="H9" s="46">
        <f>SUM(Apr!H9, May!H9, Jun!H9)</f>
        <v>-28844</v>
      </c>
      <c r="I9" s="45">
        <f t="shared" si="2"/>
        <v>-8.0596622899790707E-2</v>
      </c>
    </row>
    <row r="10" spans="1:9" ht="15.6">
      <c r="A10" s="55" t="str">
        <v>Cohasse</v>
      </c>
      <c r="B10" s="35" t="str">
        <v>MA</v>
      </c>
      <c r="C10" s="36">
        <f>SUM(Apr!C10, May!C10, Jun!C10)</f>
        <v>312166</v>
      </c>
      <c r="D10" s="37">
        <f>SUM(Apr!D10, May!D10, Jun!D10)</f>
        <v>312430.59999999998</v>
      </c>
      <c r="E10" s="37">
        <f t="shared" si="0"/>
        <v>-264.59999999997672</v>
      </c>
      <c r="F10" s="38">
        <f t="shared" si="1"/>
        <v>-8.4690808134663099E-4</v>
      </c>
      <c r="G10" s="39">
        <f>SUM(Apr!G10, May!G10, Jun!G10)</f>
        <v>367159.4</v>
      </c>
      <c r="H10" s="39">
        <f>SUM(Apr!H10, May!H10, Jun!H10)</f>
        <v>-54993.399999999994</v>
      </c>
      <c r="I10" s="40">
        <f t="shared" si="2"/>
        <v>-0.1497807219425677</v>
      </c>
    </row>
    <row r="11" spans="1:9" ht="15.6">
      <c r="A11" s="56" t="str">
        <v>ISM Dighton Solar 2</v>
      </c>
      <c r="B11" s="42" t="str">
        <v>MA</v>
      </c>
      <c r="C11" s="43">
        <f>SUM(Apr!C11, May!C11, Jun!C11)</f>
        <v>711981</v>
      </c>
      <c r="D11" s="44">
        <f>SUM(Apr!D11, May!D11, Jun!D11)</f>
        <v>680423.5</v>
      </c>
      <c r="E11" s="44">
        <f t="shared" si="0"/>
        <v>31557.5</v>
      </c>
      <c r="F11" s="45">
        <f t="shared" si="1"/>
        <v>4.6379203540148156E-2</v>
      </c>
      <c r="G11" s="46">
        <f>SUM(Apr!G11, May!G11, Jun!G11)</f>
        <v>735402.8</v>
      </c>
      <c r="H11" s="46">
        <f>SUM(Apr!H11, May!H11, Jun!H11)</f>
        <v>-23421.799999999988</v>
      </c>
      <c r="I11" s="45">
        <f t="shared" si="2"/>
        <v>-3.1848940471806725E-2</v>
      </c>
    </row>
    <row r="12" spans="1:9" ht="15.6">
      <c r="A12" s="55" t="str">
        <v>Dudley River 1</v>
      </c>
      <c r="B12" s="35" t="str">
        <v>MA</v>
      </c>
      <c r="C12" s="36">
        <f>SUM(Apr!C12, May!C12, Jun!C12)</f>
        <v>340140</v>
      </c>
      <c r="D12" s="37">
        <f>SUM(Apr!D12, May!D12, Jun!D12)</f>
        <v>342506.5</v>
      </c>
      <c r="E12" s="37">
        <f t="shared" si="0"/>
        <v>-2366.5</v>
      </c>
      <c r="F12" s="38">
        <f t="shared" si="1"/>
        <v>-6.9093579245941318E-3</v>
      </c>
      <c r="G12" s="39">
        <f>SUM(Apr!G12, May!G12, Jun!G12)</f>
        <v>362077.3</v>
      </c>
      <c r="H12" s="39">
        <f>SUM(Apr!H12, May!H12, Jun!H12)</f>
        <v>-21937.299999999988</v>
      </c>
      <c r="I12" s="40">
        <f t="shared" si="2"/>
        <v>-6.0587338670499334E-2</v>
      </c>
    </row>
    <row r="13" spans="1:9" ht="15.6">
      <c r="A13" s="56" t="str">
        <v>Dudley River 2</v>
      </c>
      <c r="B13" s="42" t="str">
        <v>MA</v>
      </c>
      <c r="C13" s="43">
        <f>SUM(Apr!C13, May!C13, Jun!C13)</f>
        <v>327501</v>
      </c>
      <c r="D13" s="44">
        <f>SUM(Apr!D13, May!D13, Jun!D13)</f>
        <v>338397.9</v>
      </c>
      <c r="E13" s="44">
        <f t="shared" si="0"/>
        <v>-10896.900000000023</v>
      </c>
      <c r="F13" s="45">
        <f t="shared" si="1"/>
        <v>-3.2201440966389043E-2</v>
      </c>
      <c r="G13" s="46">
        <f>SUM(Apr!G13, May!G13, Jun!G13)</f>
        <v>346944.69999999995</v>
      </c>
      <c r="H13" s="46">
        <f>SUM(Apr!H13, May!H13, Jun!H13)</f>
        <v>-19443.699999999983</v>
      </c>
      <c r="I13" s="45">
        <f t="shared" si="2"/>
        <v>-5.6042648871707755E-2</v>
      </c>
    </row>
    <row r="14" spans="1:9" ht="15.6">
      <c r="A14" s="55" t="str">
        <v>Dudley River 3</v>
      </c>
      <c r="B14" s="35" t="str">
        <v>MA</v>
      </c>
      <c r="C14" s="36">
        <f>SUM(Apr!C14, May!C14, Jun!C14)</f>
        <v>337480</v>
      </c>
      <c r="D14" s="37">
        <f>SUM(Apr!D14, May!D14, Jun!D14)</f>
        <v>338576</v>
      </c>
      <c r="E14" s="37">
        <f t="shared" si="0"/>
        <v>-1096</v>
      </c>
      <c r="F14" s="38">
        <f t="shared" si="1"/>
        <v>-3.2370870941826947E-3</v>
      </c>
      <c r="G14" s="39">
        <f>SUM(Apr!G14, May!G14, Jun!G14)</f>
        <v>351300.80000000005</v>
      </c>
      <c r="H14" s="39">
        <f>SUM(Apr!H14, May!H14, Jun!H14)</f>
        <v>-13820.800000000017</v>
      </c>
      <c r="I14" s="40">
        <f t="shared" si="2"/>
        <v>-3.9341783451674509E-2</v>
      </c>
    </row>
    <row r="15" spans="1:9" ht="15.6">
      <c r="A15" s="56" t="str">
        <v>Flint Pond</v>
      </c>
      <c r="B15" s="42" t="str">
        <v>MA</v>
      </c>
      <c r="C15" s="43">
        <f>SUM(Apr!C15, May!C15, Jun!C15)</f>
        <v>161896.5</v>
      </c>
      <c r="D15" s="44">
        <f>SUM(Apr!D15, May!D15, Jun!D15)</f>
        <v>141905.15</v>
      </c>
      <c r="E15" s="44">
        <f t="shared" si="0"/>
        <v>19991.350000000006</v>
      </c>
      <c r="F15" s="45">
        <f t="shared" si="1"/>
        <v>0.14087825565175052</v>
      </c>
      <c r="G15" s="46">
        <f>SUM(Apr!G15, May!G15, Jun!G15)</f>
        <v>171236.91999999998</v>
      </c>
      <c r="H15" s="46">
        <f>SUM(Apr!H15, May!H15, Jun!H15)</f>
        <v>-9340.4199999999983</v>
      </c>
      <c r="I15" s="45">
        <f t="shared" si="2"/>
        <v>-5.4546764798152167E-2</v>
      </c>
    </row>
    <row r="16" spans="1:9" ht="15.6">
      <c r="A16" s="55" t="str">
        <v>Incom</v>
      </c>
      <c r="B16" s="35" t="str">
        <v>MA</v>
      </c>
      <c r="C16" s="36">
        <f>SUM(Apr!C16, May!C16, Jun!C16)</f>
        <v>684943</v>
      </c>
      <c r="D16" s="37">
        <f>SUM(Apr!D16, May!D16, Jun!D16)</f>
        <v>788070.1</v>
      </c>
      <c r="E16" s="37">
        <f t="shared" ref="E16:E18" si="3">IF(AND(ISNUMBER(C16),ISNUMBER(D16)), C16-D16, "")</f>
        <v>-103127.09999999998</v>
      </c>
      <c r="F16" s="38">
        <f t="shared" ref="F16:F18" si="4">IFERROR(E16/D16, "")</f>
        <v>-0.13086031306098275</v>
      </c>
      <c r="G16" s="39">
        <f>SUM(Apr!G16, May!G16, Jun!G16)</f>
        <v>745240.4</v>
      </c>
      <c r="H16" s="39">
        <f>SUM(Apr!H16, May!H16, Jun!H16)</f>
        <v>-60297.400000000023</v>
      </c>
      <c r="I16" s="40">
        <f t="shared" ref="I16:I18" si="5">IFERROR(H16/G16, "")</f>
        <v>-8.0909998974827479E-2</v>
      </c>
    </row>
    <row r="17" spans="1:9" ht="15.6">
      <c r="A17" s="56" t="str">
        <v>JH</v>
      </c>
      <c r="B17" s="42" t="str">
        <v>MA</v>
      </c>
      <c r="C17" s="36">
        <f>SUM(Apr!C17, May!C17, Jun!C17)</f>
        <v>324297</v>
      </c>
      <c r="D17" s="37">
        <f>SUM(Apr!D17, May!D17, Jun!D17)</f>
        <v>335655.1</v>
      </c>
      <c r="E17" s="37">
        <f t="shared" si="3"/>
        <v>-11358.099999999977</v>
      </c>
      <c r="F17" s="38">
        <f t="shared" si="4"/>
        <v>-3.3838603971755463E-2</v>
      </c>
      <c r="G17" s="46">
        <f>SUM(Apr!G17, May!G17, Jun!G17)</f>
        <v>363970.80000000005</v>
      </c>
      <c r="H17" s="39">
        <f>SUM(Apr!H17, May!H17, Jun!H17)</f>
        <v>-39673.800000000017</v>
      </c>
      <c r="I17" s="40">
        <f t="shared" si="5"/>
        <v>-0.10900270021661082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303351</v>
      </c>
      <c r="D18" s="44">
        <f>SUM(Apr!D18, May!D18, Jun!D18)</f>
        <v>319470.5</v>
      </c>
      <c r="E18" s="44">
        <f t="shared" si="3"/>
        <v>-16119.5</v>
      </c>
      <c r="F18" s="45">
        <f t="shared" si="4"/>
        <v>-5.0456927947963894E-2</v>
      </c>
      <c r="G18" s="39">
        <f>SUM(Apr!G18, May!G18, Jun!G18)</f>
        <v>355210.8</v>
      </c>
      <c r="H18" s="46">
        <f>SUM(Apr!H18, May!H18, Jun!H18)</f>
        <v>-51859.799999999988</v>
      </c>
      <c r="I18" s="45">
        <f t="shared" si="5"/>
        <v>-0.14599725008361231</v>
      </c>
    </row>
    <row r="19" spans="1:9" ht="15.6">
      <c r="A19" s="56" t="str">
        <v>Palombo A</v>
      </c>
      <c r="B19" s="42" t="str">
        <v>MA</v>
      </c>
      <c r="C19" s="36">
        <f>SUM(Apr!C19, May!C19, Jun!C19)</f>
        <v>672848</v>
      </c>
      <c r="D19" s="37">
        <f>SUM(Apr!D19, May!D19, Jun!D19)</f>
        <v>678689.5</v>
      </c>
      <c r="E19" s="37">
        <f t="shared" ref="E19:E24" si="6">IF(AND(ISNUMBER(C19),ISNUMBER(D19)), C19-D19, "")</f>
        <v>-5841.5</v>
      </c>
      <c r="F19" s="38">
        <f t="shared" ref="F19:F24" si="7">IFERROR(E19/D19, "")</f>
        <v>-8.6070286927969267E-3</v>
      </c>
      <c r="G19" s="46">
        <f>SUM(Apr!G19, May!G19, Jun!G19)</f>
        <v>759812</v>
      </c>
      <c r="H19" s="39">
        <f>SUM(Apr!H19, May!H19, Jun!H19)</f>
        <v>-86964</v>
      </c>
      <c r="I19" s="40">
        <f t="shared" ref="I19:I24" si="8">IFERROR(H19/G19, "")</f>
        <v>-0.11445462825014609</v>
      </c>
    </row>
    <row r="20" spans="1:9" ht="15.6">
      <c r="A20" s="55" t="str">
        <v>Palombo B</v>
      </c>
      <c r="B20" s="35" t="str">
        <v>MA</v>
      </c>
      <c r="C20" s="36">
        <f>SUM(Apr!C20, May!C20, Jun!C20)</f>
        <v>340328</v>
      </c>
      <c r="D20" s="37">
        <f>SUM(Apr!D20, May!D20, Jun!D20)</f>
        <v>294680.40000000002</v>
      </c>
      <c r="E20" s="37">
        <f t="shared" si="6"/>
        <v>45647.599999999977</v>
      </c>
      <c r="F20" s="38">
        <f t="shared" si="7"/>
        <v>0.15490545010798129</v>
      </c>
      <c r="G20" s="39">
        <f>SUM(Apr!G20, May!G20, Jun!G20)</f>
        <v>375493.1</v>
      </c>
      <c r="H20" s="39">
        <f>SUM(Apr!H20, May!H20, Jun!H20)</f>
        <v>-35165.100000000006</v>
      </c>
      <c r="I20" s="40">
        <f t="shared" si="8"/>
        <v>-9.3650455893863324E-2</v>
      </c>
    </row>
    <row r="21" spans="1:9" ht="15.6">
      <c r="A21" s="56" t="str">
        <v>St Josephs Church</v>
      </c>
      <c r="B21" s="42" t="str">
        <v>MA</v>
      </c>
      <c r="C21" s="43">
        <f>SUM(Apr!C21, May!C21, Jun!C21)</f>
        <v>331166.00334448199</v>
      </c>
      <c r="D21" s="44">
        <f>SUM(Apr!D21, May!D21, Jun!D21)</f>
        <v>359629</v>
      </c>
      <c r="E21" s="44">
        <f t="shared" si="6"/>
        <v>-28462.996655518014</v>
      </c>
      <c r="F21" s="45">
        <f t="shared" si="7"/>
        <v>-7.9145443375028199E-2</v>
      </c>
      <c r="G21" s="46">
        <f>SUM(Apr!G21, May!G21, Jun!G21)</f>
        <v>356812.30000000005</v>
      </c>
      <c r="H21" s="46">
        <f>SUM(Apr!H21, May!H21, Jun!H21)</f>
        <v>-25646.296655518032</v>
      </c>
      <c r="I21" s="45">
        <f t="shared" si="8"/>
        <v>-7.1876156330703933E-2</v>
      </c>
    </row>
    <row r="22" spans="1:9" ht="15.6">
      <c r="A22" s="55" t="str">
        <v>Sunset A</v>
      </c>
      <c r="B22" s="35" t="str">
        <v>MA</v>
      </c>
      <c r="C22" s="36">
        <f>SUM(Apr!C22, May!C22, Jun!C22)</f>
        <v>119104</v>
      </c>
      <c r="D22" s="37">
        <f>SUM(Apr!D22, May!D22, Jun!D22)</f>
        <v>135443.20000000001</v>
      </c>
      <c r="E22" s="37">
        <f t="shared" si="6"/>
        <v>-16339.200000000012</v>
      </c>
      <c r="F22" s="38">
        <f t="shared" si="7"/>
        <v>-0.12063507064215856</v>
      </c>
      <c r="G22" s="39">
        <f>SUM(Apr!G22, May!G22, Jun!G22)</f>
        <v>169909.1</v>
      </c>
      <c r="H22" s="39">
        <f>SUM(Apr!H22, May!H22, Jun!H22)</f>
        <v>-50805.100000000006</v>
      </c>
      <c r="I22" s="40">
        <f t="shared" si="8"/>
        <v>-0.29901341364294204</v>
      </c>
    </row>
    <row r="23" spans="1:9" ht="15.6">
      <c r="A23" s="56" t="str">
        <v>Sunset B</v>
      </c>
      <c r="B23" s="42" t="str">
        <v>MA</v>
      </c>
      <c r="C23" s="36">
        <f>SUM(Apr!C23, May!C23, Jun!C23)</f>
        <v>112643.75</v>
      </c>
      <c r="D23" s="37">
        <f>SUM(Apr!D23, May!D23, Jun!D23)</f>
        <v>121564</v>
      </c>
      <c r="E23" s="37">
        <f t="shared" si="6"/>
        <v>-8920.25</v>
      </c>
      <c r="F23" s="38">
        <f t="shared" si="7"/>
        <v>-7.3379043137771049E-2</v>
      </c>
      <c r="G23" s="46">
        <f>SUM(Apr!G23, May!G23, Jun!G23)</f>
        <v>167868.18</v>
      </c>
      <c r="H23" s="39">
        <f>SUM(Apr!H23, May!H23, Jun!H23)</f>
        <v>-55224.429999999993</v>
      </c>
      <c r="I23" s="40">
        <f t="shared" si="8"/>
        <v>-0.32897497310091761</v>
      </c>
    </row>
    <row r="24" spans="1:9" ht="15.6">
      <c r="A24" s="55" t="str">
        <v>Woodchuck</v>
      </c>
      <c r="B24" s="35" t="str">
        <v>MA</v>
      </c>
      <c r="C24" s="43">
        <f>SUM(Apr!C24, May!C24, Jun!C24)</f>
        <v>337575</v>
      </c>
      <c r="D24" s="44">
        <f>SUM(Apr!D24, May!D24, Jun!D24)</f>
        <v>349400.2</v>
      </c>
      <c r="E24" s="44">
        <f t="shared" si="6"/>
        <v>-11825.200000000012</v>
      </c>
      <c r="F24" s="45">
        <f t="shared" si="7"/>
        <v>-3.3844285149235778E-2</v>
      </c>
      <c r="G24" s="39">
        <f>SUM(Apr!G24, May!G24, Jun!G24)</f>
        <v>378226.7</v>
      </c>
      <c r="H24" s="46">
        <f>SUM(Apr!H24, May!H24, Jun!H24)</f>
        <v>-40651.700000000012</v>
      </c>
      <c r="I24" s="45">
        <f t="shared" si="8"/>
        <v>-0.10747972049567101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38 DN</v>
      </c>
      <c r="B1" s="72"/>
      <c r="C1" s="72"/>
      <c r="D1" s="73" t="s">
        <v>14</v>
      </c>
      <c r="E1" s="73"/>
      <c r="F1" s="73"/>
      <c r="G1" s="71" t="s">
        <v>15</v>
      </c>
      <c r="H1" s="71"/>
      <c r="I1" s="71"/>
    </row>
    <row r="2" spans="1:9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/>
      <c r="H16" s="39">
        <f>SUM(Jul!H16, Aug!H16, Sep!H16)</f>
        <v>0</v>
      </c>
      <c r="I16" s="40" t="str">
        <f t="shared" ref="I16:I19" si="5">IFERROR(H16/G16, "")</f>
        <v/>
      </c>
    </row>
    <row r="17" spans="1:9" ht="15.6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6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/>
      <c r="H19" s="46">
        <f>SUM(Jul!H19, Aug!H19, Sep!H19)</f>
        <v>0</v>
      </c>
      <c r="I19" s="45" t="str">
        <f t="shared" si="5"/>
        <v/>
      </c>
    </row>
    <row r="20" spans="1:9" ht="15.6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/>
      <c r="H20" s="39">
        <f>SUM(Jul!H20, Aug!H20, Sep!H20)</f>
        <v>0</v>
      </c>
      <c r="I20" s="40" t="str">
        <f t="shared" ref="I20:I24" si="8">IFERROR(H20/G20, "")</f>
        <v/>
      </c>
    </row>
    <row r="21" spans="1:9" ht="15.6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/>
      <c r="H21" s="46">
        <f>SUM(Jul!H21, Aug!H21, Sep!H21)</f>
        <v>0</v>
      </c>
      <c r="I21" s="45" t="str">
        <f t="shared" si="8"/>
        <v/>
      </c>
    </row>
    <row r="22" spans="1:9" ht="15.6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/>
      <c r="H22" s="39">
        <f>SUM(Jul!H22, Aug!H22, Sep!H22)</f>
        <v>0</v>
      </c>
      <c r="I22" s="40" t="str">
        <f t="shared" si="8"/>
        <v/>
      </c>
    </row>
    <row r="23" spans="1:9" ht="15.6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/>
      <c r="H23" s="46">
        <f>SUM(Jul!H23, Aug!H23, Sep!H23)</f>
        <v>0</v>
      </c>
      <c r="I23" s="45" t="str">
        <f t="shared" si="8"/>
        <v/>
      </c>
    </row>
    <row r="24" spans="1:9" ht="15.6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/>
      <c r="H24" s="39">
        <f>SUM(Jul!H24, Aug!H24, Sep!H24)</f>
        <v>0</v>
      </c>
      <c r="I24" s="40" t="str">
        <f t="shared" si="8"/>
        <v/>
      </c>
    </row>
    <row r="25" spans="1:9" ht="15.6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6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6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6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38 DN</v>
      </c>
      <c r="B1" s="72"/>
      <c r="C1" s="72"/>
      <c r="D1" s="73" t="s">
        <v>16</v>
      </c>
      <c r="E1" s="73"/>
      <c r="F1" s="73"/>
      <c r="G1" s="71" t="s">
        <v>17</v>
      </c>
      <c r="H1" s="71"/>
      <c r="I1" s="71"/>
    </row>
    <row r="2" spans="1:9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6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9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72" t="str" cm="1">
        <f t="array" ref="A1">portfolio</f>
        <v>38 DN</v>
      </c>
      <c r="B1" s="72"/>
      <c r="C1" s="72"/>
      <c r="D1" s="73" t="s">
        <v>18</v>
      </c>
      <c r="E1" s="73"/>
      <c r="F1" s="73"/>
      <c r="G1" s="71" t="s">
        <v>19</v>
      </c>
      <c r="H1" s="71"/>
      <c r="I1" s="71"/>
      <c r="J1" s="4"/>
      <c r="K1" s="4"/>
    </row>
    <row r="2" spans="1:11" ht="15.6">
      <c r="A2" s="74" t="s">
        <v>2</v>
      </c>
      <c r="B2" s="74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6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6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6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6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57.6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6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9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6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6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6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6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6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6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6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6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6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6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6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6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6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40</v>
      </c>
      <c r="E1" s="73"/>
      <c r="F1" s="73"/>
      <c r="G1" s="71" t="s">
        <v>41</v>
      </c>
      <c r="H1" s="71"/>
      <c r="I1" s="71"/>
      <c r="J1" s="60"/>
      <c r="K1" s="60"/>
    </row>
    <row r="2" spans="1:11" ht="19.5" customHeight="1">
      <c r="A2" s="74" t="s">
        <v>2</v>
      </c>
      <c r="B2" s="74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3.1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9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6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6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3.1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6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3.1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5.15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.6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6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6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6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6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6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6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6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6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.6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9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workbookViewId="0">
      <pane xSplit="2" ySplit="3" topLeftCell="F11" activePane="bottomRight" state="frozen"/>
      <selection pane="bottomRight" activeCell="F11" sqref="F11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66</v>
      </c>
      <c r="E1" s="73"/>
      <c r="F1" s="73"/>
      <c r="G1" s="71" t="s">
        <v>67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6.4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6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9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9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9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6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6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3.1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72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9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6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6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6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6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6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6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6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6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9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9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9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workbookViewId="0">
      <pane xSplit="2" ySplit="3" topLeftCell="J11" activePane="bottomRight" state="frozen"/>
      <selection pane="bottomRight" activeCell="J23" sqref="J23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104</v>
      </c>
      <c r="E1" s="73"/>
      <c r="F1" s="73"/>
      <c r="G1" s="71" t="s">
        <v>105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6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3.1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6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6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.6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6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6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3.1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3.1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6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tabSelected="1" workbookViewId="0">
      <pane xSplit="2" ySplit="3" topLeftCell="E7" activePane="bottomRight" state="frozen"/>
      <selection pane="bottomRight" activeCell="J4" sqref="J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115</v>
      </c>
      <c r="E1" s="73"/>
      <c r="F1" s="73"/>
      <c r="G1" s="71" t="s">
        <v>116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43.1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6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6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6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6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6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6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6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6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6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6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6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6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6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132</v>
      </c>
      <c r="E1" s="73"/>
      <c r="F1" s="73"/>
      <c r="G1" s="71" t="s">
        <v>133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134</v>
      </c>
      <c r="E1" s="73"/>
      <c r="F1" s="73"/>
      <c r="G1" s="71" t="s">
        <v>135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136</v>
      </c>
      <c r="E1" s="73"/>
      <c r="F1" s="73"/>
      <c r="G1" s="71" t="s">
        <v>137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138</v>
      </c>
      <c r="E1" s="73"/>
      <c r="F1" s="73"/>
      <c r="G1" s="71" t="s">
        <v>139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140</v>
      </c>
      <c r="E1" s="73"/>
      <c r="F1" s="73"/>
      <c r="G1" s="71" t="s">
        <v>141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142</v>
      </c>
      <c r="E1" s="73"/>
      <c r="F1" s="73"/>
      <c r="G1" s="71" t="s">
        <v>143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38 DN</v>
      </c>
      <c r="B1" s="72"/>
      <c r="C1" s="72"/>
      <c r="D1" s="73" t="s">
        <v>144</v>
      </c>
      <c r="E1" s="73"/>
      <c r="F1" s="73"/>
      <c r="G1" s="71" t="s">
        <v>145</v>
      </c>
      <c r="H1" s="71"/>
      <c r="I1" s="71"/>
      <c r="J1" s="4"/>
      <c r="K1" s="4"/>
    </row>
    <row r="2" spans="1:11" ht="19.5" customHeight="1">
      <c r="A2" s="74" t="s">
        <v>2</v>
      </c>
      <c r="B2" s="74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G37" sqref="G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146</v>
      </c>
      <c r="B1" t="s">
        <v>147</v>
      </c>
    </row>
    <row r="3" spans="1:12" ht="13.15">
      <c r="A3" t="s">
        <v>148</v>
      </c>
      <c r="B3" t="s">
        <v>3</v>
      </c>
      <c r="C3" t="s">
        <v>4</v>
      </c>
      <c r="D3" t="s">
        <v>149</v>
      </c>
      <c r="E3" s="2" t="s">
        <v>150</v>
      </c>
    </row>
    <row r="4" spans="1:12" ht="14.45">
      <c r="A4" s="26" t="s">
        <v>151</v>
      </c>
      <c r="B4" t="s">
        <v>151</v>
      </c>
      <c r="C4" s="25" t="s">
        <v>152</v>
      </c>
      <c r="D4" s="24" t="s">
        <v>153</v>
      </c>
      <c r="E4" t="s">
        <v>154</v>
      </c>
      <c r="G4" s="3"/>
    </row>
    <row r="5" spans="1:12" ht="14.45">
      <c r="A5" s="26" t="s">
        <v>155</v>
      </c>
      <c r="B5" t="s">
        <v>155</v>
      </c>
      <c r="C5" s="25" t="s">
        <v>156</v>
      </c>
      <c r="D5" s="24" t="s">
        <v>153</v>
      </c>
      <c r="E5" t="s">
        <v>154</v>
      </c>
      <c r="G5" s="3"/>
    </row>
    <row r="6" spans="1:12" ht="14.45">
      <c r="A6" s="26" t="s">
        <v>157</v>
      </c>
      <c r="B6" t="s">
        <v>157</v>
      </c>
      <c r="C6" s="25" t="s">
        <v>156</v>
      </c>
      <c r="D6" s="24" t="s">
        <v>153</v>
      </c>
      <c r="E6" t="s">
        <v>154</v>
      </c>
      <c r="G6" s="3"/>
    </row>
    <row r="7" spans="1:12" ht="12.75" customHeight="1">
      <c r="A7" s="26" t="s">
        <v>158</v>
      </c>
      <c r="B7" t="s">
        <v>158</v>
      </c>
      <c r="C7" s="25" t="s">
        <v>156</v>
      </c>
      <c r="D7" s="24" t="s">
        <v>153</v>
      </c>
      <c r="E7" t="s">
        <v>154</v>
      </c>
    </row>
    <row r="8" spans="1:12" ht="12.75" customHeight="1">
      <c r="A8" s="26" t="s">
        <v>159</v>
      </c>
      <c r="B8" t="s">
        <v>159</v>
      </c>
      <c r="C8" s="25" t="s">
        <v>156</v>
      </c>
      <c r="D8" s="24" t="s">
        <v>153</v>
      </c>
      <c r="E8" t="s">
        <v>154</v>
      </c>
    </row>
    <row r="9" spans="1:12" ht="12.75" customHeight="1">
      <c r="A9" s="26" t="s">
        <v>160</v>
      </c>
      <c r="B9" t="s">
        <v>160</v>
      </c>
      <c r="C9" s="25" t="s">
        <v>156</v>
      </c>
      <c r="D9" s="24" t="s">
        <v>153</v>
      </c>
      <c r="E9" t="s">
        <v>154</v>
      </c>
    </row>
    <row r="10" spans="1:12" ht="12.75" customHeight="1">
      <c r="A10" s="26" t="s">
        <v>161</v>
      </c>
      <c r="B10" t="s">
        <v>161</v>
      </c>
      <c r="C10" s="25" t="s">
        <v>156</v>
      </c>
      <c r="D10" s="24" t="s">
        <v>153</v>
      </c>
      <c r="E10" t="s">
        <v>154</v>
      </c>
      <c r="K10" s="21"/>
      <c r="L10" s="21"/>
    </row>
    <row r="11" spans="1:12" ht="12.75" customHeight="1">
      <c r="A11" s="26" t="s">
        <v>162</v>
      </c>
      <c r="B11" t="s">
        <v>162</v>
      </c>
      <c r="C11" s="25" t="s">
        <v>156</v>
      </c>
      <c r="D11" s="24" t="s">
        <v>153</v>
      </c>
      <c r="E11" t="s">
        <v>154</v>
      </c>
      <c r="K11" s="21"/>
      <c r="L11" s="21"/>
    </row>
    <row r="12" spans="1:12" ht="12.75" customHeight="1">
      <c r="A12" s="26" t="s">
        <v>163</v>
      </c>
      <c r="B12" t="s">
        <v>163</v>
      </c>
      <c r="C12" s="25" t="s">
        <v>156</v>
      </c>
      <c r="D12" s="24" t="s">
        <v>153</v>
      </c>
      <c r="E12" t="s">
        <v>154</v>
      </c>
      <c r="K12" s="21"/>
      <c r="L12" s="21"/>
    </row>
    <row r="13" spans="1:12" ht="12.75" customHeight="1">
      <c r="A13" s="26" t="s">
        <v>164</v>
      </c>
      <c r="B13" t="s">
        <v>164</v>
      </c>
      <c r="C13" s="25" t="s">
        <v>156</v>
      </c>
      <c r="D13" s="24" t="s">
        <v>153</v>
      </c>
      <c r="E13" t="s">
        <v>154</v>
      </c>
      <c r="K13" s="21"/>
      <c r="L13" s="21"/>
    </row>
    <row r="14" spans="1:12" ht="12.75" customHeight="1">
      <c r="A14" s="26" t="s">
        <v>165</v>
      </c>
      <c r="B14" t="s">
        <v>165</v>
      </c>
      <c r="C14" s="25" t="s">
        <v>156</v>
      </c>
      <c r="D14" s="24" t="s">
        <v>153</v>
      </c>
      <c r="E14" t="s">
        <v>154</v>
      </c>
      <c r="K14" s="21"/>
      <c r="L14" s="21"/>
    </row>
    <row r="15" spans="1:12" ht="12.75" customHeight="1">
      <c r="A15" s="26" t="s">
        <v>166</v>
      </c>
      <c r="B15" t="s">
        <v>166</v>
      </c>
      <c r="C15" s="25" t="s">
        <v>156</v>
      </c>
      <c r="D15" s="24" t="s">
        <v>153</v>
      </c>
      <c r="E15" t="s">
        <v>154</v>
      </c>
      <c r="K15" s="21"/>
      <c r="L15" s="21"/>
    </row>
    <row r="16" spans="1:12" ht="12.75" customHeight="1">
      <c r="A16" s="26" t="s">
        <v>167</v>
      </c>
      <c r="B16" t="s">
        <v>167</v>
      </c>
      <c r="C16" s="25" t="s">
        <v>156</v>
      </c>
      <c r="D16" s="24" t="s">
        <v>153</v>
      </c>
      <c r="E16" t="s">
        <v>154</v>
      </c>
      <c r="K16" s="21"/>
      <c r="L16" s="21"/>
    </row>
    <row r="17" spans="1:12" ht="12.75" customHeight="1">
      <c r="A17" s="26" t="s">
        <v>168</v>
      </c>
      <c r="B17" t="s">
        <v>168</v>
      </c>
      <c r="C17" s="25" t="s">
        <v>156</v>
      </c>
      <c r="D17" s="24" t="s">
        <v>153</v>
      </c>
      <c r="E17" t="s">
        <v>154</v>
      </c>
      <c r="K17" s="21"/>
      <c r="L17" s="21"/>
    </row>
    <row r="18" spans="1:12" ht="12.75" customHeight="1">
      <c r="A18" s="26" t="s">
        <v>169</v>
      </c>
      <c r="B18" t="s">
        <v>169</v>
      </c>
      <c r="C18" s="25" t="s">
        <v>156</v>
      </c>
      <c r="D18" s="24" t="s">
        <v>153</v>
      </c>
      <c r="E18" t="s">
        <v>154</v>
      </c>
      <c r="K18" s="21"/>
      <c r="L18" s="21"/>
    </row>
    <row r="19" spans="1:12" ht="12.75" customHeight="1">
      <c r="A19" s="26" t="s">
        <v>170</v>
      </c>
      <c r="B19" t="s">
        <v>170</v>
      </c>
      <c r="C19" s="25" t="s">
        <v>156</v>
      </c>
      <c r="D19" s="24" t="s">
        <v>153</v>
      </c>
      <c r="E19" t="s">
        <v>154</v>
      </c>
      <c r="K19" s="21"/>
      <c r="L19" s="21"/>
    </row>
    <row r="20" spans="1:12" ht="12.75" customHeight="1">
      <c r="A20" s="26" t="s">
        <v>171</v>
      </c>
      <c r="B20" t="s">
        <v>171</v>
      </c>
      <c r="C20" s="25" t="s">
        <v>156</v>
      </c>
      <c r="D20" s="24" t="s">
        <v>153</v>
      </c>
      <c r="E20" t="s">
        <v>154</v>
      </c>
      <c r="K20" s="21"/>
      <c r="L20" s="21"/>
    </row>
    <row r="21" spans="1:12" ht="12.75" customHeight="1">
      <c r="A21" s="26" t="s">
        <v>172</v>
      </c>
      <c r="B21" t="s">
        <v>172</v>
      </c>
      <c r="C21" s="25" t="s">
        <v>156</v>
      </c>
      <c r="D21" s="24" t="s">
        <v>153</v>
      </c>
      <c r="E21" t="s">
        <v>154</v>
      </c>
      <c r="K21" s="21"/>
      <c r="L21" s="21"/>
    </row>
    <row r="22" spans="1:12" ht="12.75" customHeight="1">
      <c r="A22" s="26" t="s">
        <v>173</v>
      </c>
      <c r="B22" t="s">
        <v>173</v>
      </c>
      <c r="C22" s="25" t="s">
        <v>156</v>
      </c>
      <c r="D22" s="24" t="s">
        <v>153</v>
      </c>
      <c r="E22" t="s">
        <v>154</v>
      </c>
      <c r="K22" s="21"/>
      <c r="L22" s="21"/>
    </row>
    <row r="23" spans="1:12" ht="12.75" customHeight="1">
      <c r="A23" s="26" t="s">
        <v>174</v>
      </c>
      <c r="B23" t="s">
        <v>174</v>
      </c>
      <c r="C23" s="25" t="s">
        <v>156</v>
      </c>
      <c r="D23" s="24" t="s">
        <v>153</v>
      </c>
      <c r="E23" t="s">
        <v>154</v>
      </c>
      <c r="K23" s="21"/>
      <c r="L23" s="21"/>
    </row>
    <row r="24" spans="1:12" ht="12.75" customHeight="1">
      <c r="A24" s="26" t="s">
        <v>175</v>
      </c>
      <c r="B24" t="s">
        <v>175</v>
      </c>
      <c r="C24" s="25" t="s">
        <v>156</v>
      </c>
      <c r="D24" s="24" t="s">
        <v>153</v>
      </c>
      <c r="E24" t="s">
        <v>154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2024-07-08T12:41:35Z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