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F15EC3F-DB41-4620-9166-C7B86A7ACC29}" xr6:coauthVersionLast="47" xr6:coauthVersionMax="47" xr10:uidLastSave="{00000000-0000-0000-0000-000000000000}"/>
  <bookViews>
    <workbookView xWindow="-93" yWindow="-93" windowWidth="19386" windowHeight="1146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E6" i="18" l="1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<sst xmlns="http://schemas.openxmlformats.org/spreadsheetml/2006/main" count="287" uniqueCount="69">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</sst>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tabSelected="1" workbookViewId="0">
      <pane ySplit="2" topLeftCell="A3" activePane="bottomLeft" state="frozen"/>
      <selection pane="bottomLeft" activeCell="E21" sqref="E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SUM(C4:C92)</f>
        <v>355673.15</v>
      </c>
      <c r="D2" s="6">
        <f>SUM(D4:D92)</f>
        <v>291755.8603</v>
      </c>
      <c r="E2" s="6">
        <f>C2-D2</f>
        <v>63917.289700000023</v>
      </c>
      <c r="F2" s="7">
        <f>IFERROR(E2/D2, 0)</f>
        <v>0.219077997728226</v>
      </c>
      <c r="G2" s="6">
        <f>SUM(G4:G92)</f>
        <v>0</v>
      </c>
      <c r="H2" s="8">
        <f>C2-G2</f>
        <v>355673.15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193069.63</v>
      </c>
      <c r="D4" s="14">
        <f>SUM('1st Qtr'!D4, '2nd Qtr'!D4, '3rd Qtr'!D4, '4th Qtr'!D4)</f>
        <v>241404.25640000001</v>
      </c>
      <c r="E4" s="14">
        <f>IF(AND(ISNUMBER(C4),ISNUMBER(D4)), C4-D4, "")</f>
        <v>-48334.626400000008</v>
      </c>
      <c r="F4" s="15">
        <f>IFERROR(E4/D4, "")</f>
        <v>-0.20022275961825173</v>
      </c>
      <c r="G4" s="16">
        <f>SUM('1st Qtr'!G4, '2nd Qtr'!G4, '3rd Qtr'!G4, '4th Qtr'!G4)</f>
        <v>0</v>
      </c>
      <c r="H4" s="16">
        <f>SUM('1st Qtr'!H4, '2nd Qtr'!H4, '3rd Qtr'!H4, '4th Qtr'!H4)</f>
        <v>193069.63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20" sqref="D2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SUM(C4:C93)</f>
        <v>271906.03000000003</v>
      </c>
      <c r="D2" s="6">
        <f>SUM(D4:D93)</f>
        <v>453572.05</v>
      </c>
      <c r="E2" s="6">
        <f>C2-D2</f>
        <v>-181666.01999999996</v>
      </c>
      <c r="F2" s="7">
        <f>IFERROR(E2/D2, 0)</f>
        <v>-0.4005229599134249</v>
      </c>
      <c r="G2" s="6">
        <f>SUM(G4:G93)</f>
        <v>0</v>
      </c>
      <c r="H2" s="8">
        <f>C2-G2</f>
        <v>271906.03000000003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97482.5</v>
      </c>
      <c r="D4" s="14">
        <f>SUM(Apr!D4, May!D4, Jun!D4)</f>
        <v>206444.37</v>
      </c>
      <c r="E4" s="14">
        <f>IF(AND(ISNUMBER(C4),ISNUMBER(D4)), C4-D4, "")</f>
        <v>-108961.87</v>
      </c>
      <c r="F4" s="15">
        <f>IFERROR(E4/D4, "")</f>
        <v>-0.52780257461126212</v>
      </c>
      <c r="G4" s="16"/>
      <c r="H4" s="16">
        <f>SUM(Apr!H4, May!H4, Jun!H4)</f>
        <v>97482.5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108132.5</v>
      </c>
      <c r="D5" s="20">
        <f>SUM(Apr!D5, May!D5, Jun!D5)</f>
        <v>178607.38</v>
      </c>
      <c r="E5" s="20">
        <f t="shared" ref="E5:E8" si="0">IF(AND(ISNUMBER(C5),ISNUMBER(D5)), C5-D5, "")</f>
        <v>-70474.880000000005</v>
      </c>
      <c r="F5" s="21">
        <f>IFERROR(E5/D5, "")</f>
        <v>-0.39457988802030464</v>
      </c>
      <c r="G5" s="22"/>
      <c r="H5" s="22">
        <f>SUM(Apr!H5, May!H5, Jun!H5)</f>
        <v>108132.5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40319.75</v>
      </c>
      <c r="D6" s="14">
        <f>SUM(Apr!D6, May!D6, Jun!D6)</f>
        <v>68418.86</v>
      </c>
      <c r="E6" s="14">
        <f t="shared" si="0"/>
        <v>-28099.11</v>
      </c>
      <c r="F6" s="15">
        <f t="shared" ref="F6:F8" si="1">IFERROR(E6/D6, "")</f>
        <v>-0.41069246111379232</v>
      </c>
      <c r="G6" s="16"/>
      <c r="H6" s="16">
        <f>SUM(Apr!H6, May!H6, Jun!H6)</f>
        <v>40319.75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25971.279999999999</v>
      </c>
      <c r="D7" s="20">
        <f>SUM(Apr!D7, May!D7, Jun!D7)</f>
        <v>101.44</v>
      </c>
      <c r="E7" s="20">
        <f t="shared" si="0"/>
        <v>25869.84</v>
      </c>
      <c r="F7" s="21">
        <f t="shared" si="1"/>
        <v>255.02602523659306</v>
      </c>
      <c r="G7" s="22"/>
      <c r="H7" s="22">
        <f>SUM(Apr!H7, May!H7, Jun!H7)</f>
        <v>25971.279999999999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7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7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7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27</v>
      </c>
      <c r="E1" s="52"/>
      <c r="F1" s="52"/>
      <c r="G1" s="50" t="s">
        <v>28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9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36</v>
      </c>
      <c r="E1" s="52"/>
      <c r="F1" s="52"/>
      <c r="G1" s="50" t="s">
        <v>37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9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9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38</v>
      </c>
      <c r="E1" s="52"/>
      <c r="F1" s="52"/>
      <c r="G1" s="50" t="s">
        <v>39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9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9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7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workbookViewId="0">
      <pane ySplit="2" topLeftCell="A3" activePane="bottomLeft" state="frozen"/>
      <selection pane="bottomLeft" activeCell="J12" sqref="J12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42</v>
      </c>
      <c r="E1" s="52"/>
      <c r="F1" s="52"/>
      <c r="G1" s="50" t="s">
        <v>43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7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workbookViewId="0">
      <pane ySplit="2" topLeftCell="A24" activePane="bottomLeft" state="frozen"/>
      <selection pane="bottomLeft" activeCell="G24" sqref="G2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51</v>
      </c>
      <c r="E1" s="52"/>
      <c r="F1" s="52"/>
      <c r="G1" s="50" t="s">
        <v>52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53</v>
      </c>
      <c r="E1" s="52"/>
      <c r="F1" s="52"/>
      <c r="G1" s="50" t="s">
        <v>54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55</v>
      </c>
      <c r="E1" s="52"/>
      <c r="F1" s="52"/>
      <c r="G1" s="50" t="s">
        <v>56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57</v>
      </c>
      <c r="E1" s="52"/>
      <c r="F1" s="52"/>
      <c r="G1" s="50" t="s">
        <v>58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59</v>
      </c>
      <c r="B1" t="s">
        <v>60</v>
      </c>
    </row>
    <row r="3" spans="1:7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45">
      <c r="A4" t="s">
        <v>64</v>
      </c>
      <c r="B4" t="s">
        <v>64</v>
      </c>
      <c r="C4" s="4" t="s">
        <v>65</v>
      </c>
      <c r="G4" s="3"/>
    </row>
    <row r="5" spans="1:7" ht="14.45">
      <c r="A5" t="s">
        <v>66</v>
      </c>
      <c r="B5" t="s">
        <v>66</v>
      </c>
      <c r="C5" s="4" t="s">
        <v>65</v>
      </c>
      <c r="G5" s="3"/>
    </row>
    <row r="6" spans="1:7" ht="14.45">
      <c r="A6" t="s">
        <v>67</v>
      </c>
      <c r="B6" t="s">
        <v>67</v>
      </c>
      <c r="C6" s="4" t="s">
        <v>65</v>
      </c>
      <c r="G6" s="3"/>
    </row>
    <row r="7" spans="1:7" ht="12.75" customHeight="1">
      <c r="A7" t="s">
        <v>68</v>
      </c>
      <c r="B7" t="s">
        <v>68</v>
      </c>
      <c r="C7" s="4" t="s">
        <v>65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2024-06-03T20:24:21Z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