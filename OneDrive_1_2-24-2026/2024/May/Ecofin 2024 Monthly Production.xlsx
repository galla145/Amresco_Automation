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4992A367-68FF-4174-8096-E384E3C5DFF9}" xr6:coauthVersionLast="47" xr6:coauthVersionMax="47" xr10:uidLastSave="{00000000-0000-0000-0000-000000000000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0" l="1"/>
  <c r="I5" i="20" s="1"/>
  <c r="H6" i="20"/>
  <c r="I6" i="20" s="1"/>
  <c r="H7" i="20"/>
  <c r="I7" i="20" s="1"/>
  <c r="H8" i="20"/>
  <c r="I8" i="20" s="1"/>
  <c r="H9" i="20"/>
  <c r="I9" i="20" s="1"/>
  <c r="H10" i="20"/>
  <c r="I10" i="20" s="1"/>
  <c r="E5" i="20"/>
  <c r="F5" i="20" s="1"/>
  <c r="E6" i="20"/>
  <c r="F6" i="20" s="1"/>
  <c r="E7" i="20"/>
  <c r="F7" i="20" s="1"/>
  <c r="E8" i="20"/>
  <c r="F8" i="20" s="1"/>
  <c r="E9" i="20"/>
  <c r="F9" i="20" s="1"/>
  <c r="E10" i="20"/>
  <c r="F10" i="20" s="1"/>
  <c r="H10" i="1"/>
  <c r="I10" i="1" s="1"/>
  <c r="G9" i="18"/>
  <c r="G10" i="18"/>
  <c r="G9" i="1"/>
  <c r="G10" i="1"/>
  <c r="D9" i="18"/>
  <c r="D10" i="18"/>
  <c r="D9" i="29"/>
  <c r="D10" i="29"/>
  <c r="D9" i="30"/>
  <c r="D10" i="30"/>
  <c r="D9" i="1"/>
  <c r="D10" i="1"/>
  <c r="C9" i="18"/>
  <c r="E9" i="18" s="1"/>
  <c r="F9" i="18" s="1"/>
  <c r="C10" i="18"/>
  <c r="E10" i="18" s="1"/>
  <c r="F10" i="18" s="1"/>
  <c r="C9" i="29"/>
  <c r="E9" i="29" s="1"/>
  <c r="F9" i="29" s="1"/>
  <c r="C10" i="29"/>
  <c r="E10" i="29" s="1"/>
  <c r="F10" i="29" s="1"/>
  <c r="C9" i="30"/>
  <c r="E9" i="30" s="1"/>
  <c r="F9" i="30" s="1"/>
  <c r="C10" i="30"/>
  <c r="E10" i="30" s="1"/>
  <c r="F10" i="30" s="1"/>
  <c r="C9" i="1"/>
  <c r="E9" i="1" s="1"/>
  <c r="F9" i="1" s="1"/>
  <c r="C10" i="1"/>
  <c r="E10" i="1" s="1"/>
  <c r="F10" i="1" s="1"/>
  <c r="H10" i="34"/>
  <c r="I10" i="34" s="1"/>
  <c r="D9" i="34"/>
  <c r="D10" i="34"/>
  <c r="C8" i="34"/>
  <c r="C9" i="34"/>
  <c r="C10" i="34"/>
  <c r="G5" i="18"/>
  <c r="G6" i="18"/>
  <c r="G7" i="18"/>
  <c r="G8" i="18"/>
  <c r="G4" i="18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9" i="4"/>
  <c r="I9" i="4" s="1"/>
  <c r="E9" i="4"/>
  <c r="F9" i="4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F5" i="3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G6" i="1"/>
  <c r="G7" i="1"/>
  <c r="G8" i="1"/>
  <c r="G5" i="1"/>
  <c r="G4" i="1"/>
  <c r="D8" i="34"/>
  <c r="D7" i="34"/>
  <c r="D6" i="34"/>
  <c r="D5" i="34"/>
  <c r="C7" i="34"/>
  <c r="C6" i="34"/>
  <c r="C5" i="34"/>
  <c r="B4" i="34" a="1"/>
  <c r="B4" i="34" s="1"/>
  <c r="A4" i="34" a="1"/>
  <c r="A4" i="34" s="1"/>
  <c r="G2" i="34"/>
  <c r="A1" i="34" a="1"/>
  <c r="A1" i="34" s="1"/>
  <c r="D8" i="30"/>
  <c r="C8" i="30"/>
  <c r="D7" i="30"/>
  <c r="C7" i="30"/>
  <c r="D6" i="30"/>
  <c r="C6" i="30"/>
  <c r="E6" i="30" s="1"/>
  <c r="F6" i="30" s="1"/>
  <c r="D5" i="30"/>
  <c r="C5" i="30"/>
  <c r="D4" i="30"/>
  <c r="C4" i="30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8" i="1"/>
  <c r="C7" i="1"/>
  <c r="C6" i="1"/>
  <c r="C5" i="1"/>
  <c r="C4" i="1"/>
  <c r="D6" i="1"/>
  <c r="D7" i="1"/>
  <c r="D8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H6" i="30" s="1"/>
  <c r="I6" i="30" s="1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H13" i="27"/>
  <c r="I13" i="27" s="1"/>
  <c r="E13" i="27"/>
  <c r="F13" i="27" s="1"/>
  <c r="H12" i="27"/>
  <c r="I12" i="27" s="1"/>
  <c r="E12" i="27"/>
  <c r="F12" i="27" s="1"/>
  <c r="H11" i="27"/>
  <c r="I11" i="27" s="1"/>
  <c r="F11" i="27"/>
  <c r="E11" i="27"/>
  <c r="H10" i="27"/>
  <c r="I10" i="27" s="1"/>
  <c r="E10" i="27"/>
  <c r="F10" i="27" s="1"/>
  <c r="H9" i="27"/>
  <c r="I9" i="27" s="1"/>
  <c r="E9" i="27"/>
  <c r="F9" i="27" s="1"/>
  <c r="H8" i="27"/>
  <c r="I8" i="27" s="1"/>
  <c r="F8" i="27"/>
  <c r="E8" i="27"/>
  <c r="H7" i="27"/>
  <c r="I7" i="27" s="1"/>
  <c r="E7" i="27"/>
  <c r="F7" i="27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8" i="21"/>
  <c r="I8" i="21" s="1"/>
  <c r="E8" i="21"/>
  <c r="F8" i="21" s="1"/>
  <c r="H7" i="21"/>
  <c r="I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5" i="72"/>
  <c r="I5" i="72" s="1"/>
  <c r="H4" i="72"/>
  <c r="I4" i="72" s="1"/>
  <c r="G2" i="72"/>
  <c r="D2" i="72"/>
  <c r="C2" i="72"/>
  <c r="J2" i="72" s="1"/>
  <c r="A1" i="72" a="1"/>
  <c r="A1" i="72" s="1"/>
  <c r="G2" i="18" l="1"/>
  <c r="H9" i="29"/>
  <c r="I9" i="29" s="1"/>
  <c r="H9" i="34"/>
  <c r="I9" i="34" s="1"/>
  <c r="E10" i="34"/>
  <c r="F10" i="34" s="1"/>
  <c r="E9" i="34"/>
  <c r="F9" i="34" s="1"/>
  <c r="I6" i="33"/>
  <c r="H7" i="29"/>
  <c r="I7" i="29" s="1"/>
  <c r="H9" i="1"/>
  <c r="I9" i="1" s="1"/>
  <c r="H10" i="30"/>
  <c r="I10" i="30" s="1"/>
  <c r="E8" i="30"/>
  <c r="F8" i="30" s="1"/>
  <c r="H9" i="30"/>
  <c r="I9" i="30" s="1"/>
  <c r="H10" i="29"/>
  <c r="I10" i="29" s="1"/>
  <c r="H10" i="18"/>
  <c r="I10" i="18" s="1"/>
  <c r="H9" i="18"/>
  <c r="I9" i="18" s="1"/>
  <c r="D2" i="30"/>
  <c r="E8" i="18"/>
  <c r="F8" i="18" s="1"/>
  <c r="E7" i="18"/>
  <c r="F7" i="18" s="1"/>
  <c r="E6" i="18"/>
  <c r="F6" i="18" s="1"/>
  <c r="D2" i="18"/>
  <c r="E5" i="18"/>
  <c r="F5" i="18" s="1"/>
  <c r="E4" i="18"/>
  <c r="F4" i="18" s="1"/>
  <c r="D4" i="34"/>
  <c r="D2" i="34" s="1"/>
  <c r="E4" i="30"/>
  <c r="F4" i="30" s="1"/>
  <c r="E5" i="30"/>
  <c r="F5" i="30" s="1"/>
  <c r="D2" i="29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5" i="34"/>
  <c r="F5" i="34" s="1"/>
  <c r="G2" i="1"/>
  <c r="E6" i="34"/>
  <c r="F6" i="34" s="1"/>
  <c r="E8" i="1"/>
  <c r="F8" i="1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H8" i="30"/>
  <c r="I8" i="30" s="1"/>
  <c r="E7" i="29"/>
  <c r="F7" i="29" s="1"/>
  <c r="H8" i="29"/>
  <c r="I8" i="29" s="1"/>
  <c r="I6" i="26"/>
  <c r="I9" i="26"/>
  <c r="I12" i="26"/>
  <c r="I15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8" i="18"/>
  <c r="I8" i="18" s="1"/>
  <c r="H6" i="34"/>
  <c r="I6" i="34" s="1"/>
  <c r="H7" i="34"/>
  <c r="I7" i="34" s="1"/>
  <c r="H8" i="34"/>
  <c r="I8" i="34" s="1"/>
  <c r="H5" i="34"/>
  <c r="I5" i="34" s="1"/>
  <c r="E7" i="34"/>
  <c r="F7" i="34" s="1"/>
  <c r="E8" i="34"/>
  <c r="F8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<sst xmlns="http://schemas.openxmlformats.org/spreadsheetml/2006/main" count="292" uniqueCount="93">
  <si>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</si>
  <si>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</si>
  <si>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</si>
  <si>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</si>
  <si>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</si>
  <si>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</si>
  <si>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</si>
  <si>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</si>
  <si>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</si>
  <si>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</si>
  <si>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</si>
  <si>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</si>
  <si>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</si>
  <si>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</si>
  <si>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</si>
  <si>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</si>
  <si>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</si>
  <si>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</si>
  <si>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</si>
  <si>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</si>
  <si>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</si>
  <si>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</si>
  <si>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is offline on 01/09, 01/10, 01/12, 01/17.</t>
  </si>
  <si>
    <t>1. SR080094</t>
  </si>
  <si>
    <t>1. Site was not communicating from 04/22</t>
  </si>
  <si>
    <t>1. SR077495</t>
  </si>
  <si>
    <t>1. Inverter was barely produced on 1/13, 1/14 and 1/15</t>
  </si>
  <si>
    <t>1. SR080235</t>
  </si>
  <si>
    <t>1. Site was not communicating from 05/23/2022</t>
  </si>
  <si>
    <t>1. SR079089</t>
  </si>
  <si>
    <t>February Actual v. Expected</t>
  </si>
  <si>
    <t>February Actual v. Forecasted</t>
  </si>
  <si>
    <t>1. Site stopped communicating from 04/22</t>
  </si>
  <si>
    <t>1. SR077494</t>
  </si>
  <si>
    <t xml:space="preserve">1.(A) Inverter 2 was taken offline by technician on 02/26/2024 at 13:30 to 15:00 &amp; inverter 1 at 15:00 - 16:15.
1.(B) Inverter 2 tripped offline on 02/27/2024 at 15:48 &amp; back online at 12:00 on 02/28/2024. </t>
  </si>
  <si>
    <t>1. SR081345</t>
  </si>
  <si>
    <t>March Actual v. Expected</t>
  </si>
  <si>
    <t>March Actual v. Forecasted</t>
  </si>
  <si>
    <t>1. Site stopped communicating from 04/22/20223 and communication regained on 04/03</t>
  </si>
  <si>
    <t>1. Inverter 2 is derating, due to overheating 2 modules are offline</t>
  </si>
  <si>
    <t>April Actual v. Expected</t>
  </si>
  <si>
    <t>April Actual v. Forecasted</t>
  </si>
  <si>
    <t>1. Inverter 2 is derating, due to overheating 2 modules are offline
2. Site is offline from 04/17 to 04/19.</t>
  </si>
  <si>
    <t>1. SR081345
2. SR083483</t>
  </si>
  <si>
    <t>May Actual v. Expected</t>
  </si>
  <si>
    <t>May Actual v. Forecasted</t>
  </si>
  <si>
    <t>1. Inverter 2 is offline since 05/03.
2. Inverter 1 didn't start for producton on 05/21 and back online at 01:15 on 05/21 and again offline since 05/22</t>
  </si>
  <si>
    <t>1. SR084239
2. SR084949</t>
  </si>
  <si>
    <t>1. Site was offline from 05/10 at 07:00am to 11:00am on 05/10.</t>
  </si>
  <si>
    <t>1. SR084536</t>
  </si>
  <si>
    <t>1. Inverter 2 is derating, due to overheating 2 modules are offline
2. Inverter 1 is derating since 05/28.</t>
  </si>
  <si>
    <t>1. SR081345
2. SR085401</t>
  </si>
  <si>
    <t>1.  Inverter 1 is offline due to a permanent fault of the power module. Fault0010 at 14:00 from 05/21.
2. Inverter 27 tripped offline due to bus imbalance. Protect0070 at 12:30PM on 05/23.
3. Inverter 35 tripped offline due to AC SPD Fault. Warn0070 at 11:30 on 05/18.
4. Inverter 49 tripped offline due to bus imbalance. Protect0070 at 15:45 on 05/25.
5. Inverter 71 tripped offline due to a permanent fault of the power module. Fault0010 at 15:15 on 05/05.
6. Inverter 40 tripped offline and reporting Grid Phase Voltage Out of Range at 18:15 on 05/29.</t>
  </si>
  <si>
    <t>1. SR085262
2. SR085263
3. SR085264
4. SR085265
5. SR085266
6. SR085294</t>
  </si>
  <si>
    <t>1. Inverter 12 is derating due to external fan fault since 05/28</t>
  </si>
  <si>
    <t>1. SR085335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</si>
  <si>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</si>
  <si>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</si>
  <si>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</si>
  <si>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</si>
  <si>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</si>
  <si>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</si>
  <si>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</si>
  <si>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</si>
  <si>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</si>
  <si>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</si>
  <si>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</si>
  <si>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</si>
  <si>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</si>
  <si>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</si>
  <si>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</si>
  <si>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Ecofin</t>
  </si>
  <si>
    <t>Site DAS Name</t>
  </si>
  <si>
    <t>Update</t>
  </si>
  <si>
    <t>DAS</t>
  </si>
  <si>
    <t>003 - Alamosa School District</t>
  </si>
  <si>
    <t>Alamosa School District</t>
  </si>
  <si>
    <t>CO</t>
  </si>
  <si>
    <t>002 - San Luis Valley Regional MC</t>
  </si>
  <si>
    <t>San Luis Valley</t>
  </si>
  <si>
    <t>002 - NREL 2</t>
  </si>
  <si>
    <t>Golden NREL 2</t>
  </si>
  <si>
    <t>004 - NREL Wind 3</t>
  </si>
  <si>
    <t>Golden NREL Wind 3</t>
  </si>
  <si>
    <t>Kenyon Energy KS Solar</t>
  </si>
  <si>
    <t>Pratt Solar Farm</t>
  </si>
  <si>
    <t>KS</t>
  </si>
  <si>
    <t>MN WestSide Solar</t>
  </si>
  <si>
    <t>Rochester - 5516 Valleyhigh NW</t>
  </si>
  <si>
    <t>MN</t>
  </si>
  <si>
    <t>Hemings (VA) - ODEC</t>
  </si>
  <si>
    <t>Warsaw - 2201 Richmond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</si>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</sst>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8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6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23" fillId="0" borderId="0" xfId="43" applyFont="1"/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3" fillId="0" borderId="0" xfId="0" applyFont="1"/>
    <xf numFmtId="0" fontId="36" fillId="0" borderId="0" xfId="0" applyFont="1"/>
    <xf numFmtId="49" fontId="37" fillId="38" borderId="0" xfId="2" applyNumberFormat="1" applyFont="1" applyFill="1" applyBorder="1" applyAlignment="1">
      <alignment horizontal="left" vertical="top" wrapText="1"/>
    </xf>
    <xf numFmtId="164" fontId="29" fillId="44" borderId="0" xfId="1" applyNumberFormat="1" applyFont="1" applyFill="1" applyAlignment="1">
      <alignment horizontal="center" vertical="center"/>
    </xf>
    <xf numFmtId="3" fontId="31" fillId="4" borderId="0" xfId="1" applyNumberFormat="1" applyFont="1" applyFill="1" applyBorder="1" applyAlignment="1">
      <alignment vertical="center" wrapText="1"/>
    </xf>
    <xf numFmtId="49" fontId="29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center" wrapText="1"/>
    </xf>
    <xf numFmtId="49" fontId="28" fillId="0" borderId="0" xfId="0" applyNumberFormat="1" applyFont="1" applyAlignment="1">
      <alignment horizontal="left" vertical="top" wrapText="1"/>
    </xf>
    <xf numFmtId="3" fontId="31" fillId="0" borderId="0" xfId="0" applyNumberFormat="1" applyFont="1" applyAlignment="1">
      <alignment horizontal="center" vertical="center"/>
    </xf>
    <xf numFmtId="3" fontId="31" fillId="3" borderId="0" xfId="0" applyNumberFormat="1" applyFont="1" applyFill="1" applyAlignment="1">
      <alignment horizontal="center" vertical="center"/>
    </xf>
    <xf numFmtId="3" fontId="31" fillId="0" borderId="0" xfId="1" applyNumberFormat="1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H19" sqref="H19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Ecofin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6">
        <f>SUM(C4:C91)</f>
        <v>2278945</v>
      </c>
      <c r="D2" s="6">
        <f>SUM(D4:D91)</f>
        <v>2704398.9650498508</v>
      </c>
      <c r="E2" s="6">
        <f>C2-D2</f>
        <v>-425453.96504985075</v>
      </c>
      <c r="F2" s="7">
        <f>IFERROR(E2/D2, 0)</f>
        <v>-0.15731923083397878</v>
      </c>
      <c r="G2" s="6">
        <f>SUM(G4:G91)</f>
        <v>0</v>
      </c>
      <c r="H2" s="8">
        <f>C2-G2</f>
        <v>2278945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10">Sites[Site]</f>
        <v>Alamosa School District</v>
      </c>
      <c r="B4" s="10" t="str" cm="1">
        <f t="array" ref="B4:B10">Sites[State]</f>
        <v>CO</v>
      </c>
      <c r="C4" s="25">
        <f>SUM('1st Qtr'!C4, '2nd Qtr'!C4, '3rd Qtr'!C4, '4th Qtr'!C4)</f>
        <v>460134</v>
      </c>
      <c r="D4" s="14">
        <f>SUM('1st Qtr'!D4, '2nd Qtr'!D4, '3rd Qtr'!D4, '4th Qtr'!D4)</f>
        <v>513735.83027385065</v>
      </c>
      <c r="E4" s="14">
        <f>IF(AND(ISNUMBER(C4),ISNUMBER(D4)), C4-D4, "")</f>
        <v>-53601.830273850646</v>
      </c>
      <c r="F4" s="15">
        <f>IFERROR(E4/D4, "")</f>
        <v>-0.10433734054577777</v>
      </c>
      <c r="G4" s="16"/>
      <c r="H4" s="16">
        <f>SUM('1st Qtr'!H4, '2nd Qtr'!H4, '3rd Qtr'!H4, '4th Qtr'!H4)</f>
        <v>-125201.65000000046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SUM(Jan!C5, Feb!C5, Mar!C5)</f>
        <v>0</v>
      </c>
      <c r="D5" s="19">
        <f>SUM(Jan!D5, Feb!D5, Mar!D5)</f>
        <v>0</v>
      </c>
      <c r="E5" s="19">
        <f t="shared" ref="E5:E10" si="0">IF(AND(ISNUMBER(C5),ISNUMBER(D5)), C5-D5, "")</f>
        <v>0</v>
      </c>
      <c r="F5" s="20" t="str">
        <f>IFERROR(E5/D5, "")</f>
        <v/>
      </c>
      <c r="G5" s="21"/>
      <c r="H5" s="21">
        <f>SUM(Jan!H5, Feb!H5, Mar!H5)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SUM(Jan!C6, Feb!C6, Mar!C6)</f>
        <v>22181</v>
      </c>
      <c r="D6" s="14">
        <f>SUM(Jan!D6, Feb!D6, Mar!D6)</f>
        <v>22245.205775999999</v>
      </c>
      <c r="E6" s="14">
        <f t="shared" si="0"/>
        <v>-64.205775999998878</v>
      </c>
      <c r="F6" s="15">
        <f t="shared" ref="F6:F10" si="1">IFERROR(E6/D6, "")</f>
        <v>-2.88627476169582E-3</v>
      </c>
      <c r="G6" s="16"/>
      <c r="H6" s="16">
        <f>SUM(Jan!H6, Feb!H6, Mar!H6)</f>
        <v>-6550.9600000000009</v>
      </c>
      <c r="I6" s="17" t="str">
        <f t="shared" ref="I6:I10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SUM(Jan!C7, Feb!C7, Mar!C7)</f>
        <v>0</v>
      </c>
      <c r="D7" s="19">
        <f>SUM(Jan!D7, Feb!D7, Mar!D7)</f>
        <v>0</v>
      </c>
      <c r="E7" s="19">
        <f t="shared" si="0"/>
        <v>0</v>
      </c>
      <c r="F7" s="20" t="str">
        <f t="shared" si="1"/>
        <v/>
      </c>
      <c r="G7" s="21"/>
      <c r="H7" s="21">
        <f>SUM(Jan!H7, Feb!H7, Mar!H7)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SUM(Jan!C8, Feb!C8, Mar!C8)</f>
        <v>1796630</v>
      </c>
      <c r="D8" s="14">
        <f>SUM(Jan!D8, Feb!D8, Mar!D8)</f>
        <v>2168417.929</v>
      </c>
      <c r="E8" s="14">
        <f t="shared" si="0"/>
        <v>-371787.929</v>
      </c>
      <c r="F8" s="15">
        <f t="shared" si="1"/>
        <v>-0.1714558453090525</v>
      </c>
      <c r="G8" s="16"/>
      <c r="H8" s="16">
        <f>SUM(Jan!H8, Feb!H8, Mar!H8)</f>
        <v>-83098.040000000037</v>
      </c>
      <c r="I8" s="17" t="str">
        <f t="shared" si="2"/>
        <v/>
      </c>
    </row>
    <row r="9" spans="1:9" ht="12.75" customHeight="1">
      <c r="A9" s="18" t="str">
        <v>Rochester - 5516 Valleyhigh NW</v>
      </c>
      <c r="B9" s="11" t="str">
        <v>MN</v>
      </c>
      <c r="C9" s="12">
        <f>SUM(Jan!C9, Feb!C9, Mar!C9)</f>
        <v>0</v>
      </c>
      <c r="D9" s="19">
        <f>SUM(Jan!D9, Feb!D9, Mar!D9)</f>
        <v>0</v>
      </c>
      <c r="E9" s="19">
        <f t="shared" si="0"/>
        <v>0</v>
      </c>
      <c r="F9" s="20" t="str">
        <f t="shared" si="1"/>
        <v/>
      </c>
      <c r="G9" s="21"/>
      <c r="H9" s="21">
        <f>SUM(Jan!H9, Feb!H9, Mar!H9)</f>
        <v>0</v>
      </c>
      <c r="I9" s="20" t="str">
        <f t="shared" si="2"/>
        <v/>
      </c>
    </row>
    <row r="10" spans="1:9" ht="15.6">
      <c r="A10" s="13" t="str">
        <v>Warsaw - 2201 Richmond</v>
      </c>
      <c r="B10" s="10" t="str">
        <v>VA</v>
      </c>
      <c r="C10" s="25">
        <f>SUM(Jan!C10, Feb!C10, Mar!C10)</f>
        <v>0</v>
      </c>
      <c r="D10" s="14">
        <f>SUM(Jan!D10, Feb!D10, Mar!D10)</f>
        <v>0</v>
      </c>
      <c r="E10" s="14">
        <f t="shared" si="0"/>
        <v>0</v>
      </c>
      <c r="F10" s="15" t="str">
        <f t="shared" si="1"/>
        <v/>
      </c>
      <c r="G10" s="16"/>
      <c r="H10" s="16">
        <f>SUM(Jan!H10, Feb!H10, Mar!H10)</f>
        <v>0</v>
      </c>
      <c r="I10" s="17" t="str">
        <f t="shared" si="2"/>
        <v/>
      </c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12" sqref="D1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Ecofin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6">
        <f>SUM(C4:C91)</f>
        <v>2107421</v>
      </c>
      <c r="D2" s="6">
        <f>SUM(D4:D91)</f>
        <v>2460365.2046759999</v>
      </c>
      <c r="E2" s="6">
        <f>C2-D2</f>
        <v>-352944.20467599994</v>
      </c>
      <c r="F2" s="7">
        <f>IFERROR(E2/D2, 0)</f>
        <v>-0.14345195745949366</v>
      </c>
      <c r="G2" s="6">
        <f>SUM(G4:G91)</f>
        <v>2220161.2999999998</v>
      </c>
      <c r="H2" s="8">
        <f>C2-G2</f>
        <v>-112740.29999999981</v>
      </c>
      <c r="I2" s="7">
        <f>IFERROR(H2/G2, 0)</f>
        <v>-5.0780229346399211E-2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10">Sites[Site]</f>
        <v>Alamosa School District</v>
      </c>
      <c r="B4" s="10" t="str" cm="1">
        <f t="array" ref="B4:B10">Sites[State]</f>
        <v>CO</v>
      </c>
      <c r="C4" s="25">
        <f>SUM(Jan!C4, Feb!C4, Mar!C4)</f>
        <v>288610</v>
      </c>
      <c r="D4" s="14">
        <f>SUM(Jan!D4, Feb!D4, Mar!D4)</f>
        <v>269702.0699</v>
      </c>
      <c r="E4" s="14">
        <f>IF(AND(ISNUMBER(C4),ISNUMBER(D4)), C4-D4, "")</f>
        <v>18907.930099999998</v>
      </c>
      <c r="F4" s="15">
        <f>IFERROR(E4/D4, "")</f>
        <v>7.0106729648054505E-2</v>
      </c>
      <c r="G4" s="16">
        <f>SUM(Jan!G4, Feb!G4, Mar!G4)</f>
        <v>311701.3</v>
      </c>
      <c r="H4" s="16">
        <f>SUM(Jan!H4, Feb!H4, Mar!H4)</f>
        <v>-23091.300000000003</v>
      </c>
      <c r="I4" s="17">
        <f>IFERROR(H4/G4, "")</f>
        <v>-7.4081500462141167E-2</v>
      </c>
    </row>
    <row r="5" spans="1:9" ht="15.6">
      <c r="A5" s="18" t="str">
        <v>San Luis Valley</v>
      </c>
      <c r="B5" s="11" t="str">
        <v>CO</v>
      </c>
      <c r="C5" s="12">
        <f>SUM(Jan!C5, Feb!C5, Mar!C5)</f>
        <v>0</v>
      </c>
      <c r="D5" s="19">
        <f>SUM(Jan!D5, Feb!D5, Mar!D5)</f>
        <v>0</v>
      </c>
      <c r="E5" s="19">
        <f t="shared" ref="E5:E10" si="0">IF(AND(ISNUMBER(C5),ISNUMBER(D5)), C5-D5, "")</f>
        <v>0</v>
      </c>
      <c r="F5" s="20" t="str">
        <f>IFERROR(E5/D5, "")</f>
        <v/>
      </c>
      <c r="G5" s="21">
        <f>SUM(Jan!G5, Feb!G5, Mar!G5)</f>
        <v>0</v>
      </c>
      <c r="H5" s="21">
        <f>SUM(Jan!H5, Feb!H5, Mar!H5)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SUM(Jan!C6, Feb!C6, Mar!C6)</f>
        <v>22181</v>
      </c>
      <c r="D6" s="14">
        <f>SUM(Jan!D6, Feb!D6, Mar!D6)</f>
        <v>22245.205775999999</v>
      </c>
      <c r="E6" s="14">
        <f t="shared" si="0"/>
        <v>-64.205775999998878</v>
      </c>
      <c r="F6" s="15">
        <f t="shared" ref="F6:F10" si="1">IFERROR(E6/D6, "")</f>
        <v>-2.88627476169582E-3</v>
      </c>
      <c r="G6" s="16">
        <f>SUM(Jan!G6, Feb!G6, Mar!G6)</f>
        <v>28731.96</v>
      </c>
      <c r="H6" s="16">
        <f>SUM(Jan!H6, Feb!H6, Mar!H6)</f>
        <v>-6550.9600000000009</v>
      </c>
      <c r="I6" s="17">
        <f t="shared" ref="I6:I10" si="2">IFERROR(H6/G6, "")</f>
        <v>-0.22800254490121805</v>
      </c>
    </row>
    <row r="7" spans="1:9" ht="15.6">
      <c r="A7" s="18" t="str">
        <v>Golden NREL Wind 3</v>
      </c>
      <c r="B7" s="11" t="str">
        <v>CO</v>
      </c>
      <c r="C7" s="12">
        <f>SUM(Jan!C7, Feb!C7, Mar!C7)</f>
        <v>0</v>
      </c>
      <c r="D7" s="19">
        <f>SUM(Jan!D7, Feb!D7, Mar!D7)</f>
        <v>0</v>
      </c>
      <c r="E7" s="19">
        <f t="shared" si="0"/>
        <v>0</v>
      </c>
      <c r="F7" s="20" t="str">
        <f t="shared" si="1"/>
        <v/>
      </c>
      <c r="G7" s="21">
        <f>SUM(Jan!G7, Feb!G7, Mar!G7)</f>
        <v>0</v>
      </c>
      <c r="H7" s="21">
        <f>SUM(Jan!H7, Feb!H7, Mar!H7)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SUM(Jan!C8, Feb!C8, Mar!C8)</f>
        <v>1796630</v>
      </c>
      <c r="D8" s="14">
        <f>SUM(Jan!D8, Feb!D8, Mar!D8)</f>
        <v>2168417.929</v>
      </c>
      <c r="E8" s="14">
        <f t="shared" si="0"/>
        <v>-371787.929</v>
      </c>
      <c r="F8" s="15">
        <f t="shared" si="1"/>
        <v>-0.1714558453090525</v>
      </c>
      <c r="G8" s="16">
        <f>SUM(Jan!G8, Feb!G8, Mar!G8)</f>
        <v>1879728.04</v>
      </c>
      <c r="H8" s="16">
        <f>SUM(Jan!H8, Feb!H8, Mar!H8)</f>
        <v>-83098.040000000037</v>
      </c>
      <c r="I8" s="17">
        <f t="shared" si="2"/>
        <v>-4.4207480141648596E-2</v>
      </c>
    </row>
    <row r="9" spans="1:9" ht="12.75" customHeight="1">
      <c r="A9" s="18" t="str">
        <v>Rochester - 5516 Valleyhigh NW</v>
      </c>
      <c r="B9" s="11" t="str">
        <v>MN</v>
      </c>
      <c r="C9" s="12">
        <f>SUM(Jan!C9, Feb!C9, Mar!C9)</f>
        <v>0</v>
      </c>
      <c r="D9" s="19">
        <f>SUM(Jan!D9, Feb!D9, Mar!D9)</f>
        <v>0</v>
      </c>
      <c r="E9" s="19">
        <f t="shared" si="0"/>
        <v>0</v>
      </c>
      <c r="F9" s="19" t="str">
        <f t="shared" si="1"/>
        <v/>
      </c>
      <c r="G9" s="21">
        <f>SUM(Jan!G9, Feb!G9, Mar!G9)</f>
        <v>0</v>
      </c>
      <c r="H9" s="21">
        <f>SUM(Jan!H9, Feb!H9, Mar!H9)</f>
        <v>0</v>
      </c>
      <c r="I9" s="21" t="str">
        <f t="shared" si="2"/>
        <v/>
      </c>
    </row>
    <row r="10" spans="1:9" ht="15.6">
      <c r="A10" s="13" t="str">
        <v>Warsaw - 2201 Richmond</v>
      </c>
      <c r="B10" s="10" t="str">
        <v>VA</v>
      </c>
      <c r="C10" s="25">
        <f>SUM(Jan!C10, Feb!C10, Mar!C10)</f>
        <v>0</v>
      </c>
      <c r="D10" s="14">
        <f>SUM(Jan!D10, Feb!D10, Mar!D10)</f>
        <v>0</v>
      </c>
      <c r="E10" s="14">
        <f t="shared" si="0"/>
        <v>0</v>
      </c>
      <c r="F10" s="14" t="str">
        <f t="shared" si="1"/>
        <v/>
      </c>
      <c r="G10" s="16">
        <f>SUM(Jan!G10, Feb!G10, Mar!G10)</f>
        <v>0</v>
      </c>
      <c r="H10" s="16">
        <f>SUM(Jan!H10, Feb!H10, Mar!H10)</f>
        <v>0</v>
      </c>
      <c r="I10" s="16" t="str">
        <f t="shared" si="2"/>
        <v/>
      </c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 I4:I8 F11:F91 I11:I91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A16" sqref="A16"/>
      <selection pane="bottomLeft" activeCell="D12" sqref="D12"/>
      <selection pane="topRight" activeCell="D12" sqref="D1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Ecofin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6">
        <f>SUM(C4:C91)</f>
        <v>4744605.4270000001</v>
      </c>
      <c r="D2" s="6">
        <f>SUM(D4:D91)</f>
        <v>6215839.9218578106</v>
      </c>
      <c r="E2" s="6">
        <f>C2-D2</f>
        <v>-1471234.4948578104</v>
      </c>
      <c r="F2" s="7">
        <f>IFERROR(E2/D2, 0)</f>
        <v>-0.23669118145791679</v>
      </c>
      <c r="G2" s="6">
        <f>SUM(G4:G91)</f>
        <v>6202445.6600000001</v>
      </c>
      <c r="H2" s="8">
        <f>C2-G2</f>
        <v>-1457840.233</v>
      </c>
      <c r="I2" s="7">
        <f>IFERROR(H2/G2, 0)</f>
        <v>-0.23504280616301279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10">Sites[Site]</f>
        <v>Alamosa School District</v>
      </c>
      <c r="B4" s="10" t="str" cm="1">
        <f t="array" ref="B4:B10">Sites[State]</f>
        <v>CO</v>
      </c>
      <c r="C4" s="25">
        <f>SUM(Apr!C4, May!C4, Jun!C4)</f>
        <v>171524</v>
      </c>
      <c r="D4" s="14">
        <f>SUM(Apr!D4, May!D4, Jun!D4)</f>
        <v>244033.76037385064</v>
      </c>
      <c r="E4" s="14">
        <f>IF(AND(ISNUMBER(C4),ISNUMBER(D4)), C4-D4, "")</f>
        <v>-72509.760373850644</v>
      </c>
      <c r="F4" s="15">
        <f>IFERROR(E4/D4, "")</f>
        <v>-0.29713003751107381</v>
      </c>
      <c r="G4" s="16">
        <f>SUM(Apr!G4+May!G4+Jun!G4)</f>
        <v>273634.35000000044</v>
      </c>
      <c r="H4" s="16">
        <f>SUM(Apr!H4, May!H4, Jun!H4)</f>
        <v>-102110.35000000046</v>
      </c>
      <c r="I4" s="17">
        <f>IFERROR(H4/G4, "")</f>
        <v>-0.3731634935453107</v>
      </c>
    </row>
    <row r="5" spans="1:9" ht="15.6">
      <c r="A5" s="18" t="str">
        <v>San Luis Valley</v>
      </c>
      <c r="B5" s="11" t="str">
        <v>CO</v>
      </c>
      <c r="C5" s="12">
        <f>SUM(Apr!C5, May!C5, Jun!C5)</f>
        <v>222774.72700000001</v>
      </c>
      <c r="D5" s="19">
        <f>SUM(Apr!D5, May!D5, Jun!D5)</f>
        <v>0</v>
      </c>
      <c r="E5" s="19">
        <f t="shared" ref="E5:E10" si="0">IF(AND(ISNUMBER(C5),ISNUMBER(D5)), C5-D5, "")</f>
        <v>222774.72700000001</v>
      </c>
      <c r="F5" s="20" t="str">
        <f>IFERROR(E5/D5, "")</f>
        <v/>
      </c>
      <c r="G5" s="21">
        <f>SUM(Apr!G5+May!G5+Jun!G5)</f>
        <v>0</v>
      </c>
      <c r="H5" s="21">
        <f>SUM(Apr!H5, May!H5, Jun!H5)</f>
        <v>222774.72700000001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SUM(Apr!C6, May!C6, Jun!C6)</f>
        <v>26536</v>
      </c>
      <c r="D6" s="14">
        <f>SUM(Apr!D6, May!D6, Jun!D6)</f>
        <v>23267.903483959781</v>
      </c>
      <c r="E6" s="14">
        <f t="shared" si="0"/>
        <v>3268.0965160402193</v>
      </c>
      <c r="F6" s="15">
        <f t="shared" ref="F6:F10" si="1">IFERROR(E6/D6, "")</f>
        <v>0.14045513461464848</v>
      </c>
      <c r="G6" s="16">
        <f>SUM(Apr!G6+May!G6+Jun!G6)</f>
        <v>26565.719999999987</v>
      </c>
      <c r="H6" s="16">
        <f>SUM(Apr!H6, May!H6, Jun!H6)</f>
        <v>-29.71999999999025</v>
      </c>
      <c r="I6" s="17">
        <f t="shared" ref="I6:I10" si="2">IFERROR(H6/G6, "")</f>
        <v>-1.1187349712332383E-3</v>
      </c>
    </row>
    <row r="7" spans="1:9" ht="15.6">
      <c r="A7" s="18" t="str">
        <v>Golden NREL Wind 3</v>
      </c>
      <c r="B7" s="11" t="str">
        <v>CO</v>
      </c>
      <c r="C7" s="12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21">
        <f>SUM(Apr!G7+May!G7+Jun!G7)</f>
        <v>0</v>
      </c>
      <c r="H7" s="21">
        <f>SUM(Apr!H7, May!H7, Jun!H7)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SUM(Apr!C8, May!C8, Jun!C8)</f>
        <v>1779130</v>
      </c>
      <c r="D8" s="14">
        <f>SUM(Apr!D8, May!D8, Jun!D8)</f>
        <v>2287094.73</v>
      </c>
      <c r="E8" s="14">
        <f t="shared" si="0"/>
        <v>-507964.73</v>
      </c>
      <c r="F8" s="15">
        <f t="shared" si="1"/>
        <v>-0.22210043306776364</v>
      </c>
      <c r="G8" s="16">
        <f>SUM(Apr!G8+May!G8+Jun!G8)</f>
        <v>2268519.5</v>
      </c>
      <c r="H8" s="16">
        <f>SUM(Apr!H8, May!H8, Jun!H8)</f>
        <v>-489389.5</v>
      </c>
      <c r="I8" s="17">
        <f t="shared" si="2"/>
        <v>-0.21573078829606709</v>
      </c>
    </row>
    <row r="9" spans="1:9" ht="12.75" customHeight="1">
      <c r="A9" s="18" t="str">
        <v>Rochester - 5516 Valleyhigh NW</v>
      </c>
      <c r="B9" s="11" t="str">
        <v>MN</v>
      </c>
      <c r="C9" s="12">
        <f>SUM(Apr!C9, May!C9, Jun!C9)</f>
        <v>1472046</v>
      </c>
      <c r="D9" s="19">
        <f>SUM(Apr!D9, May!D9, Jun!D9)</f>
        <v>2533439.71</v>
      </c>
      <c r="E9" s="19">
        <f t="shared" si="0"/>
        <v>-1061393.71</v>
      </c>
      <c r="F9" s="53">
        <f t="shared" si="1"/>
        <v>-0.41895360912298957</v>
      </c>
      <c r="G9" s="21">
        <f>SUM(Apr!G9+May!G9+Jun!G9)</f>
        <v>2459554.67</v>
      </c>
      <c r="H9" s="21">
        <f>SUM(Apr!H9, May!H9, Jun!H9)</f>
        <v>-987508.66999999993</v>
      </c>
      <c r="I9" s="55">
        <f t="shared" si="2"/>
        <v>-0.40149897135646917</v>
      </c>
    </row>
    <row r="10" spans="1:9" ht="15.6">
      <c r="A10" s="13" t="str">
        <v>Warsaw - 2201 Richmond</v>
      </c>
      <c r="B10" s="10" t="str">
        <v>VA</v>
      </c>
      <c r="C10" s="25">
        <f>SUM(Apr!C10, May!C10, Jun!C10)</f>
        <v>1072594.7</v>
      </c>
      <c r="D10" s="14">
        <f>SUM(Apr!D10, May!D10, Jun!D10)</f>
        <v>1128003.818</v>
      </c>
      <c r="E10" s="14">
        <f t="shared" si="0"/>
        <v>-55409.118000000017</v>
      </c>
      <c r="F10" s="54">
        <f t="shared" si="1"/>
        <v>-4.9121392246918812E-2</v>
      </c>
      <c r="G10" s="16">
        <f>SUM(Apr!G10+May!G10+Jun!G10)</f>
        <v>1174171.42</v>
      </c>
      <c r="H10" s="16">
        <f>SUM(Apr!H10, May!H10, Jun!H10)</f>
        <v>-101576.71999999997</v>
      </c>
      <c r="I10" s="56">
        <f t="shared" si="2"/>
        <v>-8.6509276473447111E-2</v>
      </c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 I4:I8 F11:F91 I11:I91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A16" sqref="A16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Ecofin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10">Sites[Site]</f>
        <v>Alamosa School District</v>
      </c>
      <c r="B4" s="10" t="str" cm="1">
        <f t="array" ref="B4:B10">Sites[State]</f>
        <v>CO</v>
      </c>
      <c r="C4" s="25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SUM(Jul!C5, Aug!C5, Sep!C5)</f>
        <v>0</v>
      </c>
      <c r="D5" s="19">
        <f>SUM(Jul!D5, Aug!D5, Sep!D5)</f>
        <v>0</v>
      </c>
      <c r="E5" s="19">
        <f t="shared" ref="E5:E10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0" si="1">IFERROR(E6/D6, "")</f>
        <v/>
      </c>
      <c r="G6" s="16"/>
      <c r="H6" s="16">
        <f>SUM(Jul!H6, Aug!H6, Sep!H6)</f>
        <v>0</v>
      </c>
      <c r="I6" s="17" t="str">
        <f t="shared" ref="I6:I10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2.75" customHeight="1">
      <c r="A9" s="18" t="str">
        <v>Rochester - 5516 Valleyhigh NW</v>
      </c>
      <c r="B9" s="11" t="str">
        <v>MN</v>
      </c>
      <c r="C9" s="12">
        <f>SUM(Jul!C9, Aug!C9, Sep!C9)</f>
        <v>0</v>
      </c>
      <c r="D9" s="19">
        <f>SUM(Jul!D9, Aug!D9, Sep!D9)</f>
        <v>0</v>
      </c>
      <c r="E9" s="19">
        <f t="shared" si="0"/>
        <v>0</v>
      </c>
      <c r="F9" s="19" t="str">
        <f t="shared" si="1"/>
        <v/>
      </c>
      <c r="G9" s="21"/>
      <c r="H9" s="21">
        <f>SUM(Jul!H9, Aug!H9, Sep!H9)</f>
        <v>0</v>
      </c>
      <c r="I9" s="21" t="str">
        <f t="shared" si="2"/>
        <v/>
      </c>
    </row>
    <row r="10" spans="1:9" ht="15.6">
      <c r="A10" s="13" t="str">
        <v>Warsaw - 2201 Richmond</v>
      </c>
      <c r="B10" s="10" t="str">
        <v>VA</v>
      </c>
      <c r="C10" s="25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4" t="str">
        <f t="shared" si="1"/>
        <v/>
      </c>
      <c r="G10" s="16"/>
      <c r="H10" s="16">
        <f>SUM(Jul!H10, Aug!H10, Sep!H10)</f>
        <v>0</v>
      </c>
      <c r="I10" s="16" t="str">
        <f t="shared" si="2"/>
        <v/>
      </c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8 I4:I8 F11:F91 I11:I91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16" sqref="A16"/>
      <selection pane="bottomLeft" activeCell="A16" sqref="A16"/>
      <selection pane="topRight" activeCell="A16" sqref="A1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Ecofin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10">Sites[Site]</f>
        <v>Alamosa School District</v>
      </c>
      <c r="B4" s="10" t="str" cm="1">
        <f t="array" ref="B4:B10">Sites[State]</f>
        <v>CO</v>
      </c>
      <c r="C4" s="25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8" t="str">
        <v>San Luis Valley</v>
      </c>
      <c r="B5" s="11" t="str">
        <v>CO</v>
      </c>
      <c r="C5" s="12">
        <f>SUM(Oct!C5, Nov!C5, Dec!C5)</f>
        <v>0</v>
      </c>
      <c r="D5" s="19">
        <f>SUM(Oct!D5, Nov!D5, Dec!D5)</f>
        <v>0</v>
      </c>
      <c r="E5" s="19">
        <f t="shared" ref="E5:E10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5.6">
      <c r="A6" s="13" t="str">
        <v>Golden NREL 2</v>
      </c>
      <c r="B6" s="10" t="str">
        <v>CO</v>
      </c>
      <c r="C6" s="25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0" si="1">IFERROR(E6/D6, "")</f>
        <v/>
      </c>
      <c r="G6" s="16"/>
      <c r="H6" s="16">
        <f>SUM(Oct!H6, Nov!H6, Dec!H6)</f>
        <v>0</v>
      </c>
      <c r="I6" s="17" t="str">
        <f t="shared" ref="I6:I10" si="2">IFERROR(H6/G6, "")</f>
        <v/>
      </c>
    </row>
    <row r="7" spans="1:9" ht="15.6">
      <c r="A7" s="18" t="str">
        <v>Golden NREL Wind 3</v>
      </c>
      <c r="B7" s="11" t="str">
        <v>CO</v>
      </c>
      <c r="C7" s="12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5.6">
      <c r="A8" s="13" t="str">
        <v>Pratt Solar Farm</v>
      </c>
      <c r="B8" s="10" t="str">
        <v>KS</v>
      </c>
      <c r="C8" s="25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2.75" customHeight="1">
      <c r="A9" s="18" t="str">
        <v>Rochester - 5516 Valleyhigh NW</v>
      </c>
      <c r="B9" s="11" t="str">
        <v>MN</v>
      </c>
      <c r="C9" s="12">
        <f>SUM(Oct!C9, Nov!C9, Dec!C9)</f>
        <v>0</v>
      </c>
      <c r="D9" s="19">
        <f>SUM(Oct!D9, Nov!D9, Dec!D9)</f>
        <v>0</v>
      </c>
      <c r="E9" s="19">
        <f t="shared" si="0"/>
        <v>0</v>
      </c>
      <c r="F9" s="19" t="str">
        <f t="shared" si="1"/>
        <v/>
      </c>
      <c r="G9" s="21"/>
      <c r="H9" s="21">
        <f>SUM(Oct!H9, Nov!H9, Dec!H9)</f>
        <v>0</v>
      </c>
      <c r="I9" s="21" t="str">
        <f t="shared" si="2"/>
        <v/>
      </c>
    </row>
    <row r="10" spans="1:9" ht="15.6">
      <c r="A10" s="13" t="str">
        <v>Warsaw - 2201 Richmond</v>
      </c>
      <c r="B10" s="10" t="str">
        <v>VA</v>
      </c>
      <c r="C10" s="25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4" t="str">
        <f t="shared" si="1"/>
        <v/>
      </c>
      <c r="G10" s="16"/>
      <c r="H10" s="16">
        <f>SUM(Oct!H10, Nov!H10, Dec!H10)</f>
        <v>0</v>
      </c>
      <c r="I10" s="16" t="str">
        <f t="shared" si="2"/>
        <v/>
      </c>
    </row>
    <row r="11" spans="1:9" ht="13.9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3.9">
      <c r="A12" s="22"/>
      <c r="B12" s="22"/>
      <c r="C12" s="22"/>
      <c r="D12" s="22"/>
      <c r="E12" s="22"/>
      <c r="F12" s="22"/>
      <c r="G12" s="22"/>
      <c r="H12" s="22"/>
      <c r="I12" s="22"/>
    </row>
    <row r="13" spans="1:9" ht="13.9">
      <c r="A13" s="22"/>
      <c r="B13" s="22"/>
      <c r="C13" s="22"/>
      <c r="D13" s="22"/>
      <c r="E13" s="22"/>
      <c r="F13" s="22"/>
      <c r="G13" s="22"/>
      <c r="H13" s="22"/>
      <c r="I13" s="22"/>
    </row>
    <row r="14" spans="1:9" ht="13.9">
      <c r="A14" s="22"/>
      <c r="B14" s="22"/>
      <c r="C14" s="22"/>
      <c r="D14" s="22"/>
      <c r="E14" s="22"/>
      <c r="F14" s="22"/>
      <c r="G14" s="22"/>
      <c r="H14" s="22"/>
      <c r="I14" s="22"/>
    </row>
    <row r="15" spans="1:9" ht="13.9">
      <c r="A15" s="22"/>
      <c r="B15" s="22"/>
      <c r="C15" s="22"/>
      <c r="D15" s="22"/>
      <c r="E15" s="22"/>
      <c r="F15" s="22"/>
      <c r="G15" s="22"/>
      <c r="H15" s="22"/>
      <c r="I15" s="22"/>
    </row>
    <row r="16" spans="1:9" ht="13.9">
      <c r="A16" s="22"/>
      <c r="B16" s="22"/>
      <c r="C16" s="22"/>
      <c r="D16" s="22"/>
      <c r="E16" s="22"/>
      <c r="F16" s="22"/>
      <c r="G16" s="22"/>
      <c r="H16" s="22"/>
      <c r="I16" s="22"/>
    </row>
    <row r="17" spans="1:9" ht="13.9">
      <c r="A17" s="22"/>
      <c r="B17" s="22"/>
      <c r="C17" s="22"/>
      <c r="D17" s="22"/>
      <c r="E17" s="22"/>
      <c r="F17" s="22"/>
      <c r="G17" s="22"/>
      <c r="H17" s="22"/>
      <c r="I17" s="22"/>
    </row>
    <row r="18" spans="1:9" ht="13.9">
      <c r="A18" s="22"/>
      <c r="B18" s="22"/>
      <c r="C18" s="22"/>
      <c r="D18" s="22"/>
      <c r="E18" s="22"/>
      <c r="F18" s="22"/>
      <c r="G18" s="22"/>
      <c r="H18" s="22"/>
      <c r="I18" s="22"/>
    </row>
    <row r="19" spans="1:9" ht="13.9">
      <c r="A19" s="22"/>
      <c r="B19" s="22"/>
      <c r="C19" s="22"/>
      <c r="D19" s="22"/>
      <c r="E19" s="22"/>
      <c r="F19" s="22"/>
      <c r="G19" s="22"/>
      <c r="H19" s="22"/>
      <c r="I19" s="22"/>
    </row>
    <row r="20" spans="1:9" ht="13.9">
      <c r="A20" s="22"/>
      <c r="B20" s="22"/>
      <c r="C20" s="22"/>
      <c r="D20" s="22"/>
      <c r="E20" s="22"/>
      <c r="F20" s="22"/>
      <c r="G20" s="22"/>
      <c r="H20" s="22"/>
      <c r="I20" s="22"/>
    </row>
    <row r="21" spans="1:9" ht="13.9">
      <c r="A21" s="22"/>
      <c r="B21" s="22"/>
      <c r="C21" s="22"/>
      <c r="D21" s="22"/>
      <c r="E21" s="22"/>
      <c r="F21" s="22"/>
      <c r="G21" s="22"/>
      <c r="H21" s="22"/>
      <c r="I21" s="22"/>
    </row>
    <row r="22" spans="1:9" ht="13.9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3.9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3.9">
      <c r="A24" s="22"/>
      <c r="B24" s="22"/>
      <c r="C24" s="22"/>
      <c r="D24" s="22"/>
      <c r="E24" s="22"/>
      <c r="F24" s="23"/>
      <c r="G24" s="22"/>
      <c r="H24" s="22"/>
      <c r="I24" s="23"/>
    </row>
    <row r="25" spans="1:9" ht="13.9">
      <c r="A25" s="22"/>
      <c r="B25" s="22"/>
      <c r="C25" s="22"/>
      <c r="D25" s="22"/>
      <c r="E25" s="22"/>
      <c r="F25" s="23"/>
      <c r="G25" s="22"/>
      <c r="H25" s="22"/>
      <c r="I25" s="23"/>
    </row>
    <row r="26" spans="1:9" ht="13.9">
      <c r="A26" s="22"/>
      <c r="B26" s="22"/>
      <c r="C26" s="22"/>
      <c r="D26" s="22"/>
      <c r="E26" s="22"/>
      <c r="F26" s="23"/>
      <c r="G26" s="22"/>
      <c r="H26" s="22"/>
      <c r="I26" s="23"/>
    </row>
    <row r="27" spans="1:9" ht="13.9">
      <c r="A27" s="22"/>
      <c r="B27" s="22"/>
      <c r="C27" s="22"/>
      <c r="D27" s="22"/>
      <c r="E27" s="22"/>
      <c r="F27" s="23"/>
      <c r="G27" s="22"/>
      <c r="H27" s="22"/>
      <c r="I27" s="23"/>
    </row>
    <row r="28" spans="1:9" ht="13.9">
      <c r="A28" s="22"/>
      <c r="B28" s="22"/>
      <c r="C28" s="22"/>
      <c r="D28" s="22"/>
      <c r="E28" s="22"/>
      <c r="F28" s="23"/>
      <c r="G28" s="22"/>
      <c r="H28" s="22"/>
      <c r="I28" s="23"/>
    </row>
    <row r="29" spans="1:9" ht="13.9">
      <c r="A29" s="22"/>
      <c r="B29" s="22"/>
      <c r="C29" s="22"/>
      <c r="D29" s="22"/>
      <c r="E29" s="22"/>
      <c r="F29" s="23"/>
      <c r="G29" s="22"/>
      <c r="H29" s="22"/>
      <c r="I29" s="23"/>
    </row>
    <row r="30" spans="1:9" ht="13.9">
      <c r="A30" s="22"/>
      <c r="B30" s="22"/>
      <c r="C30" s="22"/>
      <c r="D30" s="22"/>
      <c r="E30" s="22"/>
      <c r="F30" s="23"/>
      <c r="G30" s="22"/>
      <c r="H30" s="22"/>
      <c r="I30" s="23"/>
    </row>
    <row r="31" spans="1:9" ht="13.9">
      <c r="A31" s="22"/>
      <c r="B31" s="22"/>
      <c r="C31" s="22"/>
      <c r="D31" s="22"/>
      <c r="E31" s="22"/>
      <c r="F31" s="23"/>
      <c r="G31" s="22"/>
      <c r="H31" s="22"/>
      <c r="I31" s="23"/>
    </row>
    <row r="32" spans="1:9" ht="13.9">
      <c r="A32" s="22"/>
      <c r="B32" s="22"/>
      <c r="C32" s="22"/>
      <c r="D32" s="22"/>
      <c r="E32" s="22"/>
      <c r="F32" s="23"/>
      <c r="G32" s="22"/>
      <c r="H32" s="22"/>
      <c r="I32" s="23"/>
    </row>
    <row r="33" spans="1:9" ht="13.9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3.9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3.9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3.9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3.9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3.9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3.9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3.9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3.9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3.9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3.9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3.9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3.9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3.9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3.9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3.9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3.9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3.9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3.9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3.9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3.9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3.9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3.9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3.9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3.9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3.9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3.9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3.9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3.9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3.9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3.9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3.9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3.9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3.9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3.9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3.9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3.9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3.9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3.9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3.9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3.9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3.9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3.9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3.9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3.9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3.9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3.9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3.9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3.9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3.9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3.9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3.9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3.9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3.9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3.9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3.9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3.9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3.9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3.9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3.9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3.9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3.9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3.9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3.9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3.9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3.9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3.9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3.9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3.9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3.9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3.9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3.9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3.9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3.9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3.9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3.9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3.9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3.9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3.9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3.9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3.9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3.9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3.9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3.9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3.9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3.9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3.9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3.9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3.9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3.9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3.9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3.9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3.9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3.9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3.9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3.9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3.9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3.9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3.9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3.9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3.9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3.9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3.9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3.9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3.9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3.9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3.9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3.9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3.9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3.9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3.9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3.9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3.9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3.9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3.9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3.9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3.9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3.9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3.9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3.9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3.9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3.9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3.9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3.9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3.9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3.9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3.9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3.9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3.9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3.9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3.9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3.9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3.9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3.9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3.9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3.9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3.9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3.9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3.9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3.9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3.9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3.9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3.9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3.9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3.9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3.9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3.9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3.9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3.9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3.9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3.9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3.9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3.9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3.9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3.9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3.9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3.9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3.9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3.9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3.9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3.9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3.9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3.9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3.9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3.9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3.9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3.9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3.9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3.9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3.9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3.9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3.9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3.9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3.9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3.9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3.9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3.9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3.9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3.9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3.9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3.9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3.9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3.9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3.9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3.9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3.9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3.9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3.9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3.9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3.9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3.9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3.9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3.9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3.9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3.9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3.9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3.9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3.9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3.9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3.9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3.9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3.9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3.9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3.9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3.9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3.9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3.9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3.9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3.9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3.9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3.9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3.9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3.9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3.9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3.9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3.9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3.9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3.9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3.9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3.9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3.9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3.9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3.9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3.9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3.9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3.9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3.9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3.9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3.9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3.9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3.9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3.9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3.9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3.9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3.9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3.9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3.9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3.9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3.9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3.9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3.9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3.9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3.9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3.9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3.9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3.9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3.9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3.9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3.9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3.9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3.9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3.9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3.9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3.9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3.9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3.9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3.9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3.9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3.9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3.9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3.9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3.9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3.9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3.9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3.9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3.9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3.9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3.9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3.9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3.9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3.9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3.9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3.9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3.9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3.9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3.9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3.9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3.9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3.9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3.9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3.9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3.9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3.9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3.9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3.9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3.9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3.9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3.9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3.9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3.9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3.9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3.9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3.9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3.9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3.9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3.9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3.9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3.9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3.9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3.9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3.9">
      <c r="A333" s="22"/>
      <c r="B333" s="22"/>
      <c r="C333" s="22"/>
      <c r="D333" s="22"/>
      <c r="E333" s="22"/>
      <c r="F333" s="23"/>
      <c r="G333" s="22"/>
      <c r="H333" s="22"/>
      <c r="I333" s="23"/>
    </row>
  </sheetData>
  <mergeCells count="4">
    <mergeCell ref="G1:I1"/>
    <mergeCell ref="A1:C1"/>
    <mergeCell ref="D1:F1"/>
    <mergeCell ref="A2:B2"/>
  </mergeCells>
  <conditionalFormatting sqref="F2 I2 F4:F8 I4:I8 F11:F91 I11:I91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4"/>
  <sheetViews>
    <sheetView workbookViewId="0">
      <pane xSplit="2" ySplit="3" topLeftCell="D4" activePane="bottomRight" state="frozen"/>
      <selection pane="bottomRight" activeCell="G18" sqref="G18"/>
      <selection pane="bottomLeft" activeCell="A16" sqref="A16"/>
      <selection pane="topRight" activeCell="A16" sqref="A16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Ecofin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SUM(C4:C82)</f>
        <v>78991</v>
      </c>
      <c r="D2" s="6">
        <f>SUM(D4:D82)</f>
        <v>79673</v>
      </c>
      <c r="E2" s="6">
        <f>C2-D2</f>
        <v>-682</v>
      </c>
      <c r="F2" s="7">
        <f>IFERROR(E2/D2, 0)</f>
        <v>-8.5599889548529616E-3</v>
      </c>
      <c r="G2" s="6">
        <f>SUM(G4:G82)</f>
        <v>100783</v>
      </c>
      <c r="H2" s="8">
        <f>C2-G2</f>
        <v>-21792</v>
      </c>
      <c r="I2" s="7">
        <f>IFERROR(H2/G2, 0)</f>
        <v>-0.21622694303602791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28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>
        <v>72896</v>
      </c>
      <c r="D4" s="14">
        <v>73786</v>
      </c>
      <c r="E4" s="14">
        <f>IF(AND(ISNUMBER(C4),ISNUMBER(D4)), C4-D4, "")</f>
        <v>-890</v>
      </c>
      <c r="F4" s="15">
        <f>IFERROR(E4/D4, "")</f>
        <v>-1.2061908763180007E-2</v>
      </c>
      <c r="G4" s="16">
        <v>93005</v>
      </c>
      <c r="H4" s="16">
        <f>IF(AND(ISNUMBER(C4),ISNUMBER(G4)), C4-G4, "")</f>
        <v>-20109</v>
      </c>
      <c r="I4" s="17">
        <f>IFERROR(H4/G4, "")</f>
        <v>-0.21621418203322401</v>
      </c>
      <c r="J4" s="42" t="s">
        <v>22</v>
      </c>
      <c r="K4" s="42" t="s">
        <v>23</v>
      </c>
    </row>
    <row r="5" spans="1:11" ht="15.6">
      <c r="A5" s="31" t="str">
        <v>San Luis Valley</v>
      </c>
      <c r="B5" s="32" t="str">
        <v>CO</v>
      </c>
      <c r="C5" s="12">
        <v>0</v>
      </c>
      <c r="D5" s="19">
        <v>0</v>
      </c>
      <c r="E5" s="19">
        <f t="shared" ref="E5:E8" si="0">IF(AND(ISNUMBER(C5),ISNUMBER(D5)), C5-D5, "")</f>
        <v>0</v>
      </c>
      <c r="F5" s="20" t="str">
        <f>IFERROR(E5/D5, "")</f>
        <v/>
      </c>
      <c r="G5" s="21">
        <v>0</v>
      </c>
      <c r="H5" s="21">
        <f t="shared" ref="H5:H6" si="1">IF(AND(ISNUMBER(C5),ISNUMBER(G5)), C5-G5, "")</f>
        <v>0</v>
      </c>
      <c r="I5" s="20" t="str">
        <f t="shared" ref="I5:I6" si="2">IFERROR(H5/G5, "")</f>
        <v/>
      </c>
      <c r="J5" s="43" t="s">
        <v>24</v>
      </c>
      <c r="K5" s="43" t="s">
        <v>25</v>
      </c>
    </row>
    <row r="6" spans="1:11" ht="15.6">
      <c r="A6" s="29" t="str">
        <v>Golden NREL 2</v>
      </c>
      <c r="B6" s="30" t="str">
        <v>CO</v>
      </c>
      <c r="C6" s="25">
        <v>6095</v>
      </c>
      <c r="D6" s="14">
        <v>5887</v>
      </c>
      <c r="E6" s="14">
        <f t="shared" si="0"/>
        <v>208</v>
      </c>
      <c r="F6" s="15">
        <f t="shared" ref="F6:F8" si="3">IFERROR(E6/D6, "")</f>
        <v>3.5332087650755906E-2</v>
      </c>
      <c r="G6" s="16">
        <v>7778</v>
      </c>
      <c r="H6" s="16">
        <f t="shared" si="1"/>
        <v>-1683</v>
      </c>
      <c r="I6" s="17">
        <f t="shared" si="2"/>
        <v>-0.21637953201337104</v>
      </c>
      <c r="J6" s="42" t="s">
        <v>26</v>
      </c>
      <c r="K6" s="42" t="s">
        <v>27</v>
      </c>
    </row>
    <row r="7" spans="1:11" ht="15.6">
      <c r="A7" s="31" t="str">
        <v>Golden NREL Wind 3</v>
      </c>
      <c r="B7" s="32" t="str">
        <v>CO</v>
      </c>
      <c r="C7" s="12">
        <v>0</v>
      </c>
      <c r="D7" s="19">
        <v>0</v>
      </c>
      <c r="E7" s="19">
        <f t="shared" si="0"/>
        <v>0</v>
      </c>
      <c r="F7" s="20" t="str">
        <f t="shared" si="3"/>
        <v/>
      </c>
      <c r="G7" s="21">
        <v>0</v>
      </c>
      <c r="H7" s="21">
        <f t="shared" ref="H7:H8" si="4">IF(AND(ISNUMBER(C7),ISNUMBER(G7)), C7-G7, "")</f>
        <v>0</v>
      </c>
      <c r="I7" s="20" t="str">
        <f t="shared" ref="I7:I8" si="5">IFERROR(H7/G7, "")</f>
        <v/>
      </c>
      <c r="J7" s="43" t="s">
        <v>28</v>
      </c>
      <c r="K7" s="44" t="s">
        <v>29</v>
      </c>
    </row>
    <row r="8" spans="1:11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4"/>
        <v/>
      </c>
      <c r="I8" s="17" t="str">
        <f t="shared" si="5"/>
        <v/>
      </c>
      <c r="J8" s="42"/>
      <c r="K8" s="42"/>
    </row>
    <row r="9" spans="1:11" ht="15.6">
      <c r="A9" s="31" t="str">
        <v>Rochester - 5516 Valleyhigh NW</v>
      </c>
      <c r="B9" s="32" t="str">
        <v>MN</v>
      </c>
      <c r="C9" s="12"/>
      <c r="D9" s="19"/>
      <c r="E9" s="19"/>
      <c r="F9" s="20"/>
      <c r="G9" s="21"/>
      <c r="H9" s="21"/>
      <c r="I9" s="20"/>
      <c r="J9" s="43"/>
      <c r="K9" s="44"/>
    </row>
    <row r="10" spans="1:11" ht="15.6">
      <c r="A10" s="29" t="str">
        <v>Warsaw - 2201 Richmond</v>
      </c>
      <c r="B10" s="30" t="str">
        <v>VA</v>
      </c>
      <c r="C10" s="25"/>
      <c r="D10" s="14"/>
      <c r="E10" s="14"/>
      <c r="F10" s="15"/>
      <c r="G10" s="16"/>
      <c r="H10" s="16"/>
      <c r="I10" s="17"/>
      <c r="J10" s="42"/>
      <c r="K10" s="4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3"/>
      <c r="G15" s="22"/>
      <c r="H15" s="22"/>
      <c r="I15" s="23"/>
      <c r="J15" s="22"/>
      <c r="K15" s="22"/>
    </row>
    <row r="16" spans="1:11" ht="14.45">
      <c r="A16" s="22"/>
      <c r="B16" s="34"/>
      <c r="C16" s="22"/>
      <c r="D16" s="22"/>
      <c r="E16" s="22"/>
      <c r="F16" s="23"/>
      <c r="G16" s="22"/>
      <c r="H16" s="22"/>
      <c r="I16" s="23"/>
      <c r="J16" s="22"/>
      <c r="K16" s="22"/>
    </row>
    <row r="17" spans="1:11" ht="14.45">
      <c r="A17" s="22"/>
      <c r="B17" s="34"/>
      <c r="C17" s="22"/>
      <c r="D17" s="22"/>
      <c r="E17" s="22"/>
      <c r="F17" s="23"/>
      <c r="G17" s="22"/>
      <c r="H17" s="22"/>
      <c r="I17" s="23"/>
      <c r="J17" s="22"/>
      <c r="K17" s="22"/>
    </row>
    <row r="18" spans="1:11" ht="14.45">
      <c r="A18" s="22"/>
      <c r="B18" s="34"/>
      <c r="C18" s="22"/>
      <c r="D18" s="22"/>
      <c r="E18" s="22"/>
      <c r="F18" s="23"/>
      <c r="G18" s="22"/>
      <c r="H18" s="22"/>
      <c r="I18" s="23"/>
      <c r="J18" s="22"/>
      <c r="K18" s="22"/>
    </row>
    <row r="19" spans="1:11" ht="14.45">
      <c r="A19" s="22"/>
      <c r="B19" s="34"/>
      <c r="C19" s="22"/>
      <c r="D19" s="22"/>
      <c r="E19" s="22"/>
      <c r="F19" s="23"/>
      <c r="G19" s="22"/>
      <c r="H19" s="22"/>
      <c r="I19" s="23"/>
      <c r="J19" s="22"/>
      <c r="K19" s="22"/>
    </row>
    <row r="20" spans="1:11" ht="14.45">
      <c r="A20" s="22"/>
      <c r="B20" s="34"/>
      <c r="C20" s="22"/>
      <c r="D20" s="22"/>
      <c r="E20" s="22"/>
      <c r="F20" s="23"/>
      <c r="G20" s="22"/>
      <c r="H20" s="22"/>
      <c r="I20" s="23"/>
      <c r="J20" s="22"/>
      <c r="K20" s="22"/>
    </row>
    <row r="21" spans="1:11" ht="14.45">
      <c r="A21" s="22"/>
      <c r="B21" s="34"/>
      <c r="C21" s="22"/>
      <c r="D21" s="22"/>
      <c r="E21" s="22"/>
      <c r="F21" s="23"/>
      <c r="G21" s="22"/>
      <c r="H21" s="22"/>
      <c r="I21" s="23"/>
      <c r="J21" s="22"/>
      <c r="K21" s="22"/>
    </row>
    <row r="22" spans="1:11" ht="14.45">
      <c r="A22" s="22"/>
      <c r="B22" s="34"/>
      <c r="C22" s="22"/>
      <c r="D22" s="22"/>
      <c r="E22" s="22"/>
      <c r="F22" s="23"/>
      <c r="G22" s="22"/>
      <c r="H22" s="22"/>
      <c r="I22" s="23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</sheetData>
  <mergeCells count="4">
    <mergeCell ref="D1:F1"/>
    <mergeCell ref="A1:C1"/>
    <mergeCell ref="G1:I1"/>
    <mergeCell ref="A2:B2"/>
  </mergeCells>
  <conditionalFormatting sqref="F2 I2 F4:F82 I4:I82">
    <cfRule type="cellIs" dxfId="40" priority="4" stopIfTrue="1" operator="lessThanOrEqual">
      <formula>-0.1</formula>
    </cfRule>
    <cfRule type="expression" dxfId="39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xSplit="2" ySplit="3" topLeftCell="E4" activePane="bottomRight" state="frozen"/>
      <selection pane="bottomRight" activeCell="H19" sqref="H19"/>
      <selection pane="bottomLeft" activeCell="A16" sqref="A16"/>
      <selection pane="topRight" activeCell="A16" sqref="A16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Ecofin</v>
      </c>
      <c r="B1" s="58"/>
      <c r="C1" s="58"/>
      <c r="D1" s="59" t="s">
        <v>30</v>
      </c>
      <c r="E1" s="59"/>
      <c r="F1" s="59"/>
      <c r="G1" s="57" t="s">
        <v>31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SUM(C4:C91)</f>
        <v>911881</v>
      </c>
      <c r="D2" s="6">
        <f>SUM(D4:D91)</f>
        <v>1076640.5530000001</v>
      </c>
      <c r="E2" s="6">
        <f>C2-D2</f>
        <v>-164759.55300000007</v>
      </c>
      <c r="F2" s="7">
        <f>IFERROR(E2/D2, 0)</f>
        <v>-0.15303116025205124</v>
      </c>
      <c r="G2" s="6">
        <f>SUM(G4:G91)</f>
        <v>944891.36</v>
      </c>
      <c r="H2" s="8">
        <f>C2-G2</f>
        <v>-33010.359999999986</v>
      </c>
      <c r="I2" s="7">
        <f>IFERROR(H2/G2, 0)</f>
        <v>-3.4935614185317543E-2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>
        <v>100394</v>
      </c>
      <c r="D4" s="14">
        <v>90505.5</v>
      </c>
      <c r="E4" s="14">
        <f>IF(AND(ISNUMBER(C4),ISNUMBER(D4)), C4-D4, "")</f>
        <v>9888.5</v>
      </c>
      <c r="F4" s="15">
        <f>IFERROR(E4/D4, "")</f>
        <v>0.10925855334758661</v>
      </c>
      <c r="G4" s="16">
        <v>97813.3</v>
      </c>
      <c r="H4" s="16">
        <f>IF(AND(ISNUMBER(C4),ISNUMBER(G4)), C4-G4, "")</f>
        <v>2580.6999999999971</v>
      </c>
      <c r="I4" s="17">
        <f>IFERROR(H4/G4, "")</f>
        <v>2.6383937562683164E-2</v>
      </c>
      <c r="J4" s="47"/>
      <c r="K4" s="47"/>
    </row>
    <row r="5" spans="1:11" ht="15.6">
      <c r="A5" s="31" t="str">
        <v>San Luis Valley</v>
      </c>
      <c r="B5" s="32" t="str">
        <v>CO</v>
      </c>
      <c r="C5" s="12">
        <v>0</v>
      </c>
      <c r="D5" s="46">
        <v>0</v>
      </c>
      <c r="E5" s="19">
        <v>0</v>
      </c>
      <c r="F5" s="20" t="str">
        <f>IFERROR(E5/D5, "")</f>
        <v/>
      </c>
      <c r="G5" s="46">
        <v>0</v>
      </c>
      <c r="H5" s="21">
        <f t="shared" ref="H5:H8" si="0">IF(AND(ISNUMBER(C5),ISNUMBER(G5)), C5-G5, "")</f>
        <v>0</v>
      </c>
      <c r="I5" s="20" t="str">
        <f t="shared" ref="I5:I8" si="1">IFERROR(H5/G5, "")</f>
        <v/>
      </c>
      <c r="J5" s="51" t="s">
        <v>32</v>
      </c>
      <c r="K5" s="51" t="s">
        <v>33</v>
      </c>
    </row>
    <row r="6" spans="1:11" ht="15.6">
      <c r="A6" s="29" t="str">
        <v>Golden NREL 2</v>
      </c>
      <c r="B6" s="30" t="str">
        <v>CO</v>
      </c>
      <c r="C6" s="25">
        <v>6597</v>
      </c>
      <c r="D6" s="14">
        <v>7237.8</v>
      </c>
      <c r="E6" s="14">
        <f t="shared" ref="E6:E8" si="2">IF(AND(ISNUMBER(C6),ISNUMBER(D6)), C6-D6, "")</f>
        <v>-640.80000000000018</v>
      </c>
      <c r="F6" s="15">
        <f t="shared" ref="F6:F8" si="3">IFERROR(E6/D6, "")</f>
        <v>-8.8535190251181325E-2</v>
      </c>
      <c r="G6" s="16">
        <v>8862.2000000000007</v>
      </c>
      <c r="H6" s="16">
        <f t="shared" si="0"/>
        <v>-2265.2000000000007</v>
      </c>
      <c r="I6" s="17">
        <f t="shared" si="1"/>
        <v>-0.25560244634515139</v>
      </c>
      <c r="J6" s="47"/>
      <c r="K6" s="47"/>
    </row>
    <row r="7" spans="1:11" ht="15.6">
      <c r="A7" s="31" t="str">
        <v>Golden NREL Wind 3</v>
      </c>
      <c r="B7" s="32" t="str">
        <v>CO</v>
      </c>
      <c r="C7" s="12">
        <v>0</v>
      </c>
      <c r="D7" s="46">
        <v>0</v>
      </c>
      <c r="E7" s="19">
        <f t="shared" si="2"/>
        <v>0</v>
      </c>
      <c r="F7" s="20" t="str">
        <f t="shared" si="3"/>
        <v/>
      </c>
      <c r="G7" s="46">
        <v>0</v>
      </c>
      <c r="H7" s="21">
        <f t="shared" si="0"/>
        <v>0</v>
      </c>
      <c r="I7" s="20" t="str">
        <f t="shared" si="1"/>
        <v/>
      </c>
      <c r="J7" s="51" t="s">
        <v>28</v>
      </c>
      <c r="K7" s="51" t="s">
        <v>29</v>
      </c>
    </row>
    <row r="8" spans="1:11" ht="57.6">
      <c r="A8" s="29" t="str">
        <v>Pratt Solar Farm</v>
      </c>
      <c r="B8" s="30" t="str">
        <v>KS</v>
      </c>
      <c r="C8" s="25">
        <v>804890</v>
      </c>
      <c r="D8" s="14">
        <v>978897.25300000003</v>
      </c>
      <c r="E8" s="14">
        <f t="shared" si="2"/>
        <v>-174007.25300000003</v>
      </c>
      <c r="F8" s="15">
        <f t="shared" si="3"/>
        <v>-0.17775844448099604</v>
      </c>
      <c r="G8" s="16">
        <v>838215.86</v>
      </c>
      <c r="H8" s="16">
        <f t="shared" si="0"/>
        <v>-33325.859999999986</v>
      </c>
      <c r="I8" s="17">
        <f t="shared" si="1"/>
        <v>-3.9758088089624055E-2</v>
      </c>
      <c r="J8" s="47" t="s">
        <v>34</v>
      </c>
      <c r="K8" s="47" t="s">
        <v>35</v>
      </c>
    </row>
    <row r="9" spans="1:11" ht="12.75" customHeight="1">
      <c r="A9" s="31" t="str">
        <v>Rochester - 5516 Valleyhigh NW</v>
      </c>
      <c r="B9" s="32" t="str">
        <v>MN</v>
      </c>
      <c r="C9" s="12"/>
      <c r="D9" s="46"/>
      <c r="E9" s="19"/>
      <c r="F9" s="20"/>
      <c r="G9" s="46"/>
      <c r="H9" s="21"/>
      <c r="I9" s="20"/>
      <c r="J9" s="51"/>
      <c r="K9" s="51"/>
    </row>
    <row r="10" spans="1:11" ht="15.6">
      <c r="A10" s="29" t="str">
        <v>Warsaw - 2201 Richmond</v>
      </c>
      <c r="B10" s="30" t="str">
        <v>VA</v>
      </c>
      <c r="C10" s="25"/>
      <c r="D10" s="14"/>
      <c r="E10" s="14"/>
      <c r="F10" s="15"/>
      <c r="G10" s="16"/>
      <c r="H10" s="16"/>
      <c r="I10" s="17"/>
      <c r="J10" s="47"/>
      <c r="K10" s="47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4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Ecofin</v>
      </c>
      <c r="B1" s="58"/>
      <c r="C1" s="58"/>
      <c r="D1" s="59" t="s">
        <v>36</v>
      </c>
      <c r="E1" s="59"/>
      <c r="F1" s="59"/>
      <c r="G1" s="57" t="s">
        <v>37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SUM(C4:C92)</f>
        <v>1116549</v>
      </c>
      <c r="D2" s="6">
        <f>SUM(D4:D92)</f>
        <v>1304051.6516760001</v>
      </c>
      <c r="E2" s="6">
        <f>C2-D2</f>
        <v>-187502.6516760001</v>
      </c>
      <c r="F2" s="7">
        <f>IFERROR(E2/D2, 0)</f>
        <v>-0.14378468171488221</v>
      </c>
      <c r="G2" s="6">
        <f>SUM(G4:G92)</f>
        <v>1174486.94</v>
      </c>
      <c r="H2" s="8">
        <f>C2-G2</f>
        <v>-57937.939999999944</v>
      </c>
      <c r="I2" s="7">
        <f>IFERROR(H2/G2, 0)</f>
        <v>-4.9330425079056175E-2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48">
        <v>115320</v>
      </c>
      <c r="D4" s="14">
        <v>105410.5699</v>
      </c>
      <c r="E4" s="14">
        <f>IF(AND(ISNUMBER(C4),ISNUMBER(D4)), C4-D4, "")</f>
        <v>9909.4300999999978</v>
      </c>
      <c r="F4" s="15">
        <f>IFERROR(E4/D4, "")</f>
        <v>9.4007935915732088E-2</v>
      </c>
      <c r="G4" s="49">
        <v>120883</v>
      </c>
      <c r="H4" s="16">
        <f>IF(AND(ISNUMBER(C4),ISNUMBER(G4)), C4-G4, "")</f>
        <v>-5563</v>
      </c>
      <c r="I4" s="17">
        <f>IFERROR(H4/G4, "")</f>
        <v>-4.6019705004012146E-2</v>
      </c>
      <c r="J4" s="42"/>
      <c r="K4" s="42"/>
    </row>
    <row r="5" spans="1:11" ht="28.9">
      <c r="A5" s="31" t="str">
        <v>San Luis Valley</v>
      </c>
      <c r="B5" s="32" t="str">
        <v>CO</v>
      </c>
      <c r="C5" s="12">
        <v>0</v>
      </c>
      <c r="D5" s="19">
        <v>0</v>
      </c>
      <c r="E5" s="19">
        <f t="shared" ref="E5:E9" si="0">IF(AND(ISNUMBER(C5),ISNUMBER(D5)), C5-D5, "")</f>
        <v>0</v>
      </c>
      <c r="F5" s="20" t="str">
        <f>IFERROR(E5/D5, "")</f>
        <v/>
      </c>
      <c r="G5" s="21">
        <v>0</v>
      </c>
      <c r="H5" s="21">
        <f t="shared" ref="H5:H9" si="1">IF(AND(ISNUMBER(C5),ISNUMBER(G5)), C5-G5, "")</f>
        <v>0</v>
      </c>
      <c r="I5" s="20" t="str">
        <f t="shared" ref="I5:I9" si="2">IFERROR(H5/G5, "")</f>
        <v/>
      </c>
      <c r="J5" s="50" t="s">
        <v>38</v>
      </c>
      <c r="K5" s="50" t="s">
        <v>33</v>
      </c>
    </row>
    <row r="6" spans="1:11" ht="15.6">
      <c r="A6" s="29" t="str">
        <v>Golden NREL 2</v>
      </c>
      <c r="B6" s="30" t="str">
        <v>CO</v>
      </c>
      <c r="C6" s="25">
        <v>9489</v>
      </c>
      <c r="D6" s="14">
        <v>9120.4057759999996</v>
      </c>
      <c r="E6" s="14">
        <f t="shared" si="0"/>
        <v>368.59422400000039</v>
      </c>
      <c r="F6" s="15">
        <f t="shared" ref="F6:F9" si="3">IFERROR(E6/D6, "")</f>
        <v>4.041423518347638E-2</v>
      </c>
      <c r="G6" s="16">
        <v>12091.76</v>
      </c>
      <c r="H6" s="16">
        <f t="shared" si="1"/>
        <v>-2602.7600000000002</v>
      </c>
      <c r="I6" s="17">
        <f t="shared" si="2"/>
        <v>-0.21525071619019895</v>
      </c>
      <c r="J6" s="42"/>
      <c r="K6" s="42"/>
    </row>
    <row r="7" spans="1:11" ht="15.6">
      <c r="A7" s="31" t="str">
        <v>Golden NREL Wind 3</v>
      </c>
      <c r="B7" s="32" t="str">
        <v>CO</v>
      </c>
      <c r="C7" s="12">
        <v>0</v>
      </c>
      <c r="D7" s="12">
        <v>0</v>
      </c>
      <c r="E7" s="19">
        <f t="shared" si="0"/>
        <v>0</v>
      </c>
      <c r="F7" s="20" t="str">
        <f t="shared" si="3"/>
        <v/>
      </c>
      <c r="G7" s="21">
        <v>0</v>
      </c>
      <c r="H7" s="21">
        <f t="shared" si="1"/>
        <v>0</v>
      </c>
      <c r="I7" s="20" t="str">
        <f t="shared" si="2"/>
        <v/>
      </c>
      <c r="J7" s="51" t="s">
        <v>28</v>
      </c>
      <c r="K7" s="51" t="s">
        <v>29</v>
      </c>
    </row>
    <row r="8" spans="1:11" ht="15.6">
      <c r="A8" s="29" t="str">
        <v>Pratt Solar Farm</v>
      </c>
      <c r="B8" s="30" t="str">
        <v>KS</v>
      </c>
      <c r="C8" s="48">
        <v>991740</v>
      </c>
      <c r="D8" s="14">
        <v>1189520.676</v>
      </c>
      <c r="E8" s="14">
        <f t="shared" si="0"/>
        <v>-197780.67599999998</v>
      </c>
      <c r="F8" s="15">
        <f t="shared" si="3"/>
        <v>-0.16626922086388349</v>
      </c>
      <c r="G8" s="16">
        <v>1041512.18</v>
      </c>
      <c r="H8" s="16">
        <f t="shared" si="1"/>
        <v>-49772.180000000051</v>
      </c>
      <c r="I8" s="17">
        <f t="shared" si="2"/>
        <v>-4.7788380160854238E-2</v>
      </c>
      <c r="J8" s="42" t="s">
        <v>39</v>
      </c>
      <c r="K8" s="42" t="s">
        <v>35</v>
      </c>
    </row>
    <row r="9" spans="1:11" ht="15.6">
      <c r="A9" s="31" t="str">
        <v>Rochester - 5516 Valleyhigh NW</v>
      </c>
      <c r="B9" s="32" t="str">
        <v>MN</v>
      </c>
      <c r="C9" s="12"/>
      <c r="D9" s="12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51"/>
      <c r="K9" s="51"/>
    </row>
    <row r="10" spans="1:11" ht="12.75" customHeight="1">
      <c r="A10" s="29" t="str">
        <v>Warsaw - 2201 Richmond</v>
      </c>
      <c r="B10" s="30" t="str">
        <v>VA</v>
      </c>
      <c r="C10" s="48"/>
      <c r="D10" s="14"/>
      <c r="E10" s="14"/>
      <c r="F10" s="15"/>
      <c r="G10" s="16"/>
      <c r="H10" s="16"/>
      <c r="I10" s="17"/>
      <c r="J10" s="42"/>
      <c r="K10" s="4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C334" s="22"/>
      <c r="D334" s="22"/>
      <c r="E334" s="22"/>
      <c r="F334" s="23"/>
      <c r="G334" s="22"/>
      <c r="H334" s="22"/>
      <c r="I334" s="23"/>
      <c r="J334" s="22"/>
      <c r="K334" s="22"/>
    </row>
  </sheetData>
  <mergeCells count="4">
    <mergeCell ref="G1:I1"/>
    <mergeCell ref="A1:C1"/>
    <mergeCell ref="D1:F1"/>
    <mergeCell ref="A2:B2"/>
  </mergeCells>
  <conditionalFormatting sqref="F2 I2 F4:F92 I4:I92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xSplit="2" ySplit="3" topLeftCell="C4" activePane="bottomRight" state="frozen"/>
      <selection pane="bottomRight" activeCell="J8" sqref="J8:K8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Ecofin</v>
      </c>
      <c r="B1" s="58"/>
      <c r="C1" s="58"/>
      <c r="D1" s="59" t="s">
        <v>40</v>
      </c>
      <c r="E1" s="59"/>
      <c r="F1" s="59"/>
      <c r="G1" s="57" t="s">
        <v>41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SUM(C4:C91)</f>
        <v>1126136.8370000001</v>
      </c>
      <c r="D2" s="6">
        <f>SUM(D4:D91)</f>
        <v>1267971.9094907232</v>
      </c>
      <c r="E2" s="6">
        <f>C2-D2</f>
        <v>-141835.07249072311</v>
      </c>
      <c r="F2" s="7">
        <f>IFERROR(E2/D2, 0)</f>
        <v>-0.11185979076436378</v>
      </c>
      <c r="G2" s="6">
        <f>SUM(G4:G91)</f>
        <v>1237372.96</v>
      </c>
      <c r="H2" s="8">
        <f>C2-G2</f>
        <v>-111236.12299999991</v>
      </c>
      <c r="I2" s="7">
        <f>IFERROR(H2/G2, 0)</f>
        <v>-8.9897004861008045E-2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>
        <v>129640</v>
      </c>
      <c r="D4" s="14">
        <v>120725.5537635037</v>
      </c>
      <c r="E4" s="14">
        <f>IF(AND(ISNUMBER(C4),ISNUMBER(D4)), C4-D4, "")</f>
        <v>8914.4462364962965</v>
      </c>
      <c r="F4" s="15">
        <f>IFERROR(E4/D4, "")</f>
        <v>7.3840590981751247E-2</v>
      </c>
      <c r="G4" s="16">
        <v>129601.73000000011</v>
      </c>
      <c r="H4" s="16">
        <f>IF(AND(ISNUMBER(C4),ISNUMBER(G4)), C4-G4, "")</f>
        <v>38.269999999887659</v>
      </c>
      <c r="I4" s="17">
        <f>IFERROR(H4/G4, "")</f>
        <v>2.9528926812850124E-4</v>
      </c>
      <c r="J4" s="42"/>
      <c r="K4" s="42"/>
    </row>
    <row r="5" spans="1:11" ht="15.6">
      <c r="A5" s="31" t="str">
        <v>San Luis Valley</v>
      </c>
      <c r="B5" s="32" t="str">
        <v>CO</v>
      </c>
      <c r="C5" s="12">
        <v>100708.837</v>
      </c>
      <c r="D5" s="19">
        <v>0</v>
      </c>
      <c r="E5" s="19">
        <f t="shared" ref="E5:E8" si="0">IF(AND(ISNUMBER(C5),ISNUMBER(D5)), C5-D5, "")</f>
        <v>100708.837</v>
      </c>
      <c r="F5" s="20" t="str">
        <f>IFERROR(E5/D5, "")</f>
        <v/>
      </c>
      <c r="G5" s="21">
        <v>0</v>
      </c>
      <c r="H5" s="21">
        <f t="shared" ref="H5:H8" si="1">IF(AND(ISNUMBER(C5),ISNUMBER(G5)), C5-G5, "")</f>
        <v>100708.837</v>
      </c>
      <c r="I5" s="20" t="str">
        <f t="shared" ref="I5:I8" si="2">IFERROR(H5/G5, "")</f>
        <v/>
      </c>
      <c r="J5" s="43"/>
      <c r="K5" s="43"/>
    </row>
    <row r="6" spans="1:11" ht="15.6">
      <c r="A6" s="29" t="str">
        <v>Golden NREL 2</v>
      </c>
      <c r="B6" s="30" t="str">
        <v>CO</v>
      </c>
      <c r="C6" s="25">
        <v>12207.999999999998</v>
      </c>
      <c r="D6" s="14">
        <v>10993.185727219516</v>
      </c>
      <c r="E6" s="14">
        <f t="shared" si="0"/>
        <v>1214.8142727804825</v>
      </c>
      <c r="F6" s="15">
        <f t="shared" ref="F6:F8" si="3">IFERROR(E6/D6, "")</f>
        <v>0.1105061174189534</v>
      </c>
      <c r="G6" s="16">
        <v>12899.280000000006</v>
      </c>
      <c r="H6" s="16">
        <f t="shared" si="1"/>
        <v>-691.28000000000793</v>
      </c>
      <c r="I6" s="17">
        <f t="shared" si="2"/>
        <v>-5.3590588001811545E-2</v>
      </c>
      <c r="J6" s="42"/>
      <c r="K6" s="42"/>
    </row>
    <row r="7" spans="1:11" ht="15.6">
      <c r="A7" s="31" t="str">
        <v>Golden NREL Wind 3</v>
      </c>
      <c r="B7" s="32" t="str">
        <v>CO</v>
      </c>
      <c r="C7" s="12">
        <v>0</v>
      </c>
      <c r="D7" s="19">
        <v>0</v>
      </c>
      <c r="E7" s="19"/>
      <c r="F7" s="20">
        <v>0</v>
      </c>
      <c r="G7" s="21">
        <v>0</v>
      </c>
      <c r="H7" s="21">
        <f t="shared" si="1"/>
        <v>0</v>
      </c>
      <c r="I7" s="20" t="str">
        <f t="shared" si="2"/>
        <v/>
      </c>
      <c r="J7" s="51" t="s">
        <v>28</v>
      </c>
      <c r="K7" s="51" t="s">
        <v>29</v>
      </c>
    </row>
    <row r="8" spans="1:11" ht="28.9">
      <c r="A8" s="29" t="str">
        <v>Pratt Solar Farm</v>
      </c>
      <c r="B8" s="30" t="str">
        <v>KS</v>
      </c>
      <c r="C8" s="25">
        <v>883580</v>
      </c>
      <c r="D8" s="14">
        <v>1136253.17</v>
      </c>
      <c r="E8" s="14">
        <f t="shared" si="0"/>
        <v>-252673.16999999993</v>
      </c>
      <c r="F8" s="15">
        <f t="shared" si="3"/>
        <v>-0.22237400666613757</v>
      </c>
      <c r="G8" s="16">
        <v>1094871.95</v>
      </c>
      <c r="H8" s="16">
        <f t="shared" si="1"/>
        <v>-211291.94999999995</v>
      </c>
      <c r="I8" s="17">
        <f t="shared" si="2"/>
        <v>-0.19298325251642437</v>
      </c>
      <c r="J8" s="42" t="s">
        <v>42</v>
      </c>
      <c r="K8" s="42" t="s">
        <v>43</v>
      </c>
    </row>
    <row r="9" spans="1:11" ht="12.75" customHeight="1">
      <c r="A9" s="31" t="str">
        <v>Rochester - 5516 Valleyhigh NW</v>
      </c>
      <c r="B9" s="32" t="str">
        <v>MN</v>
      </c>
      <c r="C9" s="12"/>
      <c r="D9" s="19"/>
      <c r="E9" s="19"/>
      <c r="F9" s="20"/>
      <c r="G9" s="21"/>
      <c r="H9" s="21"/>
      <c r="I9" s="20"/>
      <c r="J9" s="51"/>
      <c r="K9" s="51"/>
    </row>
    <row r="10" spans="1:11" ht="15.6">
      <c r="A10" s="29" t="str">
        <v>Warsaw - 2201 Richmond</v>
      </c>
      <c r="B10" s="30" t="str">
        <v>VA</v>
      </c>
      <c r="C10" s="25"/>
      <c r="D10" s="14"/>
      <c r="E10" s="14"/>
      <c r="F10" s="15"/>
      <c r="G10" s="16"/>
      <c r="H10" s="16"/>
      <c r="I10" s="17"/>
      <c r="J10" s="42"/>
      <c r="K10" s="42"/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C333" s="22"/>
      <c r="D333" s="22"/>
      <c r="E333" s="22"/>
      <c r="F333" s="23"/>
      <c r="G333" s="22"/>
      <c r="H333" s="22"/>
      <c r="I333" s="23"/>
      <c r="J333" s="22"/>
      <c r="K333" s="22"/>
    </row>
  </sheetData>
  <mergeCells count="4">
    <mergeCell ref="G1:I1"/>
    <mergeCell ref="A1:C1"/>
    <mergeCell ref="D1:F1"/>
    <mergeCell ref="A2:B2"/>
  </mergeCells>
  <conditionalFormatting sqref="F2 I2 F4:F91 I4:I91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workbookViewId="0">
      <pane xSplit="2" ySplit="3" topLeftCell="C4" activePane="bottomRight" state="frozen"/>
      <selection pane="bottomRight" activeCell="J9" sqref="J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Ecofin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3618468.59</v>
      </c>
      <c r="D2" s="6">
        <f>SUM(D4:D90)</f>
        <v>4947868.0123670874</v>
      </c>
      <c r="E2" s="6">
        <f>C2-D2</f>
        <v>-1329399.4223670876</v>
      </c>
      <c r="F2" s="7">
        <f>IFERROR(E2/D2, 0)</f>
        <v>-0.26868126212022692</v>
      </c>
      <c r="G2" s="6">
        <f>SUM(G4:G90)</f>
        <v>4965072.7</v>
      </c>
      <c r="H2" s="8">
        <f>C2-G2</f>
        <v>-1346604.1100000003</v>
      </c>
      <c r="I2" s="7">
        <f>IFERROR(H2/G2, 0)</f>
        <v>-0.27121538623190761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1" ht="45.75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>
        <v>41883.999999999993</v>
      </c>
      <c r="D4" s="14">
        <v>123308.20661034693</v>
      </c>
      <c r="E4" s="14">
        <f>IF(AND(ISNUMBER(C4),ISNUMBER(D4)), C4-D4, "")</f>
        <v>-81424.206610346941</v>
      </c>
      <c r="F4" s="15">
        <f>IFERROR(E4/D4, "")</f>
        <v>-0.66033079913040071</v>
      </c>
      <c r="G4" s="16">
        <v>144032.62000000034</v>
      </c>
      <c r="H4" s="16">
        <f>IF(AND(ISNUMBER(C4),ISNUMBER(G4)), C4-G4, "")</f>
        <v>-102148.62000000034</v>
      </c>
      <c r="I4" s="17">
        <f>IFERROR(H4/G4, "")</f>
        <v>-0.70920476208792216</v>
      </c>
      <c r="J4" s="42" t="s">
        <v>46</v>
      </c>
      <c r="K4" s="42" t="s">
        <v>47</v>
      </c>
    </row>
    <row r="5" spans="1:11" ht="15.75">
      <c r="A5" s="31" t="str">
        <v>San Luis Valley</v>
      </c>
      <c r="B5" s="32" t="str">
        <v>CO</v>
      </c>
      <c r="C5" s="12">
        <v>122065.89</v>
      </c>
      <c r="D5" s="19">
        <v>0</v>
      </c>
      <c r="E5" s="19">
        <f t="shared" ref="E5:E10" si="0">IF(AND(ISNUMBER(C5),ISNUMBER(D5)), C5-D5, "")</f>
        <v>122065.89</v>
      </c>
      <c r="F5" s="20" t="str">
        <f t="shared" ref="F5:F10" si="1">IFERROR(E5/D5, "")</f>
        <v/>
      </c>
      <c r="G5" s="21">
        <v>0</v>
      </c>
      <c r="H5" s="21">
        <f t="shared" ref="H5:H10" si="2">IF(AND(ISNUMBER(C5),ISNUMBER(G5)), C5-G5, "")</f>
        <v>122065.89</v>
      </c>
      <c r="I5" s="20" t="str">
        <f t="shared" ref="I5:I10" si="3">IFERROR(H5/G5, "")</f>
        <v/>
      </c>
      <c r="J5" s="43" t="s">
        <v>48</v>
      </c>
      <c r="K5" s="43" t="s">
        <v>49</v>
      </c>
    </row>
    <row r="6" spans="1:11" ht="15.6">
      <c r="A6" s="29" t="str">
        <v>Golden NREL 2</v>
      </c>
      <c r="B6" s="30" t="str">
        <v>CO</v>
      </c>
      <c r="C6" s="25">
        <v>14328</v>
      </c>
      <c r="D6" s="14">
        <v>12274.717756740267</v>
      </c>
      <c r="E6" s="14">
        <f t="shared" si="0"/>
        <v>2053.2822432597331</v>
      </c>
      <c r="F6" s="15">
        <f t="shared" si="1"/>
        <v>0.16727734877099223</v>
      </c>
      <c r="G6" s="16">
        <v>13666.439999999982</v>
      </c>
      <c r="H6" s="16">
        <f t="shared" si="2"/>
        <v>661.56000000001768</v>
      </c>
      <c r="I6" s="17">
        <f t="shared" si="3"/>
        <v>4.8407632126582965E-2</v>
      </c>
      <c r="J6" s="42"/>
      <c r="K6" s="42"/>
    </row>
    <row r="7" spans="1:11" ht="15.75">
      <c r="A7" s="31" t="str">
        <v>Golden NREL Wind 3</v>
      </c>
      <c r="B7" s="32" t="str">
        <v>CO</v>
      </c>
      <c r="C7" s="12">
        <v>0</v>
      </c>
      <c r="D7" s="19">
        <v>0</v>
      </c>
      <c r="E7" s="19">
        <f t="shared" si="0"/>
        <v>0</v>
      </c>
      <c r="F7" s="20" t="str">
        <f t="shared" si="1"/>
        <v/>
      </c>
      <c r="G7" s="21">
        <v>0</v>
      </c>
      <c r="H7" s="21">
        <f t="shared" si="2"/>
        <v>0</v>
      </c>
      <c r="I7" s="20" t="str">
        <f t="shared" si="3"/>
        <v/>
      </c>
      <c r="J7" s="51" t="s">
        <v>28</v>
      </c>
      <c r="K7" s="51" t="s">
        <v>29</v>
      </c>
    </row>
    <row r="8" spans="1:11" ht="30.75">
      <c r="A8" s="29" t="str">
        <v>Pratt Solar Farm</v>
      </c>
      <c r="B8" s="30" t="str">
        <v>KS</v>
      </c>
      <c r="C8" s="25">
        <v>895550</v>
      </c>
      <c r="D8" s="14">
        <v>1150841.56</v>
      </c>
      <c r="E8" s="14">
        <f t="shared" si="0"/>
        <v>-255291.56000000006</v>
      </c>
      <c r="F8" s="15">
        <f t="shared" si="1"/>
        <v>-0.22183032736495895</v>
      </c>
      <c r="G8" s="16">
        <v>1173647.55</v>
      </c>
      <c r="H8" s="16">
        <f t="shared" si="2"/>
        <v>-278097.55000000005</v>
      </c>
      <c r="I8" s="17">
        <f t="shared" si="3"/>
        <v>-0.236951502177975</v>
      </c>
      <c r="J8" s="42" t="s">
        <v>50</v>
      </c>
      <c r="K8" s="42" t="s">
        <v>51</v>
      </c>
    </row>
    <row r="9" spans="1:11" ht="167.25">
      <c r="A9" s="31" t="str">
        <v>Rochester - 5516 Valleyhigh NW</v>
      </c>
      <c r="B9" s="32" t="str">
        <v>MN</v>
      </c>
      <c r="C9" s="12">
        <v>1472046</v>
      </c>
      <c r="D9" s="19">
        <v>2533439.71</v>
      </c>
      <c r="E9" s="19">
        <f t="shared" si="0"/>
        <v>-1061393.71</v>
      </c>
      <c r="F9" s="20">
        <f t="shared" si="1"/>
        <v>-0.41895360912298957</v>
      </c>
      <c r="G9" s="21">
        <v>2459554.67</v>
      </c>
      <c r="H9" s="21">
        <f t="shared" si="2"/>
        <v>-987508.66999999993</v>
      </c>
      <c r="I9" s="20">
        <f t="shared" si="3"/>
        <v>-0.40149897135646917</v>
      </c>
      <c r="J9" s="43" t="s">
        <v>52</v>
      </c>
      <c r="K9" s="52" t="s">
        <v>53</v>
      </c>
    </row>
    <row r="10" spans="1:11" ht="15.75">
      <c r="A10" s="29" t="str">
        <v>Warsaw - 2201 Richmond</v>
      </c>
      <c r="B10" s="30" t="str">
        <v>VA</v>
      </c>
      <c r="C10" s="25">
        <v>1072594.7</v>
      </c>
      <c r="D10" s="14">
        <v>1128003.818</v>
      </c>
      <c r="E10" s="14">
        <f t="shared" si="0"/>
        <v>-55409.118000000017</v>
      </c>
      <c r="F10" s="15">
        <f t="shared" si="1"/>
        <v>-4.9121392246918812E-2</v>
      </c>
      <c r="G10" s="16">
        <v>1174171.42</v>
      </c>
      <c r="H10" s="16">
        <f t="shared" si="2"/>
        <v>-101576.71999999997</v>
      </c>
      <c r="I10" s="17">
        <f t="shared" si="3"/>
        <v>-8.6509276473447111E-2</v>
      </c>
      <c r="J10" s="42" t="s">
        <v>54</v>
      </c>
      <c r="K10" s="42" t="s">
        <v>55</v>
      </c>
    </row>
    <row r="11" spans="1:11" ht="14.45">
      <c r="A11" s="22"/>
      <c r="B11" s="34"/>
      <c r="C11" s="22"/>
      <c r="D11" s="22"/>
      <c r="E11" s="22"/>
      <c r="F11" s="22"/>
      <c r="G11" s="22"/>
      <c r="H11" s="22"/>
      <c r="I11" s="22"/>
      <c r="J11" s="22"/>
      <c r="K11" s="22"/>
    </row>
    <row r="12" spans="1:11" ht="14.45">
      <c r="A12" s="22"/>
      <c r="B12" s="34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14.45">
      <c r="A13" s="22"/>
      <c r="B13" s="34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14.45">
      <c r="A14" s="22"/>
      <c r="B14" s="34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4.45">
      <c r="A15" s="22"/>
      <c r="B15" s="34"/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14.45">
      <c r="A16" s="22"/>
      <c r="B16" s="34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/>
      <c r="B17" s="34"/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3"/>
      <c r="G23" s="22"/>
      <c r="H23" s="22"/>
      <c r="I23" s="23"/>
      <c r="J23" s="22"/>
      <c r="K23" s="22"/>
    </row>
    <row r="24" spans="1:11" ht="14.45">
      <c r="A24" s="22"/>
      <c r="B24" s="34"/>
      <c r="C24" s="22"/>
      <c r="D24" s="22"/>
      <c r="E24" s="22"/>
      <c r="F24" s="23"/>
      <c r="G24" s="22"/>
      <c r="H24" s="22"/>
      <c r="I24" s="23"/>
      <c r="J24" s="22"/>
      <c r="K24" s="22"/>
    </row>
    <row r="25" spans="1:11" ht="14.45">
      <c r="A25" s="22"/>
      <c r="B25" s="34"/>
      <c r="C25" s="22"/>
      <c r="D25" s="22"/>
      <c r="E25" s="22"/>
      <c r="F25" s="23"/>
      <c r="G25" s="22"/>
      <c r="H25" s="22"/>
      <c r="I25" s="23"/>
      <c r="J25" s="22"/>
      <c r="K25" s="22"/>
    </row>
    <row r="26" spans="1:11" ht="14.45">
      <c r="A26" s="22"/>
      <c r="B26" s="34"/>
      <c r="C26" s="22"/>
      <c r="D26" s="22"/>
      <c r="E26" s="22"/>
      <c r="F26" s="23"/>
      <c r="G26" s="22"/>
      <c r="H26" s="22"/>
      <c r="I26" s="23"/>
      <c r="J26" s="22"/>
      <c r="K26" s="22"/>
    </row>
    <row r="27" spans="1:11" ht="14.45">
      <c r="A27" s="22"/>
      <c r="B27" s="34"/>
      <c r="C27" s="22"/>
      <c r="D27" s="22"/>
      <c r="E27" s="22"/>
      <c r="F27" s="23"/>
      <c r="G27" s="22"/>
      <c r="H27" s="22"/>
      <c r="I27" s="23"/>
      <c r="J27" s="22"/>
      <c r="K27" s="22"/>
    </row>
    <row r="28" spans="1:11" ht="14.45">
      <c r="A28" s="22"/>
      <c r="B28" s="34"/>
      <c r="C28" s="22"/>
      <c r="D28" s="22"/>
      <c r="E28" s="22"/>
      <c r="F28" s="23"/>
      <c r="G28" s="22"/>
      <c r="H28" s="22"/>
      <c r="I28" s="23"/>
      <c r="J28" s="22"/>
      <c r="K28" s="22"/>
    </row>
    <row r="29" spans="1:11" ht="14.45">
      <c r="A29" s="22"/>
      <c r="B29" s="34"/>
      <c r="C29" s="22"/>
      <c r="D29" s="22"/>
      <c r="E29" s="22"/>
      <c r="F29" s="23"/>
      <c r="G29" s="22"/>
      <c r="H29" s="22"/>
      <c r="I29" s="23"/>
      <c r="J29" s="22"/>
      <c r="K29" s="22"/>
    </row>
    <row r="30" spans="1:11" ht="14.45">
      <c r="A30" s="22"/>
      <c r="B30" s="34"/>
      <c r="C30" s="22"/>
      <c r="D30" s="22"/>
      <c r="E30" s="22"/>
      <c r="F30" s="23"/>
      <c r="G30" s="22"/>
      <c r="H30" s="22"/>
      <c r="I30" s="23"/>
      <c r="J30" s="22"/>
      <c r="K30" s="22"/>
    </row>
    <row r="31" spans="1:11" ht="14.45">
      <c r="A31" s="22"/>
      <c r="B31" s="34"/>
      <c r="C31" s="22"/>
      <c r="D31" s="22"/>
      <c r="E31" s="22"/>
      <c r="F31" s="23"/>
      <c r="G31" s="22"/>
      <c r="H31" s="22"/>
      <c r="I31" s="23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C332" s="22"/>
      <c r="D332" s="22"/>
      <c r="E332" s="22"/>
      <c r="F332" s="23"/>
      <c r="G332" s="22"/>
      <c r="H332" s="22"/>
      <c r="I332" s="23"/>
      <c r="J332" s="22"/>
      <c r="K332" s="22"/>
    </row>
  </sheetData>
  <mergeCells count="4">
    <mergeCell ref="G1:I1"/>
    <mergeCell ref="A1:C1"/>
    <mergeCell ref="D1:F1"/>
    <mergeCell ref="A2:B2"/>
  </mergeCells>
  <conditionalFormatting sqref="F2 I2 F4:F90 I4:I90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8" t="str" cm="1">
        <f t="array" ref="A1">portfolio</f>
        <v>Ecofin</v>
      </c>
      <c r="B1" s="58"/>
      <c r="C1" s="58"/>
      <c r="D1" s="59" t="s">
        <v>56</v>
      </c>
      <c r="E1" s="59"/>
      <c r="F1" s="59"/>
      <c r="G1" s="57" t="s">
        <v>57</v>
      </c>
      <c r="H1" s="57"/>
      <c r="I1" s="57"/>
      <c r="J1" s="5"/>
      <c r="K1" s="5"/>
    </row>
    <row r="2" spans="1:14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4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4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4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4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4" ht="15.6">
      <c r="A9" s="31" t="str">
        <v>Rochester - 5516 Valleyhigh NW</v>
      </c>
      <c r="B9" s="32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  <c r="L9" s="22"/>
      <c r="M9" s="22"/>
      <c r="N9" s="22"/>
    </row>
    <row r="10" spans="1:14" ht="15.6">
      <c r="A10" s="29" t="str">
        <v>Warsaw - 2201 Richmond</v>
      </c>
      <c r="B10" s="30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  <c r="L10" s="22"/>
      <c r="M10" s="22"/>
      <c r="N10" s="22"/>
    </row>
    <row r="11" spans="1:14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  <c r="N11" s="22"/>
    </row>
    <row r="12" spans="1:14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  <c r="N12" s="22"/>
    </row>
    <row r="13" spans="1:14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  <c r="N13" s="22"/>
    </row>
    <row r="14" spans="1:14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</row>
    <row r="15" spans="1:14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</row>
    <row r="16" spans="1:14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</row>
    <row r="17" spans="1:14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</row>
    <row r="18" spans="1:14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4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4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18:F100 I18:I100 F4:F10 I4:I1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342"/>
  <sheetViews>
    <sheetView workbookViewId="0">
      <pane xSplit="2" ySplit="3" topLeftCell="C4" activePane="bottomRight" state="frozen"/>
      <selection pane="bottomRight" activeCell="A22" sqref="A22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8" t="str" cm="1">
        <f t="array" ref="A1">portfolio</f>
        <v>Ecofin</v>
      </c>
      <c r="B1" s="58"/>
      <c r="C1" s="58"/>
      <c r="D1" s="59" t="s">
        <v>58</v>
      </c>
      <c r="E1" s="59"/>
      <c r="F1" s="59"/>
      <c r="G1" s="57" t="s">
        <v>59</v>
      </c>
      <c r="H1" s="57"/>
      <c r="I1" s="57"/>
      <c r="J1" s="5"/>
      <c r="K1" s="5"/>
    </row>
    <row r="2" spans="1:15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5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5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5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5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5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5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5" ht="15.6">
      <c r="A9" s="31" t="str">
        <v>Rochester - 5516 Valleyhigh NW</v>
      </c>
      <c r="B9" s="32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  <c r="L9" s="22"/>
      <c r="M9" s="22"/>
      <c r="N9" s="22"/>
      <c r="O9" s="22"/>
    </row>
    <row r="10" spans="1:15" ht="15.6">
      <c r="A10" s="29" t="str">
        <v>Warsaw - 2201 Richmond</v>
      </c>
      <c r="B10" s="30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  <c r="L10" s="22"/>
      <c r="M10" s="22"/>
      <c r="N10" s="22"/>
      <c r="O10" s="22"/>
    </row>
    <row r="11" spans="1:15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  <c r="N11" s="22"/>
      <c r="O11" s="22"/>
    </row>
    <row r="12" spans="1:15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  <c r="N12" s="22"/>
      <c r="O12" s="22"/>
    </row>
    <row r="13" spans="1:15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  <c r="N13" s="22"/>
      <c r="O13" s="22"/>
    </row>
    <row r="14" spans="1:15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  <c r="O14" s="22"/>
    </row>
    <row r="15" spans="1:15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  <c r="O15" s="22"/>
    </row>
    <row r="16" spans="1:15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  <c r="O16" s="22"/>
    </row>
    <row r="17" spans="1:15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  <c r="O17" s="22"/>
    </row>
    <row r="18" spans="1:15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1:1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</row>
    <row r="20" spans="1:15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5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5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5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5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5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5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5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5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5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5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5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5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10 I4:I10 I20:I100 F20:F100 A11:K19">
    <cfRule type="cellIs" dxfId="24" priority="1" stopIfTrue="1" operator="lessThanOrEqual">
      <formula>-0.1</formula>
    </cfRule>
    <cfRule type="expression" dxfId="23" priority="2">
      <formula>AND(ISNUMBER(A4), A4&gt;=0.1)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42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8" t="str" cm="1">
        <f t="array" ref="A1">portfolio</f>
        <v>Ecofin</v>
      </c>
      <c r="B1" s="58"/>
      <c r="C1" s="58"/>
      <c r="D1" s="59" t="s">
        <v>60</v>
      </c>
      <c r="E1" s="59"/>
      <c r="F1" s="59"/>
      <c r="G1" s="57" t="s">
        <v>61</v>
      </c>
      <c r="H1" s="57"/>
      <c r="I1" s="57"/>
      <c r="J1" s="5"/>
      <c r="K1" s="5"/>
    </row>
    <row r="2" spans="1:12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2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2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2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2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2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2" ht="15.6">
      <c r="A9" s="31" t="str">
        <v>Rochester - 5516 Valleyhigh NW</v>
      </c>
      <c r="B9" s="32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  <c r="L9" s="22"/>
    </row>
    <row r="10" spans="1:12" ht="15.6">
      <c r="A10" s="29" t="str">
        <v>Warsaw - 2201 Richmond</v>
      </c>
      <c r="B10" s="30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  <c r="L10" s="22"/>
    </row>
    <row r="11" spans="1:12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</row>
    <row r="12" spans="1:12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</row>
    <row r="13" spans="1:12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</row>
    <row r="14" spans="1:12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</row>
    <row r="15" spans="1:12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</row>
    <row r="16" spans="1:12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</row>
    <row r="17" spans="1:12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</row>
    <row r="18" spans="1:12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1:1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2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2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2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100 I4:I10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M342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58" t="str" cm="1">
        <f t="array" ref="A1">portfolio</f>
        <v>Ecofin</v>
      </c>
      <c r="B1" s="58"/>
      <c r="C1" s="58"/>
      <c r="D1" s="59" t="s">
        <v>62</v>
      </c>
      <c r="E1" s="59"/>
      <c r="F1" s="59"/>
      <c r="G1" s="57" t="s">
        <v>63</v>
      </c>
      <c r="H1" s="57"/>
      <c r="I1" s="57"/>
      <c r="J1" s="5"/>
      <c r="K1" s="5"/>
    </row>
    <row r="2" spans="1:13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3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3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3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3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3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3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3" ht="15.6">
      <c r="A9" s="31" t="str">
        <v>Rochester - 5516 Valleyhigh NW</v>
      </c>
      <c r="B9" s="32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  <c r="L9" s="22"/>
      <c r="M9" s="22"/>
    </row>
    <row r="10" spans="1:13" ht="15.6">
      <c r="A10" s="29" t="str">
        <v>Warsaw - 2201 Richmond</v>
      </c>
      <c r="B10" s="30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  <c r="L10" s="22"/>
      <c r="M10" s="22"/>
    </row>
    <row r="11" spans="1:13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</row>
    <row r="12" spans="1:13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</row>
    <row r="13" spans="1:13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</row>
    <row r="14" spans="1:13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</row>
    <row r="15" spans="1:13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</row>
    <row r="16" spans="1:13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</row>
    <row r="17" spans="1:13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</row>
    <row r="18" spans="1:13" ht="12.75" customHeight="1">
      <c r="A18" s="22"/>
      <c r="B18" s="34"/>
      <c r="C18" s="22"/>
      <c r="D18" s="22"/>
      <c r="E18" s="22"/>
      <c r="F18" s="22"/>
      <c r="G18" s="22"/>
      <c r="H18" s="22"/>
      <c r="I18" s="22"/>
      <c r="J18" s="22"/>
      <c r="K18" s="22"/>
    </row>
    <row r="19" spans="1:13" ht="14.45">
      <c r="A19" s="22"/>
      <c r="B19" s="34"/>
      <c r="C19" s="22"/>
      <c r="D19" s="22"/>
      <c r="E19" s="22"/>
      <c r="F19" s="22"/>
      <c r="G19" s="22"/>
      <c r="H19" s="22"/>
      <c r="I19" s="22"/>
      <c r="J19" s="22"/>
      <c r="K19" s="22"/>
    </row>
    <row r="20" spans="1:13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3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3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3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3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3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3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3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3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3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3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3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3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18:F100 I18:I100 F4:F10 I4:I1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42"/>
  <sheetViews>
    <sheetView workbookViewId="0">
      <pane xSplit="2" ySplit="3" topLeftCell="C4" activePane="bottomRight" state="frozen"/>
      <selection pane="bottomRight" activeCell="J25" sqref="J25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8" t="str" cm="1">
        <f t="array" ref="A1">portfolio</f>
        <v>Ecofin</v>
      </c>
      <c r="B1" s="58"/>
      <c r="C1" s="58"/>
      <c r="D1" s="59" t="s">
        <v>64</v>
      </c>
      <c r="E1" s="59"/>
      <c r="F1" s="59"/>
      <c r="G1" s="57" t="s">
        <v>65</v>
      </c>
      <c r="H1" s="57"/>
      <c r="I1" s="57"/>
      <c r="J1" s="5"/>
      <c r="K1" s="5"/>
    </row>
    <row r="2" spans="1:14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4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4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4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4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4" ht="15.6">
      <c r="A9" s="31" t="str">
        <v>Rochester - 5516 Valleyhigh NW</v>
      </c>
      <c r="B9" s="32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  <c r="L9" s="29"/>
      <c r="M9" s="29"/>
      <c r="N9" s="29"/>
    </row>
    <row r="10" spans="1:14" ht="15.6">
      <c r="A10" s="29" t="str">
        <v>Warsaw - 2201 Richmond</v>
      </c>
      <c r="B10" s="30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  <c r="L10" s="29"/>
      <c r="M10" s="29"/>
      <c r="N10" s="29"/>
    </row>
    <row r="11" spans="1:14" ht="15.6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9"/>
      <c r="L11" s="29"/>
      <c r="M11" s="29"/>
      <c r="N11" s="29"/>
    </row>
    <row r="12" spans="1:14" ht="15.6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9"/>
      <c r="L12" s="29"/>
      <c r="M12" s="29"/>
      <c r="N12" s="29"/>
    </row>
    <row r="13" spans="1:14" ht="15.6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9"/>
      <c r="L13" s="29"/>
      <c r="M13" s="29"/>
      <c r="N13" s="29"/>
    </row>
    <row r="14" spans="1:14" ht="15.6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9"/>
      <c r="L14" s="29"/>
      <c r="M14" s="29"/>
      <c r="N14" s="29"/>
    </row>
    <row r="15" spans="1:14" ht="15.6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9"/>
      <c r="L15" s="29"/>
      <c r="M15" s="29"/>
      <c r="N15" s="29"/>
    </row>
    <row r="16" spans="1:14" ht="15.6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9"/>
      <c r="L16" s="29"/>
      <c r="M16" s="29"/>
      <c r="N16" s="29"/>
    </row>
    <row r="17" spans="1:14" ht="15.6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9"/>
      <c r="L17" s="29"/>
      <c r="M17" s="29"/>
      <c r="N17" s="29"/>
    </row>
    <row r="18" spans="1:14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9"/>
      <c r="L18" s="29"/>
      <c r="M18" s="29"/>
      <c r="N18" s="29"/>
    </row>
    <row r="19" spans="1:14" ht="15.6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9"/>
      <c r="L19" s="29"/>
      <c r="M19" s="29"/>
      <c r="N19" s="29"/>
    </row>
    <row r="20" spans="1:14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10 I4:I10 I20:I100 F20:F100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42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8" t="str" cm="1">
        <f t="array" ref="A1">portfolio</f>
        <v>Ecofin</v>
      </c>
      <c r="B1" s="58"/>
      <c r="C1" s="58"/>
      <c r="D1" s="59" t="s">
        <v>66</v>
      </c>
      <c r="E1" s="59"/>
      <c r="F1" s="59"/>
      <c r="G1" s="57" t="s">
        <v>67</v>
      </c>
      <c r="H1" s="57"/>
      <c r="I1" s="57"/>
      <c r="J1" s="5"/>
      <c r="K1" s="5"/>
    </row>
    <row r="2" spans="1:12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2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2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2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2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2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2" ht="15.6">
      <c r="A9" s="31" t="str">
        <v>Rochester - 5516 Valleyhigh NW</v>
      </c>
      <c r="B9" s="32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  <c r="L9" s="31"/>
    </row>
    <row r="10" spans="1:12" ht="15.6">
      <c r="A10" s="29" t="str">
        <v>Warsaw - 2201 Richmond</v>
      </c>
      <c r="B10" s="30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  <c r="L10" s="31"/>
    </row>
    <row r="11" spans="1:12" ht="15.6">
      <c r="A11" s="31"/>
      <c r="B11" s="31"/>
      <c r="C11" s="31"/>
      <c r="D11" s="31"/>
      <c r="E11" s="31" t="str">
        <f t="shared" si="0"/>
        <v/>
      </c>
      <c r="F11" s="31" t="str">
        <f t="shared" si="3"/>
        <v/>
      </c>
      <c r="G11" s="31"/>
      <c r="H11" s="31" t="str">
        <f t="shared" si="1"/>
        <v/>
      </c>
      <c r="I11" s="31" t="str">
        <f t="shared" si="2"/>
        <v/>
      </c>
      <c r="J11" s="31"/>
      <c r="K11" s="31"/>
      <c r="L11" s="31"/>
    </row>
    <row r="12" spans="1:12" ht="15.6">
      <c r="A12" s="31"/>
      <c r="B12" s="31"/>
      <c r="C12" s="31"/>
      <c r="D12" s="31"/>
      <c r="E12" s="31" t="str">
        <f t="shared" si="0"/>
        <v/>
      </c>
      <c r="F12" s="31" t="str">
        <f t="shared" si="3"/>
        <v/>
      </c>
      <c r="G12" s="31"/>
      <c r="H12" s="31" t="str">
        <f t="shared" si="1"/>
        <v/>
      </c>
      <c r="I12" s="31" t="str">
        <f t="shared" si="2"/>
        <v/>
      </c>
      <c r="J12" s="31"/>
      <c r="K12" s="31"/>
      <c r="L12" s="31"/>
    </row>
    <row r="13" spans="1:12" ht="15.6">
      <c r="A13" s="31"/>
      <c r="B13" s="31"/>
      <c r="C13" s="31"/>
      <c r="D13" s="31"/>
      <c r="E13" s="31" t="str">
        <f t="shared" si="0"/>
        <v/>
      </c>
      <c r="F13" s="31" t="str">
        <f t="shared" si="3"/>
        <v/>
      </c>
      <c r="G13" s="31"/>
      <c r="H13" s="31" t="str">
        <f t="shared" si="1"/>
        <v/>
      </c>
      <c r="I13" s="31" t="str">
        <f t="shared" si="2"/>
        <v/>
      </c>
      <c r="J13" s="31"/>
      <c r="K13" s="31"/>
      <c r="L13" s="31"/>
    </row>
    <row r="14" spans="1:12" ht="15.6">
      <c r="A14" s="31"/>
      <c r="B14" s="31"/>
      <c r="C14" s="31"/>
      <c r="D14" s="31"/>
      <c r="E14" s="31" t="str">
        <f t="shared" si="0"/>
        <v/>
      </c>
      <c r="F14" s="31" t="str">
        <f t="shared" si="3"/>
        <v/>
      </c>
      <c r="G14" s="31"/>
      <c r="H14" s="31" t="str">
        <f t="shared" si="1"/>
        <v/>
      </c>
      <c r="I14" s="31" t="str">
        <f t="shared" si="2"/>
        <v/>
      </c>
      <c r="J14" s="31"/>
      <c r="K14" s="31"/>
      <c r="L14" s="31"/>
    </row>
    <row r="15" spans="1:12" ht="15.6">
      <c r="A15" s="31"/>
      <c r="B15" s="31"/>
      <c r="C15" s="31"/>
      <c r="D15" s="31"/>
      <c r="E15" s="31" t="str">
        <f t="shared" si="0"/>
        <v/>
      </c>
      <c r="F15" s="31" t="str">
        <f t="shared" si="3"/>
        <v/>
      </c>
      <c r="G15" s="31"/>
      <c r="H15" s="31" t="str">
        <f t="shared" si="1"/>
        <v/>
      </c>
      <c r="I15" s="31" t="str">
        <f t="shared" si="2"/>
        <v/>
      </c>
      <c r="J15" s="31"/>
      <c r="K15" s="31"/>
      <c r="L15" s="31"/>
    </row>
    <row r="16" spans="1:12" ht="15.6">
      <c r="A16" s="31"/>
      <c r="B16" s="31"/>
      <c r="C16" s="31"/>
      <c r="D16" s="31"/>
      <c r="E16" s="31" t="str">
        <f t="shared" si="0"/>
        <v/>
      </c>
      <c r="F16" s="31" t="str">
        <f t="shared" si="3"/>
        <v/>
      </c>
      <c r="G16" s="31"/>
      <c r="H16" s="31" t="str">
        <f t="shared" si="1"/>
        <v/>
      </c>
      <c r="I16" s="31" t="str">
        <f t="shared" si="2"/>
        <v/>
      </c>
      <c r="J16" s="31"/>
      <c r="K16" s="31"/>
      <c r="L16" s="31"/>
    </row>
    <row r="17" spans="1:12" ht="15.6">
      <c r="A17" s="31"/>
      <c r="B17" s="31"/>
      <c r="C17" s="31"/>
      <c r="D17" s="31"/>
      <c r="E17" s="31" t="str">
        <f t="shared" si="0"/>
        <v/>
      </c>
      <c r="F17" s="31" t="str">
        <f t="shared" si="3"/>
        <v/>
      </c>
      <c r="G17" s="31"/>
      <c r="H17" s="31" t="str">
        <f t="shared" si="1"/>
        <v/>
      </c>
      <c r="I17" s="31" t="str">
        <f t="shared" si="2"/>
        <v/>
      </c>
      <c r="J17" s="31"/>
      <c r="K17" s="31"/>
      <c r="L17" s="31"/>
    </row>
    <row r="18" spans="1:12" ht="12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 ht="15.6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15.6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ht="15.6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ht="15.6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 ht="15.6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2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2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2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2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2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2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2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2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100 I4:I10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42"/>
  <sheetViews>
    <sheetView workbookViewId="0">
      <pane xSplit="2" ySplit="3" topLeftCell="G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8" t="str" cm="1">
        <f t="array" ref="A1">portfolio</f>
        <v>Ecofin</v>
      </c>
      <c r="B1" s="58"/>
      <c r="C1" s="58"/>
      <c r="D1" s="59" t="s">
        <v>68</v>
      </c>
      <c r="E1" s="59"/>
      <c r="F1" s="59"/>
      <c r="G1" s="57" t="s">
        <v>69</v>
      </c>
      <c r="H1" s="57"/>
      <c r="I1" s="57"/>
      <c r="J1" s="5"/>
      <c r="K1" s="5"/>
    </row>
    <row r="2" spans="1:14" ht="19.5" customHeight="1">
      <c r="A2" s="60" t="s">
        <v>2</v>
      </c>
      <c r="B2" s="6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4" ht="14.25" customHeight="1">
      <c r="A3" s="9" t="s">
        <v>3</v>
      </c>
      <c r="B3" s="9" t="s">
        <v>4</v>
      </c>
      <c r="C3" s="24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6" t="s">
        <v>20</v>
      </c>
      <c r="K3" s="26" t="s">
        <v>21</v>
      </c>
    </row>
    <row r="4" spans="1:14" ht="15.6">
      <c r="A4" s="33" t="str" cm="1">
        <f t="array" ref="A4:A10">Sites[Site]</f>
        <v>Alamosa School District</v>
      </c>
      <c r="B4" s="30" t="str" cm="1">
        <f t="array" ref="B4:B10">Sites[State]</f>
        <v>CO</v>
      </c>
      <c r="C4" s="25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42"/>
      <c r="K4" s="42"/>
    </row>
    <row r="5" spans="1:14" ht="15.6">
      <c r="A5" s="31" t="str">
        <v>San Luis Valley</v>
      </c>
      <c r="B5" s="32" t="str">
        <v>CO</v>
      </c>
      <c r="C5" s="12"/>
      <c r="D5" s="19"/>
      <c r="E5" s="19" t="str">
        <f t="shared" ref="E5:E17" si="0">IF(AND(ISNUMBER(C5),ISNUMBER(D5)), C5-D5, "")</f>
        <v/>
      </c>
      <c r="F5" s="20" t="str">
        <f>IFERROR(E5/D5, "")</f>
        <v/>
      </c>
      <c r="G5" s="21"/>
      <c r="H5" s="21" t="str">
        <f t="shared" ref="H5:H17" si="1">IF(AND(ISNUMBER(C5),ISNUMBER(G5)), C5-G5, "")</f>
        <v/>
      </c>
      <c r="I5" s="20" t="str">
        <f t="shared" ref="I5:I17" si="2">IFERROR(H5/G5, "")</f>
        <v/>
      </c>
      <c r="J5" s="43"/>
      <c r="K5" s="43"/>
    </row>
    <row r="6" spans="1:14" ht="15.6">
      <c r="A6" s="29" t="str">
        <v>Golden NREL 2</v>
      </c>
      <c r="B6" s="30" t="str">
        <v>CO</v>
      </c>
      <c r="C6" s="25"/>
      <c r="D6" s="14"/>
      <c r="E6" s="14" t="str">
        <f t="shared" si="0"/>
        <v/>
      </c>
      <c r="F6" s="15" t="str">
        <f t="shared" ref="F6:F17" si="3">IFERROR(E6/D6, "")</f>
        <v/>
      </c>
      <c r="G6" s="16"/>
      <c r="H6" s="16" t="str">
        <f t="shared" si="1"/>
        <v/>
      </c>
      <c r="I6" s="17" t="str">
        <f t="shared" si="2"/>
        <v/>
      </c>
      <c r="J6" s="42"/>
      <c r="K6" s="42"/>
    </row>
    <row r="7" spans="1:14" ht="15.6">
      <c r="A7" s="31" t="str">
        <v>Golden NREL Wind 3</v>
      </c>
      <c r="B7" s="32" t="str">
        <v>CO</v>
      </c>
      <c r="C7" s="12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43"/>
      <c r="K7" s="44"/>
    </row>
    <row r="8" spans="1:14" ht="15.6">
      <c r="A8" s="29" t="str">
        <v>Pratt Solar Farm</v>
      </c>
      <c r="B8" s="30" t="str">
        <v>KS</v>
      </c>
      <c r="C8" s="25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42"/>
      <c r="K8" s="42"/>
    </row>
    <row r="9" spans="1:14" ht="15.6">
      <c r="A9" s="31" t="str">
        <v>Rochester - 5516 Valleyhigh NW</v>
      </c>
      <c r="B9" s="32" t="str">
        <v>MN</v>
      </c>
      <c r="C9" s="12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43"/>
      <c r="K9" s="44"/>
      <c r="L9" s="22"/>
      <c r="M9" s="22"/>
      <c r="N9" s="22"/>
    </row>
    <row r="10" spans="1:14" ht="15.6">
      <c r="A10" s="29" t="str">
        <v>Warsaw - 2201 Richmond</v>
      </c>
      <c r="B10" s="30" t="str">
        <v>VA</v>
      </c>
      <c r="C10" s="25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42"/>
      <c r="K10" s="42"/>
      <c r="L10" s="22"/>
      <c r="M10" s="22"/>
      <c r="N10" s="22"/>
    </row>
    <row r="11" spans="1:14">
      <c r="A11" s="22"/>
      <c r="B11" s="22"/>
      <c r="C11" s="22"/>
      <c r="D11" s="22"/>
      <c r="E11" s="22" t="str">
        <f t="shared" si="0"/>
        <v/>
      </c>
      <c r="F11" s="22" t="str">
        <f t="shared" si="3"/>
        <v/>
      </c>
      <c r="G11" s="22"/>
      <c r="H11" s="22" t="str">
        <f t="shared" si="1"/>
        <v/>
      </c>
      <c r="I11" s="22" t="str">
        <f t="shared" si="2"/>
        <v/>
      </c>
      <c r="J11" s="22"/>
      <c r="K11" s="22"/>
      <c r="L11" s="22"/>
      <c r="M11" s="22"/>
      <c r="N11" s="22"/>
    </row>
    <row r="12" spans="1:14">
      <c r="A12" s="22"/>
      <c r="B12" s="22"/>
      <c r="C12" s="22"/>
      <c r="D12" s="22"/>
      <c r="E12" s="22" t="str">
        <f t="shared" si="0"/>
        <v/>
      </c>
      <c r="F12" s="22" t="str">
        <f t="shared" si="3"/>
        <v/>
      </c>
      <c r="G12" s="22"/>
      <c r="H12" s="22" t="str">
        <f t="shared" si="1"/>
        <v/>
      </c>
      <c r="I12" s="22" t="str">
        <f t="shared" si="2"/>
        <v/>
      </c>
      <c r="J12" s="22"/>
      <c r="K12" s="22"/>
      <c r="L12" s="22"/>
      <c r="M12" s="22"/>
      <c r="N12" s="22"/>
    </row>
    <row r="13" spans="1:14">
      <c r="A13" s="22"/>
      <c r="B13" s="22"/>
      <c r="C13" s="22"/>
      <c r="D13" s="22"/>
      <c r="E13" s="22" t="str">
        <f t="shared" si="0"/>
        <v/>
      </c>
      <c r="F13" s="22" t="str">
        <f t="shared" si="3"/>
        <v/>
      </c>
      <c r="G13" s="22"/>
      <c r="H13" s="22" t="str">
        <f t="shared" si="1"/>
        <v/>
      </c>
      <c r="I13" s="22" t="str">
        <f t="shared" si="2"/>
        <v/>
      </c>
      <c r="J13" s="22"/>
      <c r="K13" s="22"/>
      <c r="L13" s="22"/>
      <c r="M13" s="22"/>
      <c r="N13" s="22"/>
    </row>
    <row r="14" spans="1:14">
      <c r="A14" s="22"/>
      <c r="B14" s="22"/>
      <c r="C14" s="22"/>
      <c r="D14" s="22"/>
      <c r="E14" s="22" t="str">
        <f t="shared" si="0"/>
        <v/>
      </c>
      <c r="F14" s="22" t="str">
        <f t="shared" si="3"/>
        <v/>
      </c>
      <c r="G14" s="22"/>
      <c r="H14" s="22" t="str">
        <f t="shared" si="1"/>
        <v/>
      </c>
      <c r="I14" s="22" t="str">
        <f t="shared" si="2"/>
        <v/>
      </c>
      <c r="J14" s="22"/>
      <c r="K14" s="22"/>
      <c r="L14" s="22"/>
      <c r="M14" s="22"/>
      <c r="N14" s="22"/>
    </row>
    <row r="15" spans="1:14">
      <c r="A15" s="22"/>
      <c r="B15" s="22"/>
      <c r="C15" s="22"/>
      <c r="D15" s="22"/>
      <c r="E15" s="22" t="str">
        <f t="shared" si="0"/>
        <v/>
      </c>
      <c r="F15" s="22" t="str">
        <f t="shared" si="3"/>
        <v/>
      </c>
      <c r="G15" s="22"/>
      <c r="H15" s="22" t="str">
        <f t="shared" si="1"/>
        <v/>
      </c>
      <c r="I15" s="22" t="str">
        <f t="shared" si="2"/>
        <v/>
      </c>
      <c r="J15" s="22"/>
      <c r="K15" s="22"/>
      <c r="L15" s="22"/>
      <c r="M15" s="22"/>
      <c r="N15" s="22"/>
    </row>
    <row r="16" spans="1:14">
      <c r="A16" s="22"/>
      <c r="B16" s="22"/>
      <c r="C16" s="22"/>
      <c r="D16" s="22"/>
      <c r="E16" s="22" t="str">
        <f t="shared" si="0"/>
        <v/>
      </c>
      <c r="F16" s="22" t="str">
        <f t="shared" si="3"/>
        <v/>
      </c>
      <c r="G16" s="22"/>
      <c r="H16" s="22" t="str">
        <f t="shared" si="1"/>
        <v/>
      </c>
      <c r="I16" s="22" t="str">
        <f t="shared" si="2"/>
        <v/>
      </c>
      <c r="J16" s="22"/>
      <c r="K16" s="22"/>
      <c r="L16" s="22"/>
      <c r="M16" s="22"/>
      <c r="N16" s="22"/>
    </row>
    <row r="17" spans="1:14">
      <c r="A17" s="22"/>
      <c r="B17" s="22"/>
      <c r="C17" s="22"/>
      <c r="D17" s="22"/>
      <c r="E17" s="22" t="str">
        <f t="shared" si="0"/>
        <v/>
      </c>
      <c r="F17" s="22" t="str">
        <f t="shared" si="3"/>
        <v/>
      </c>
      <c r="G17" s="22"/>
      <c r="H17" s="22" t="str">
        <f t="shared" si="1"/>
        <v/>
      </c>
      <c r="I17" s="22" t="str">
        <f t="shared" si="2"/>
        <v/>
      </c>
      <c r="J17" s="22"/>
      <c r="K17" s="22"/>
      <c r="L17" s="22"/>
      <c r="M17" s="22"/>
      <c r="N17" s="22"/>
    </row>
    <row r="18" spans="1:14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1:1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1:14" ht="14.45">
      <c r="A20" s="22"/>
      <c r="B20" s="34"/>
      <c r="C20" s="22"/>
      <c r="D20" s="22"/>
      <c r="E20" s="22"/>
      <c r="F20" s="22"/>
      <c r="G20" s="22"/>
      <c r="H20" s="22"/>
      <c r="I20" s="22"/>
      <c r="J20" s="22"/>
      <c r="K20" s="22"/>
    </row>
    <row r="21" spans="1:14" ht="14.45">
      <c r="A21" s="22"/>
      <c r="B21" s="34"/>
      <c r="C21" s="22"/>
      <c r="D21" s="22"/>
      <c r="E21" s="22"/>
      <c r="F21" s="22"/>
      <c r="G21" s="22"/>
      <c r="H21" s="22"/>
      <c r="I21" s="22"/>
      <c r="J21" s="22"/>
      <c r="K21" s="22"/>
    </row>
    <row r="22" spans="1:14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4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4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4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4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4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4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4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4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4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4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 ht="14.45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20:F100 I20:I100 F4:F10 I4:I10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10"/>
  <sheetViews>
    <sheetView workbookViewId="0">
      <pane ySplit="3" topLeftCell="A4" activePane="bottomLeft" state="frozen"/>
      <selection pane="bottomLeft" activeCell="D17" sqref="D17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70</v>
      </c>
      <c r="B1" s="45" t="s">
        <v>71</v>
      </c>
    </row>
    <row r="3" spans="1:7" ht="13.15">
      <c r="A3" t="s">
        <v>72</v>
      </c>
      <c r="B3" t="s">
        <v>3</v>
      </c>
      <c r="C3" t="s">
        <v>4</v>
      </c>
      <c r="D3" t="s">
        <v>73</v>
      </c>
      <c r="E3" s="2" t="s">
        <v>74</v>
      </c>
    </row>
    <row r="4" spans="1:7" ht="14.45">
      <c r="A4" s="3" t="s">
        <v>75</v>
      </c>
      <c r="B4" t="s">
        <v>76</v>
      </c>
      <c r="C4" s="4" t="s">
        <v>77</v>
      </c>
      <c r="G4" s="3"/>
    </row>
    <row r="5" spans="1:7" ht="14.45">
      <c r="A5" s="3" t="s">
        <v>78</v>
      </c>
      <c r="B5" t="s">
        <v>79</v>
      </c>
      <c r="C5" s="4" t="s">
        <v>77</v>
      </c>
      <c r="G5" s="3"/>
    </row>
    <row r="6" spans="1:7" ht="14.45">
      <c r="A6" s="45" t="s">
        <v>80</v>
      </c>
      <c r="B6" t="s">
        <v>81</v>
      </c>
      <c r="C6" t="s">
        <v>77</v>
      </c>
      <c r="G6" s="3"/>
    </row>
    <row r="7" spans="1:7" ht="12.75" customHeight="1">
      <c r="A7" s="45" t="s">
        <v>82</v>
      </c>
      <c r="B7" t="s">
        <v>83</v>
      </c>
      <c r="C7" t="s">
        <v>77</v>
      </c>
    </row>
    <row r="8" spans="1:7" ht="12.75" customHeight="1">
      <c r="A8" s="4" t="s">
        <v>84</v>
      </c>
      <c r="B8" s="4" t="s">
        <v>85</v>
      </c>
      <c r="C8" s="4" t="s">
        <v>86</v>
      </c>
    </row>
    <row r="9" spans="1:7" ht="12.75" customHeight="1">
      <c r="A9" s="45" t="s">
        <v>87</v>
      </c>
      <c r="B9" t="s">
        <v>88</v>
      </c>
      <c r="C9" t="s">
        <v>89</v>
      </c>
    </row>
    <row r="10" spans="1:7" ht="12.75" customHeight="1">
      <c r="A10" s="4" t="s">
        <v>90</v>
      </c>
      <c r="B10" s="4" t="s">
        <v>91</v>
      </c>
      <c r="C10" s="4" t="s">
        <v>92</v>
      </c>
    </row>
  </sheetData>
  <phoneticPr fontId="38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BE26B669-A686-459C-A5E9-FEC3409C4C81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C0BCDC1E-6052-4E48-9BAF-94A40814E7C2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Sanjaykumar Gunde</cp:lastModifiedBy>
  <cp:revision/>
  <dcterms:created xsi:type="dcterms:W3CDTF">2021-01-01T16:39:53Z</dcterms:created>
  <dcterms:modified xsi:type="dcterms:W3CDTF">2024-07-08T05:05:40Z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