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4" documentId="8_{B4993A29-6FF7-483A-B786-7ACF8FC71CA2}" xr6:coauthVersionLast="47" xr6:coauthVersionMax="47" xr10:uidLastSave="{50744924-2C49-4C0B-9BE2-8EBE5A4506CF}"/>
  <bookViews>
    <workbookView xWindow="-108" yWindow="-108" windowWidth="23256" windowHeight="12456" tabRatio="866" firstSheet="9" activeTab="9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<sst xmlns="http://schemas.openxmlformats.org/spreadsheetml/2006/main" count="248" uniqueCount="62">
  <si>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</si>
  <si>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</si>
  <si>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</si>
  <si>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</si>
  <si>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</si>
  <si>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</si>
  <si>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</si>
  <si>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</si>
  <si>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</si>
  <si>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</si>
  <si>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</si>
  <si>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</si>
  <si>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</si>
  <si>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</si>
  <si>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</si>
  <si>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</si>
  <si>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</si>
  <si>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</si>
  <si>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</si>
  <si>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</si>
  <si>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</si>
  <si>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</si>
  <si>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01/04/2024 at 08:30 &amp; back online on 01/09/2024 at 09:45. 
2. Site tripped offline due to Utility outage on 1/18 at 1:15 AM and back online at 5:00 AM on the same day</t>
  </si>
  <si>
    <t>1. SR079936
2. SR080309</t>
  </si>
  <si>
    <t>February Actual v. Expected</t>
  </si>
  <si>
    <t>February Actual v. Forecasted</t>
  </si>
  <si>
    <t>March Actual v. Expected</t>
  </si>
  <si>
    <t>March Actual v. Forecasted</t>
  </si>
  <si>
    <t xml:space="preserve">1. Site was offline from 03/11 to 03/14  at 10:45. 
2. Site tripped offline at 15:40 on 03/25 &amp; back online on 03/26 at 09:45. </t>
  </si>
  <si>
    <t>1. SR081759
2.SR082726</t>
  </si>
  <si>
    <t>April Actual v. Expected</t>
  </si>
  <si>
    <t>April Actual v. Forecasted</t>
  </si>
  <si>
    <t xml:space="preserve">1. Site is offline on 04/10 due to planned outage &amp; back online on 04/11 at 08:30. 
2. Site is offline on 04/16 from 09:15 to 10:30. 
3. Site tripped offline on 04/22 at 10:30 &amp; back online at 13:40 &amp; again tripped offline at 14:00, back online at 17:15. </t>
  </si>
  <si>
    <t>1. SR083290
2. SR083482
3. SR083686</t>
  </si>
  <si>
    <t>May Actual v. Expected</t>
  </si>
  <si>
    <t>May Actual v. Forecasted</t>
  </si>
  <si>
    <t>1. Site is offline on 05/15 at 20:30 due to relay open and later technician closed the relay at site and back online on 05/16 at 12:15pm</t>
  </si>
  <si>
    <t>1. SR084756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</si>
  <si>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</si>
  <si>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</si>
  <si>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</si>
  <si>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</si>
  <si>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</si>
  <si>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</si>
  <si>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</si>
  <si>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</si>
  <si>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</si>
  <si>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</si>
  <si>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</si>
  <si>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</si>
  <si>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</si>
  <si>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</si>
  <si>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</si>
  <si>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Freepoint</t>
  </si>
  <si>
    <t>Site DAS Name</t>
  </si>
  <si>
    <t>Update</t>
  </si>
  <si>
    <t>DAS</t>
  </si>
  <si>
    <t>Coxsackie</t>
  </si>
  <si>
    <t>NY: Coxsackie - State Route 9 West</t>
  </si>
  <si>
    <t>NY</t>
  </si>
  <si>
    <t>AEF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</si>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</sst>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/>
      <top style="thin">
        <color rgb="FF8EA9DB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23" fillId="47" borderId="13" xfId="0" applyNumberFormat="1" applyFont="1" applyFill="1" applyBorder="1" applyAlignment="1">
      <alignment horizontal="right" vertical="center"/>
    </xf>
    <xf numFmtId="3" fontId="23" fillId="47" borderId="0" xfId="0" applyNumberFormat="1" applyFont="1" applyFill="1" applyAlignment="1">
      <alignment horizontal="right" vertical="center"/>
    </xf>
    <xf numFmtId="9" fontId="36" fillId="38" borderId="12" xfId="2" applyFont="1" applyFill="1" applyBorder="1" applyAlignment="1">
      <alignment horizontal="left" vertical="top" wrapText="1"/>
    </xf>
    <xf numFmtId="0" fontId="36" fillId="38" borderId="12" xfId="0" applyFont="1" applyFill="1" applyBorder="1" applyAlignment="1">
      <alignment horizontal="left" vertical="top" wrapText="1"/>
    </xf>
    <xf numFmtId="0" fontId="35" fillId="48" borderId="14" xfId="0" applyFont="1" applyFill="1" applyBorder="1" applyAlignment="1">
      <alignment horizontal="left" vertical="top" wrapText="1"/>
    </xf>
    <xf numFmtId="0" fontId="35" fillId="38" borderId="15" xfId="0" applyFont="1" applyFill="1" applyBorder="1" applyAlignment="1">
      <alignment horizontal="left" vertical="top" wrapText="1"/>
    </xf>
    <xf numFmtId="0" fontId="34" fillId="40" borderId="0" xfId="0" applyFont="1" applyFill="1" applyAlignment="1">
      <alignment horizontal="left" vertical="center"/>
    </xf>
    <xf numFmtId="0" fontId="34" fillId="40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3240916</v>
      </c>
      <c r="D2" s="5">
        <f>SUM(D4:D79)</f>
        <v>3656581.94</v>
      </c>
      <c r="E2" s="5">
        <f>C2-D2</f>
        <v>-415665.93999999994</v>
      </c>
      <c r="F2" s="6">
        <f>IFERROR(E2/D2, 0)</f>
        <v>-0.1136760906279595</v>
      </c>
      <c r="G2" s="5">
        <f>SUM(G4:G79)</f>
        <v>1820407</v>
      </c>
      <c r="H2" s="7">
        <f>C2-G2</f>
        <v>1420509</v>
      </c>
      <c r="I2" s="6">
        <f>IFERROR(H2/G2, 0)</f>
        <v>0.780324949310786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NY: Coxsackie - State Route 9 West</v>
      </c>
      <c r="B4" s="9" t="str" cm="1">
        <f t="array" ref="B4">Sites[State]</f>
        <v>NY</v>
      </c>
      <c r="C4" s="23">
        <f>SUM('1st Qtr'!C4, '2nd Qtr'!C4, '3rd Qtr'!C4, '4th Qtr'!C4)</f>
        <v>3240916</v>
      </c>
      <c r="D4" s="12">
        <f>SUM('1st Qtr'!D4, '2nd Qtr'!D4, '3rd Qtr'!D4, '4th Qtr'!D4)</f>
        <v>3656581.94</v>
      </c>
      <c r="E4" s="12">
        <f>IF(AND(ISNUMBER(C4),ISNUMBER(D4)), C4-D4, "")</f>
        <v>-415665.93999999994</v>
      </c>
      <c r="F4" s="13">
        <f>IFERROR(E4/D4, "")</f>
        <v>-0.1136760906279595</v>
      </c>
      <c r="G4" s="14">
        <f>SUM('1st Qtr'!G4, '2nd Qtr'!G4, '3rd Qtr'!G4, '4th Qtr'!G4)</f>
        <v>1820407</v>
      </c>
      <c r="H4" s="14">
        <f>SUM('1st Qtr'!H4, '2nd Qtr'!H4, '3rd Qtr'!H4, '4th Qtr'!H4)</f>
        <v>-320360.66000000003</v>
      </c>
      <c r="I4" s="15">
        <f>IFERROR(H4/G4, "")</f>
        <v>-0.17598298622231184</v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1387741</v>
      </c>
      <c r="D2" s="5">
        <f>SUM(D4:D79)</f>
        <v>1609829</v>
      </c>
      <c r="E2" s="5">
        <f>C2-D2</f>
        <v>-222088</v>
      </c>
      <c r="F2" s="6">
        <f>IFERROR(E2/D2, 0)</f>
        <v>-0.1379575097727771</v>
      </c>
      <c r="G2" s="5">
        <f>SUM(G4:G79)</f>
        <v>1820407</v>
      </c>
      <c r="H2" s="7">
        <f>C2-G2</f>
        <v>-432666</v>
      </c>
      <c r="I2" s="6">
        <f>IFERROR(H2/G2, 0)</f>
        <v>-0.23767542093608737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SUM(Jan!C4, Feb!C4, Mar!C4)</f>
        <v>1387741</v>
      </c>
      <c r="D4" s="12">
        <f>SUM(Jan!D4, Feb!D4, Mar!D4)</f>
        <v>1609829</v>
      </c>
      <c r="E4" s="12">
        <f>IF(AND(ISNUMBER(C4),ISNUMBER(D4)), C4-D4, "")</f>
        <v>-222088</v>
      </c>
      <c r="F4" s="13">
        <f>IFERROR(E4/D4, "")</f>
        <v>-0.1379575097727771</v>
      </c>
      <c r="G4" s="14">
        <f>SUM(Jan!G4, Feb!G4, Mar!G4)</f>
        <v>1820407</v>
      </c>
      <c r="H4" s="14">
        <f>SUM(Jan!H4, Feb!H4, Mar!H4)</f>
        <v>-432666</v>
      </c>
      <c r="I4" s="15">
        <f>IFERROR(H4/G4, "")</f>
        <v>-0.23767542093608737</v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1853175</v>
      </c>
      <c r="D2" s="5">
        <f>SUM(D4:D79)</f>
        <v>2046752.94</v>
      </c>
      <c r="E2" s="5">
        <f>C2-D2</f>
        <v>-193577.93999999994</v>
      </c>
      <c r="F2" s="6">
        <f>IFERROR(E2/D2, 0)</f>
        <v>-9.4578068616332334E-2</v>
      </c>
      <c r="G2" s="5">
        <f>SUM(G4:G79)</f>
        <v>0</v>
      </c>
      <c r="H2" s="7">
        <f>C2-G2</f>
        <v>1853175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SUM(Apr!C4, May!C4, Jun!C4)</f>
        <v>1853175</v>
      </c>
      <c r="D4" s="12">
        <f>SUM(Apr!D4, May!D4, Jun!D4)</f>
        <v>2046752.94</v>
      </c>
      <c r="E4" s="12">
        <f>IF(AND(ISNUMBER(C4),ISNUMBER(D4)), C4-D4, "")</f>
        <v>-193577.93999999994</v>
      </c>
      <c r="F4" s="13">
        <f>IFERROR(E4/D4, "")</f>
        <v>-9.4578068616332334E-2</v>
      </c>
      <c r="G4" s="14"/>
      <c r="H4" s="14">
        <f>SUM(Apr!H4, May!H4, Jun!H4)</f>
        <v>112305.33999999997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Freepoint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NY: Coxsackie - State Route 9 West</v>
      </c>
      <c r="B4" s="9" t="str" cm="1">
        <f t="array" ref="B4">Sites[State]</f>
        <v>NY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218416</v>
      </c>
      <c r="D2" s="5">
        <f>SUM(D4:D78)</f>
        <v>252237</v>
      </c>
      <c r="E2" s="5">
        <f>C2-D2</f>
        <v>-33821</v>
      </c>
      <c r="F2" s="6">
        <f>IFERROR(E2/D2, 0)</f>
        <v>-0.13408421444910937</v>
      </c>
      <c r="G2" s="5">
        <f>SUM(G4:G78)</f>
        <v>463971</v>
      </c>
      <c r="H2" s="7">
        <f>C2-G2</f>
        <v>-245555</v>
      </c>
      <c r="I2" s="6">
        <f>IFERROR(H2/G2, 0)</f>
        <v>-0.5292464399714637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0.75">
      <c r="A4" s="57" t="str" cm="1">
        <f t="array" ref="A4">Sites[Site]</f>
        <v>NY: Coxsackie - State Route 9 West</v>
      </c>
      <c r="B4" s="27" t="str" cm="1">
        <f t="array" ref="B4">Sites[State]</f>
        <v>NY</v>
      </c>
      <c r="C4" s="49">
        <v>218416</v>
      </c>
      <c r="D4" s="49">
        <v>252237</v>
      </c>
      <c r="E4" s="12">
        <f>IF(AND(ISNUMBER(C4),ISNUMBER(D4)), C4-D4, "")</f>
        <v>-33821</v>
      </c>
      <c r="F4" s="40">
        <f>IFERROR(E4/D4, "")</f>
        <v>-0.13408421444910937</v>
      </c>
      <c r="G4" s="51">
        <v>463971</v>
      </c>
      <c r="H4" s="14">
        <f>IF(AND(ISNUMBER(C4),ISNUMBER(G4)), C4-G4, "")</f>
        <v>-245555</v>
      </c>
      <c r="I4" s="15">
        <f>IFERROR(H4/G4, "")</f>
        <v>-0.5292464399714637</v>
      </c>
      <c r="J4" s="53" t="s">
        <v>22</v>
      </c>
      <c r="K4" s="53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24</v>
      </c>
      <c r="E1" s="61"/>
      <c r="F1" s="61"/>
      <c r="G1" s="59" t="s">
        <v>25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615270</v>
      </c>
      <c r="D2" s="5">
        <f>SUM(D4:D79)</f>
        <v>719590</v>
      </c>
      <c r="E2" s="5">
        <f>C2-D2</f>
        <v>-104320</v>
      </c>
      <c r="F2" s="6">
        <f>IFERROR(E2/D2, 0)</f>
        <v>-0.14497144207117943</v>
      </c>
      <c r="G2" s="5">
        <f>SUM(G4:G79)</f>
        <v>588255</v>
      </c>
      <c r="H2" s="7">
        <f>C2-G2</f>
        <v>27015</v>
      </c>
      <c r="I2" s="6">
        <f>IFERROR(H2/G2, 0)</f>
        <v>4.5923961547288165E-2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NY: Coxsackie - State Route 9 West</v>
      </c>
      <c r="B4" s="27" t="str" cm="1">
        <f t="array" ref="B4">Sites[State]</f>
        <v>NY</v>
      </c>
      <c r="C4" s="23">
        <v>615270</v>
      </c>
      <c r="D4" s="12">
        <v>719590</v>
      </c>
      <c r="E4" s="12">
        <f>IF(AND(ISNUMBER(C4),ISNUMBER(D4)), C4-D4, "")</f>
        <v>-104320</v>
      </c>
      <c r="F4" s="13">
        <f>IFERROR(E4/D4, "")</f>
        <v>-0.14497144207117943</v>
      </c>
      <c r="G4" s="14">
        <v>588255</v>
      </c>
      <c r="H4" s="14">
        <f>IF(AND(ISNUMBER(C4),ISNUMBER(G4)), C4-G4, "")</f>
        <v>27015</v>
      </c>
      <c r="I4" s="15">
        <f>IFERROR(H4/G4, "")</f>
        <v>4.5923961547288165E-2</v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E18" sqref="E1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26</v>
      </c>
      <c r="E1" s="61"/>
      <c r="F1" s="61"/>
      <c r="G1" s="59" t="s">
        <v>27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554055</v>
      </c>
      <c r="D2" s="5">
        <f>SUM(D4:D79)</f>
        <v>638002</v>
      </c>
      <c r="E2" s="5">
        <f>C2-D2</f>
        <v>-83947</v>
      </c>
      <c r="F2" s="6">
        <f>IFERROR(E2/D2, 0)</f>
        <v>-0.13157795743587011</v>
      </c>
      <c r="G2" s="5">
        <f>SUM(G4:G79)</f>
        <v>768181</v>
      </c>
      <c r="H2" s="7">
        <f>C2-G2</f>
        <v>-214126</v>
      </c>
      <c r="I2" s="6">
        <f>IFERROR(H2/G2, 0)</f>
        <v>-0.27874420221275975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554055</v>
      </c>
      <c r="D4" s="12">
        <v>638002</v>
      </c>
      <c r="E4" s="12">
        <f>IF(AND(ISNUMBER(C4),ISNUMBER(D4)), C4-D4, "")</f>
        <v>-83947</v>
      </c>
      <c r="F4" s="13">
        <f>IFERROR(E4/D4, "")</f>
        <v>-0.13157795743587011</v>
      </c>
      <c r="G4" s="52">
        <v>768181</v>
      </c>
      <c r="H4" s="14">
        <f>IF(AND(ISNUMBER(C4),ISNUMBER(G4)), C4-G4, "")</f>
        <v>-214126</v>
      </c>
      <c r="I4" s="15">
        <f>IFERROR(H4/G4, "")</f>
        <v>-0.27874420221275975</v>
      </c>
      <c r="J4" s="54" t="s">
        <v>28</v>
      </c>
      <c r="K4" s="54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A4" sqref="A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30</v>
      </c>
      <c r="E1" s="61"/>
      <c r="F1" s="61"/>
      <c r="G1" s="59" t="s">
        <v>31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736702</v>
      </c>
      <c r="D2" s="5">
        <f>SUM(D4:D79)</f>
        <v>827800</v>
      </c>
      <c r="E2" s="5">
        <f>C2-D2</f>
        <v>-91098</v>
      </c>
      <c r="F2" s="6">
        <f>IFERROR(E2/D2, 0)</f>
        <v>-0.11004832085044697</v>
      </c>
      <c r="G2" s="5">
        <f>SUM(G4:G79)</f>
        <v>839914</v>
      </c>
      <c r="H2" s="7">
        <f>C2-G2</f>
        <v>-103212</v>
      </c>
      <c r="I2" s="6">
        <f>IFERROR(H2/G2, 0)</f>
        <v>-0.12288400955335903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60.7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736702</v>
      </c>
      <c r="D4" s="12">
        <v>827800</v>
      </c>
      <c r="E4" s="12">
        <f>IF(AND(ISNUMBER(C4),ISNUMBER(D4)), C4-D4, "")</f>
        <v>-91098</v>
      </c>
      <c r="F4" s="13">
        <f>IFERROR(E4/D4, "")</f>
        <v>-0.11004832085044697</v>
      </c>
      <c r="G4" s="14">
        <v>839914</v>
      </c>
      <c r="H4" s="14">
        <f>IF(AND(ISNUMBER(C4),ISNUMBER(G4)), C4-G4, "")</f>
        <v>-103212</v>
      </c>
      <c r="I4" s="15">
        <f>IFERROR(H4/G4, "")</f>
        <v>-0.12288400955335903</v>
      </c>
      <c r="J4" s="55" t="s">
        <v>32</v>
      </c>
      <c r="K4" s="56" t="s">
        <v>33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G9" sqref="G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34</v>
      </c>
      <c r="E1" s="61"/>
      <c r="F1" s="61"/>
      <c r="G1" s="59" t="s">
        <v>35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1116473</v>
      </c>
      <c r="D2" s="5">
        <f>SUM(D4:D79)</f>
        <v>1218952.94</v>
      </c>
      <c r="E2" s="5">
        <f>C2-D2</f>
        <v>-102479.93999999994</v>
      </c>
      <c r="F2" s="6">
        <f>IFERROR(E2/D2, 0)</f>
        <v>-8.4072105359539101E-2</v>
      </c>
      <c r="G2" s="5">
        <f>SUM(G4:G79)</f>
        <v>900955.66</v>
      </c>
      <c r="H2" s="7">
        <f>C2-G2</f>
        <v>215517.33999999997</v>
      </c>
      <c r="I2" s="6">
        <f>IFERROR(H2/G2, 0)</f>
        <v>0.23920970761202606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58" t="str" cm="1">
        <f t="array" ref="A4">Sites[Site]</f>
        <v>NY: Coxsackie - State Route 9 West</v>
      </c>
      <c r="B4" s="27" t="str" cm="1">
        <f t="array" ref="B4">Sites[State]</f>
        <v>NY</v>
      </c>
      <c r="C4" s="23">
        <v>1116473</v>
      </c>
      <c r="D4" s="12">
        <v>1218952.94</v>
      </c>
      <c r="E4" s="12">
        <f>IF(AND(ISNUMBER(C4),ISNUMBER(D4)), C4-D4, "")</f>
        <v>-102479.93999999994</v>
      </c>
      <c r="F4" s="13">
        <f>IFERROR(E4/D4, "")</f>
        <v>-8.4072105359539101E-2</v>
      </c>
      <c r="G4" s="14">
        <v>900955.66</v>
      </c>
      <c r="H4" s="14">
        <f>IF(AND(ISNUMBER(C4),ISNUMBER(G4)), C4-G4, "")</f>
        <v>215517.33999999997</v>
      </c>
      <c r="I4" s="15">
        <f>IFERROR(H4/G4, "")</f>
        <v>0.23920970761202606</v>
      </c>
      <c r="J4" s="36" t="s">
        <v>36</v>
      </c>
      <c r="K4" s="36" t="s">
        <v>37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40</v>
      </c>
      <c r="E1" s="61"/>
      <c r="F1" s="61"/>
      <c r="G1" s="59" t="s">
        <v>41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44</v>
      </c>
      <c r="E1" s="61"/>
      <c r="F1" s="61"/>
      <c r="G1" s="59" t="s">
        <v>45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48</v>
      </c>
      <c r="E1" s="61"/>
      <c r="F1" s="61"/>
      <c r="G1" s="59" t="s">
        <v>49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7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Freepoint</v>
      </c>
      <c r="B1" s="60"/>
      <c r="C1" s="60"/>
      <c r="D1" s="61" t="s">
        <v>50</v>
      </c>
      <c r="E1" s="61"/>
      <c r="F1" s="61"/>
      <c r="G1" s="59" t="s">
        <v>51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NY: Coxsackie - State Route 9 West</v>
      </c>
      <c r="B4" s="27" t="str" cm="1">
        <f t="array" ref="B4">Sites[State]</f>
        <v>NY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D8" sqref="D8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5" t="s">
        <v>57</v>
      </c>
      <c r="B4" t="s">
        <v>58</v>
      </c>
      <c r="C4" s="43" t="s">
        <v>59</v>
      </c>
      <c r="D4" s="42" t="s">
        <v>60</v>
      </c>
      <c r="E4" t="s">
        <v>61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��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F12EFA50-0068-4A8C-85A0-F1B26389EBC3}"/>
</file>

<file path=customXml/itemProps4.xml><?xml version="1.0" encoding="utf-8"?>
<ds:datastoreItem xmlns:ds="http://schemas.openxmlformats.org/officeDocument/2006/customXml" ds:itemID="{1954BBA4-0359-438C-B0EC-A756015F7C02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66B09F59-6532-46F8-924A-9A02417E070D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0389C43E-394D-44C0-87DC-4780FCFCFB40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2BC74AAC-D69B-4AF1-9649-B21EF3C1C463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C0BCDC1E-6052-4E48-9BAF-94A40814E7C2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Kishbaugh, Karen</cp:lastModifiedBy>
  <cp:revision/>
  <dcterms:created xsi:type="dcterms:W3CDTF">2021-01-01T16:39:53Z</dcterms:created>
  <dcterms:modified xsi:type="dcterms:W3CDTF">2024-06-10T13:56:13Z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