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charishmap_amgsol_com/Documents/Microsoft Teams Chat Files/"/>
    </mc:Choice>
  </mc:AlternateContent>
  <xr:revisionPtr revIDLastSave="68" documentId="8_{0DDE72E5-1FC3-4407-98A8-93CE8413517C}" xr6:coauthVersionLast="47" xr6:coauthVersionMax="47" xr10:uidLastSave="{530FF396-199A-4A8A-910C-2124EB3DDDC6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0" l="1"/>
  <c r="I22" i="20"/>
  <c r="E22" i="20"/>
  <c r="F22" i="20" s="1"/>
  <c r="E21" i="20"/>
  <c r="E5" i="20"/>
  <c r="F5" i="20"/>
  <c r="H5" i="20"/>
  <c r="I5" i="20"/>
  <c r="E6" i="20"/>
  <c r="F6" i="20"/>
  <c r="H6" i="20"/>
  <c r="I6" i="20"/>
  <c r="E7" i="20"/>
  <c r="F7" i="20"/>
  <c r="H7" i="20"/>
  <c r="I7" i="20"/>
  <c r="E8" i="20"/>
  <c r="F8" i="20"/>
  <c r="H8" i="20"/>
  <c r="I8" i="20"/>
  <c r="E9" i="20"/>
  <c r="F9" i="20"/>
  <c r="H9" i="20"/>
  <c r="I9" i="20"/>
  <c r="E10" i="20"/>
  <c r="F10" i="20"/>
  <c r="H10" i="20"/>
  <c r="I10" i="20"/>
  <c r="E11" i="20"/>
  <c r="F11" i="20"/>
  <c r="H11" i="20"/>
  <c r="I11" i="20"/>
  <c r="E12" i="20"/>
  <c r="F12" i="20"/>
  <c r="H12" i="20"/>
  <c r="I12" i="20"/>
  <c r="E13" i="20"/>
  <c r="F13" i="20"/>
  <c r="H13" i="20"/>
  <c r="I13" i="20"/>
  <c r="E14" i="20"/>
  <c r="F14" i="20"/>
  <c r="H14" i="20"/>
  <c r="I14" i="20"/>
  <c r="E15" i="20"/>
  <c r="F15" i="20"/>
  <c r="H15" i="20"/>
  <c r="I15" i="20"/>
  <c r="E16" i="20"/>
  <c r="F16" i="20"/>
  <c r="H16" i="20"/>
  <c r="I16" i="20"/>
  <c r="E17" i="20"/>
  <c r="F17" i="20"/>
  <c r="H17" i="20"/>
  <c r="I17" i="20"/>
  <c r="E18" i="20"/>
  <c r="F18" i="20"/>
  <c r="H18" i="20"/>
  <c r="I18" i="20"/>
  <c r="E19" i="20"/>
  <c r="F19" i="20"/>
  <c r="H19" i="20"/>
  <c r="I19" i="20"/>
  <c r="E20" i="20"/>
  <c r="F20" i="20"/>
  <c r="H20" i="20"/>
  <c r="I20" i="20"/>
  <c r="F21" i="20"/>
  <c r="H21" i="20"/>
  <c r="I21" i="20"/>
  <c r="F22" i="2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H22" i="18"/>
  <c r="D22" i="18"/>
  <c r="C22" i="18"/>
  <c r="E22" i="18" s="1"/>
  <c r="F22" i="18" s="1"/>
  <c r="E22" i="21"/>
  <c r="H22" i="21"/>
  <c r="I22" i="21"/>
  <c r="E22" i="4"/>
  <c r="F22" i="4" s="1"/>
  <c r="H22" i="4"/>
  <c r="I22" i="4" s="1"/>
  <c r="I22" i="3"/>
  <c r="H22" i="3"/>
  <c r="H23" i="3"/>
  <c r="F22" i="3"/>
  <c r="E22" i="3"/>
  <c r="H22" i="1"/>
  <c r="G22" i="1"/>
  <c r="G22" i="34" s="1"/>
  <c r="D22" i="1"/>
  <c r="C22" i="1"/>
  <c r="D22" i="34"/>
  <c r="C22" i="34"/>
  <c r="H22" i="72"/>
  <c r="I22" i="72" s="1"/>
  <c r="E22" i="72"/>
  <c r="F22" i="72" s="1"/>
  <c r="E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C17" i="18"/>
  <c r="D17" i="18"/>
  <c r="E17" i="18"/>
  <c r="F17" i="18"/>
  <c r="C18" i="18"/>
  <c r="D18" i="18"/>
  <c r="C19" i="18"/>
  <c r="D19" i="18"/>
  <c r="E19" i="18"/>
  <c r="F19" i="18" s="1"/>
  <c r="C20" i="18"/>
  <c r="D20" i="18"/>
  <c r="C21" i="18"/>
  <c r="D21" i="18"/>
  <c r="C16" i="1"/>
  <c r="D16" i="1"/>
  <c r="E16" i="1"/>
  <c r="F16" i="1" s="1"/>
  <c r="G16" i="1"/>
  <c r="G16" i="34" s="1"/>
  <c r="C17" i="1"/>
  <c r="D17" i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G21" i="34" s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6" i="19"/>
  <c r="F16" i="19"/>
  <c r="H16" i="19"/>
  <c r="I16" i="19"/>
  <c r="E17" i="19"/>
  <c r="F17" i="19"/>
  <c r="H17" i="19"/>
  <c r="I17" i="19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6" i="21"/>
  <c r="F16" i="21" s="1"/>
  <c r="H16" i="21"/>
  <c r="I16" i="21" s="1"/>
  <c r="E17" i="21"/>
  <c r="F17" i="21" s="1"/>
  <c r="H17" i="21"/>
  <c r="H17" i="18" s="1"/>
  <c r="I17" i="18" s="1"/>
  <c r="E18" i="21"/>
  <c r="F18" i="21" s="1"/>
  <c r="H18" i="21"/>
  <c r="I18" i="21" s="1"/>
  <c r="E19" i="21"/>
  <c r="F19" i="21" s="1"/>
  <c r="H19" i="21"/>
  <c r="H19" i="18" s="1"/>
  <c r="I19" i="18" s="1"/>
  <c r="E20" i="21"/>
  <c r="F20" i="21" s="1"/>
  <c r="H20" i="21"/>
  <c r="I20" i="21" s="1"/>
  <c r="E21" i="21"/>
  <c r="F21" i="21" s="1"/>
  <c r="H21" i="21"/>
  <c r="H21" i="18" s="1"/>
  <c r="I21" i="18" s="1"/>
  <c r="E16" i="4"/>
  <c r="F16" i="4"/>
  <c r="H16" i="4"/>
  <c r="I16" i="4"/>
  <c r="E17" i="4"/>
  <c r="F17" i="4" s="1"/>
  <c r="H17" i="4"/>
  <c r="I17" i="4" s="1"/>
  <c r="E18" i="4"/>
  <c r="F18" i="4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16" i="3"/>
  <c r="F16" i="3"/>
  <c r="H16" i="3"/>
  <c r="I16" i="3"/>
  <c r="E17" i="3"/>
  <c r="F17" i="3"/>
  <c r="H17" i="3"/>
  <c r="I17" i="3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6" i="72"/>
  <c r="F16" i="72" s="1"/>
  <c r="H16" i="72"/>
  <c r="E17" i="72"/>
  <c r="F17" i="72" s="1"/>
  <c r="H17" i="72"/>
  <c r="E18" i="72"/>
  <c r="F18" i="72"/>
  <c r="H18" i="72"/>
  <c r="E19" i="72"/>
  <c r="F19" i="72" s="1"/>
  <c r="H19" i="72"/>
  <c r="E20" i="72"/>
  <c r="F20" i="72" s="1"/>
  <c r="H20" i="72"/>
  <c r="F21" i="72"/>
  <c r="H21" i="72"/>
  <c r="I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D2" i="18" l="1"/>
  <c r="E7" i="18"/>
  <c r="F7" i="18" s="1"/>
  <c r="E11" i="18"/>
  <c r="F11" i="18" s="1"/>
  <c r="E15" i="18"/>
  <c r="F15" i="18" s="1"/>
  <c r="E4" i="18"/>
  <c r="F4" i="18" s="1"/>
  <c r="E8" i="18"/>
  <c r="F8" i="18" s="1"/>
  <c r="E12" i="18"/>
  <c r="F12" i="18" s="1"/>
  <c r="E20" i="18"/>
  <c r="F20" i="18" s="1"/>
  <c r="E16" i="18"/>
  <c r="F16" i="18" s="1"/>
  <c r="E5" i="18"/>
  <c r="F5" i="18" s="1"/>
  <c r="E9" i="18"/>
  <c r="F9" i="18" s="1"/>
  <c r="E13" i="18"/>
  <c r="F13" i="18" s="1"/>
  <c r="E21" i="18"/>
  <c r="F21" i="18" s="1"/>
  <c r="E18" i="18"/>
  <c r="F18" i="18" s="1"/>
  <c r="I21" i="21"/>
  <c r="I19" i="21"/>
  <c r="I17" i="21"/>
  <c r="H20" i="18"/>
  <c r="I20" i="18" s="1"/>
  <c r="H18" i="18"/>
  <c r="I18" i="18" s="1"/>
  <c r="H16" i="18"/>
  <c r="I16" i="18" s="1"/>
  <c r="H22" i="34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I17" i="34" s="1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G2" i="3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I20" i="72"/>
  <c r="I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I18" i="72"/>
  <c r="I19" i="72"/>
  <c r="H18" i="1"/>
  <c r="I18" i="1" s="1"/>
  <c r="I17" i="72"/>
  <c r="H16" i="34"/>
  <c r="I16" i="34" s="1"/>
  <c r="H2" i="33"/>
  <c r="I2" i="33" s="1"/>
  <c r="E4" i="30"/>
  <c r="F4" i="30" s="1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<sst xmlns="http://schemas.openxmlformats.org/spreadsheetml/2006/main" count="339" uniqueCount="133">
  <si>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</si>
  <si>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</si>
  <si>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</si>
  <si>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</si>
  <si>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</si>
  <si>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</si>
  <si>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</si>
  <si>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</si>
  <si>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</si>
  <si>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</si>
  <si>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</si>
  <si>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</si>
  <si>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</si>
  <si>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</si>
  <si>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</si>
  <si>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</si>
  <si>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</si>
  <si>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</si>
  <si>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</si>
  <si>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</si>
  <si>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</si>
  <si>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</si>
  <si>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</si>
  <si>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</si>
  <si>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</si>
  <si>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</si>
  <si>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</si>
  <si>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</si>
  <si>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</si>
  <si>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</si>
  <si>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</si>
  <si>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</si>
  <si>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</si>
  <si>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</si>
  <si>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</si>
  <si>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</si>
  <si>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</si>
  <si>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</si>
  <si>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</si>
  <si>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</si>
  <si>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</si>
  <si>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</si>
  <si>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</si>
  <si>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</si>
  <si>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</si>
  <si>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</si>
  <si>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</si>
  <si>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</si>
  <si>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</si>
  <si>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</si>
  <si>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</si>
  <si>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</si>
  <si>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</si>
  <si>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</si>
  <si>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</si>
  <si>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</si>
  <si>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</si>
  <si>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</si>
  <si>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</si>
  <si>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</si>
  <si>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</si>
  <si>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</si>
  <si>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</si>
  <si>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</si>
  <si>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</si>
  <si>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</si>
  <si>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SR084272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</si>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</sst>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  <font>
      <b/>
      <sz val="9"/>
      <color rgb="FF000000"/>
      <name val="Arial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CITI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6">
        <f>SUM(C4:C100)</f>
        <v>3770695.87</v>
      </c>
      <c r="D2" s="6">
        <f>SUM(D4:D100)</f>
        <v>3964169.35</v>
      </c>
      <c r="E2" s="6">
        <f>C2-D2</f>
        <v>-193473.47999999998</v>
      </c>
      <c r="F2" s="7">
        <f>IFERROR(E2/D2, 0)</f>
        <v>-4.8805553677972908E-2</v>
      </c>
      <c r="G2" s="6">
        <f>SUM(G4:G100)</f>
        <v>9247283.4149999991</v>
      </c>
      <c r="H2" s="8">
        <f>C2-G2</f>
        <v>-5476587.544999999</v>
      </c>
      <c r="I2" s="7">
        <f>IFERROR(H2/G2, 0)</f>
        <v>-0.59223744955371838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234284.25</v>
      </c>
      <c r="D4" s="14">
        <f>SUM('1st Qtr'!D4, '2nd Qtr'!D4, '3rd Qtr'!D4, '4th Qtr'!D4)</f>
        <v>253614</v>
      </c>
      <c r="E4" s="14">
        <f>IF(AND(ISNUMBER(C4),ISNUMBER(D4)), C4-D4, "")</f>
        <v>-19329.75</v>
      </c>
      <c r="F4" s="15">
        <f>IFERROR(E4/D4, "")</f>
        <v>-7.6217204097565591E-2</v>
      </c>
      <c r="G4" s="16">
        <f>SUM('1st Qtr'!G4,'2nd Qtr'!G4,'3rd Qtr'!G4,'4th Qtr'!G4)</f>
        <v>249796.64799999999</v>
      </c>
      <c r="H4" s="16">
        <f>SUM('1st Qtr'!H4, '2nd Qtr'!H4, '3rd Qtr'!H4, '4th Qtr'!H4)</f>
        <v>-15512.397999999994</v>
      </c>
      <c r="I4" s="17">
        <f>IFERROR(H4/G4, "")</f>
        <v>-6.2100104721981679E-2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886494.2919999999</v>
      </c>
      <c r="H5" s="22">
        <f>SUM(Jan!H5, Feb!H5, Mar!H5)</f>
        <v>-12055.933000000005</v>
      </c>
      <c r="I5" s="21">
        <f>IFERROR(H5/G5, "")</f>
        <v>-1.3599560774160073E-2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390876.73</v>
      </c>
      <c r="H6" s="16">
        <f>SUM(Jan!H6, Feb!H6, Mar!H6)</f>
        <v>-23438.829999999994</v>
      </c>
      <c r="I6" s="17">
        <f t="shared" ref="I6:I15" si="2">IFERROR(H6/G6, "")</f>
        <v>-5.9964761780523478E-2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580743.88299999991</v>
      </c>
      <c r="H7" s="22">
        <f>SUM(Jan!H7, Feb!H7, Mar!H7)</f>
        <v>-15943.910999999986</v>
      </c>
      <c r="I7" s="21">
        <f t="shared" si="2"/>
        <v>-2.7454290035113443E-2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312844.56299999997</v>
      </c>
      <c r="H8" s="16">
        <f>SUM(Jan!H8, Feb!H8, Mar!H8)</f>
        <v>-25538.638000000003</v>
      </c>
      <c r="I8" s="17">
        <f t="shared" si="2"/>
        <v>-8.163363222649328E-2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639662.12300000002</v>
      </c>
      <c r="H9" s="22">
        <f>SUM(Jan!H9, Feb!H9, Mar!H9)</f>
        <v>-14907.300999999999</v>
      </c>
      <c r="I9" s="21">
        <f t="shared" si="2"/>
        <v>-2.3304961266246493E-2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243833.44500000001</v>
      </c>
      <c r="H10" s="16">
        <f>SUM(Jan!H10, Feb!H10, Mar!H10)</f>
        <v>-1747.5489999999991</v>
      </c>
      <c r="I10" s="17">
        <f t="shared" si="2"/>
        <v>-7.1669782625595063E-3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151745.54199999999</v>
      </c>
      <c r="H11" s="22">
        <f>SUM(Jan!H11, Feb!H11, Mar!H11)</f>
        <v>-2931.1799999999985</v>
      </c>
      <c r="I11" s="21">
        <f>IFERROR(H11/G11, 0)</f>
        <v>-1.9316415898399168E-2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168037.54</v>
      </c>
      <c r="H12" s="16">
        <f>SUM(Jan!H12, Feb!H12, Mar!H12)</f>
        <v>-13216.069000000001</v>
      </c>
      <c r="I12" s="17">
        <f t="shared" si="2"/>
        <v>-7.8649502962254744E-2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412774.23100000003</v>
      </c>
      <c r="H13" s="22">
        <f>SUM(Jan!H13, Feb!H13, Mar!H13)</f>
        <v>-24742.415999999997</v>
      </c>
      <c r="I13" s="21">
        <f t="shared" si="2"/>
        <v>-5.9941765114692916E-2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564302.77300000004</v>
      </c>
      <c r="H14" s="16">
        <f>SUM(Jan!H14, Feb!H14, Mar!H14)</f>
        <v>-37017.828999999991</v>
      </c>
      <c r="I14" s="17">
        <f t="shared" si="2"/>
        <v>-6.5599232843039715E-2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855044.05900000001</v>
      </c>
      <c r="H15" s="22">
        <f>SUM(Jan!H15, Feb!H15, Mar!H15)</f>
        <v>-11520.01999999999</v>
      </c>
      <c r="I15" s="21">
        <f t="shared" si="2"/>
        <v>-1.347301332456833E-2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466634.76199999999</v>
      </c>
      <c r="H16" s="39">
        <f>SUM(Jan!H16, Feb!H16, Mar!H16)</f>
        <v>-3945.1810000000114</v>
      </c>
      <c r="I16" s="40">
        <f t="shared" ref="I16:I21" si="5">IFERROR(H16/G16, "")</f>
        <v>-8.4545372982735723E-3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964816.027</v>
      </c>
      <c r="H17" s="44">
        <f>SUM(Jan!H17, Feb!H17, Mar!H17)</f>
        <v>-60477.778999999995</v>
      </c>
      <c r="I17" s="43">
        <f t="shared" si="5"/>
        <v>-6.2683223855691611E-2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193397.14600000001</v>
      </c>
      <c r="H18" s="39">
        <f>SUM(Jan!H18, Feb!H18, Mar!H18)</f>
        <v>-10260.123</v>
      </c>
      <c r="I18" s="40">
        <f t="shared" si="5"/>
        <v>-5.3052091058262044E-2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317516.06299999997</v>
      </c>
      <c r="H19" s="44">
        <f>SUM(Jan!H19, Feb!H19, Mar!H19)</f>
        <v>-24509.623000000003</v>
      </c>
      <c r="I19" s="43">
        <f t="shared" si="5"/>
        <v>-7.7191757696995655E-2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196332.92199999999</v>
      </c>
      <c r="H20" s="39">
        <f>SUM(Jan!H20, Feb!H20, Mar!H20)</f>
        <v>-8645.6299999999974</v>
      </c>
      <c r="I20" s="40">
        <f t="shared" si="5"/>
        <v>-4.4035559150899808E-2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1311398.3500000001</v>
      </c>
      <c r="H21" s="44">
        <f>SUM(Jan!H21, Feb!H21, Mar!H21)</f>
        <v>6850.5810000000201</v>
      </c>
      <c r="I21" s="43">
        <f t="shared" si="5"/>
        <v>5.2238749575977579E-3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341032.31599999999</v>
      </c>
      <c r="H22" s="39">
        <f>SUM(Jan!H22, Feb!H22, Mar!H22)</f>
        <v>29908.895000000004</v>
      </c>
      <c r="I22" s="40">
        <f>IFERROR(H22/G22, 0)</f>
        <v>8.7701058218775968E-2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CITI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SUM(Jan!D4, Feb!D4, Mar!D4)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SUM(Jan!G4, Feb!G4, Mar!G4)</f>
        <v>98098.310999999987</v>
      </c>
      <c r="H4" s="16">
        <f>SUM(Jan!H4, Feb!H4, Mar!H4)</f>
        <v>-3778.5609999999942</v>
      </c>
      <c r="I4" s="17">
        <f>IFERROR(H4/G4, "")</f>
        <v>-3.8518104557376066E-2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SUM(Jan!G5, Feb!G5, Mar!G5)</f>
        <v>374931.43299999996</v>
      </c>
      <c r="H5" s="22">
        <f>SUM(Jan!H5, Feb!H5, Mar!H5)</f>
        <v>-12055.933000000005</v>
      </c>
      <c r="I5" s="21">
        <f>IFERROR(H5/G5, "")</f>
        <v>-3.215503406458857E-2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SUM(Jan!G6, Feb!G6, Mar!G6)</f>
        <v>178228.83</v>
      </c>
      <c r="H6" s="16">
        <f>SUM(Jan!H6, Feb!H6, Mar!H6)</f>
        <v>-23438.829999999994</v>
      </c>
      <c r="I6" s="17">
        <f t="shared" ref="I6:I15" si="2">IFERROR(H6/G6, "")</f>
        <v>-0.13150975630598033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SUM(Jan!G7, Feb!G7, Mar!G7)</f>
        <v>242294.91099999996</v>
      </c>
      <c r="H7" s="22">
        <f>SUM(Jan!H7, Feb!H7, Mar!H7)</f>
        <v>-15943.910999999986</v>
      </c>
      <c r="I7" s="21">
        <f t="shared" si="2"/>
        <v>-6.5803738651366017E-2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SUM(Jan!G8, Feb!G8, Mar!G8)</f>
        <v>134522.13800000001</v>
      </c>
      <c r="H8" s="16">
        <f>SUM(Jan!H8, Feb!H8, Mar!H8)</f>
        <v>-25538.638000000003</v>
      </c>
      <c r="I8" s="17">
        <f t="shared" si="2"/>
        <v>-0.18984710159750806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SUM(Jan!G9, Feb!G9, Mar!G9)</f>
        <v>285820.30099999998</v>
      </c>
      <c r="H9" s="22">
        <f>SUM(Jan!H9, Feb!H9, Mar!H9)</f>
        <v>-14907.300999999999</v>
      </c>
      <c r="I9" s="21">
        <f t="shared" si="2"/>
        <v>-5.2156200759161615E-2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SUM(Jan!G10, Feb!G10, Mar!G10)</f>
        <v>108885.549</v>
      </c>
      <c r="H10" s="16">
        <f>SUM(Jan!H10, Feb!H10, Mar!H10)</f>
        <v>-1747.5489999999991</v>
      </c>
      <c r="I10" s="17">
        <f t="shared" si="2"/>
        <v>-1.6049411662515466E-2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SUM(Jan!G11, Feb!G11, Mar!G11)</f>
        <v>63843.049999999996</v>
      </c>
      <c r="H11" s="22">
        <f>SUM(Jan!H11, Feb!H11, Mar!H11)</f>
        <v>-2931.1799999999985</v>
      </c>
      <c r="I11" s="21">
        <f>IFERROR(H11/G11, 0)</f>
        <v>-4.5912280193380464E-2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SUM(Jan!G12, Feb!G12, Mar!G12)</f>
        <v>76688.069000000003</v>
      </c>
      <c r="H12" s="16">
        <f>SUM(Jan!H12, Feb!H12, Mar!H12)</f>
        <v>-13216.069000000001</v>
      </c>
      <c r="I12" s="17">
        <f t="shared" si="2"/>
        <v>-0.1723353993957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SUM(Jan!G13, Feb!G13, Mar!G13)</f>
        <v>178825.416</v>
      </c>
      <c r="H13" s="22">
        <f>SUM(Jan!H13, Feb!H13, Mar!H13)</f>
        <v>-24742.415999999997</v>
      </c>
      <c r="I13" s="21">
        <f t="shared" si="2"/>
        <v>-0.13836073503108751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SUM(Jan!G14, Feb!G14, Mar!G14)</f>
        <v>238992.829</v>
      </c>
      <c r="H14" s="16">
        <f>SUM(Jan!H14, Feb!H14, Mar!H14)</f>
        <v>-37017.828999999991</v>
      </c>
      <c r="I14" s="17">
        <f t="shared" si="2"/>
        <v>-0.1548909611844462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SUM(Jan!G15, Feb!G15, Mar!G15)</f>
        <v>381295.02</v>
      </c>
      <c r="H15" s="22">
        <f>SUM(Jan!H15, Feb!H15, Mar!H15)</f>
        <v>-11520.01999999999</v>
      </c>
      <c r="I15" s="21">
        <f t="shared" si="2"/>
        <v>-3.0212878206486906E-2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SUM(Jan!G16, Feb!G16, Mar!G16)</f>
        <v>194549.68100000001</v>
      </c>
      <c r="H16" s="39">
        <f>SUM(Jan!H16, Feb!H16, Mar!H16)</f>
        <v>-3945.1810000000114</v>
      </c>
      <c r="I16" s="40">
        <f t="shared" ref="I16:I21" si="5">IFERROR(H16/G16, "")</f>
        <v>-2.0278527210743722E-2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SUM(Jan!G17, Feb!G17, Mar!G17)</f>
        <v>400093.27899999998</v>
      </c>
      <c r="H17" s="44">
        <f>SUM(Jan!H17, Feb!H17, Mar!H17)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SUM(Jan!G18, Feb!G18, Mar!G18)</f>
        <v>83179.993000000002</v>
      </c>
      <c r="H18" s="39">
        <f>SUM(Jan!H18, Feb!H18, Mar!H18)</f>
        <v>-10260.123</v>
      </c>
      <c r="I18" s="40">
        <f t="shared" si="5"/>
        <v>-0.12334844750467819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SUM(Jan!G19, Feb!G19, Mar!G19)</f>
        <v>133932.62299999999</v>
      </c>
      <c r="H19" s="44">
        <f>SUM(Jan!H19, Feb!H19, Mar!H19)</f>
        <v>-24509.623000000003</v>
      </c>
      <c r="I19" s="43">
        <f t="shared" si="5"/>
        <v>-0.18299964901008475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SUM(Jan!G20, Feb!G20, Mar!G20)</f>
        <v>87508.76</v>
      </c>
      <c r="H20" s="39">
        <f>SUM(Jan!H20, Feb!H20, Mar!H20)</f>
        <v>-8645.6299999999974</v>
      </c>
      <c r="I20" s="40">
        <f t="shared" si="5"/>
        <v>-9.8797308977981155E-2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SUM(Jan!G21, Feb!G21, Mar!G21)</f>
        <v>493007.66899999999</v>
      </c>
      <c r="H21" s="44">
        <f>SUM(Jan!H21, Feb!H21, Mar!H21)</f>
        <v>6850.5810000000201</v>
      </c>
      <c r="I21" s="43">
        <f t="shared" si="5"/>
        <v>1.3895485670426803E-2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SUM(Jan!G22, Feb!G22, Mar!G22)</f>
        <v>133950.60499999998</v>
      </c>
      <c r="H22" s="39">
        <f>SUM(Jan!H22, Feb!H22, Mar!H22)</f>
        <v>29908.895000000004</v>
      </c>
      <c r="I22" s="40">
        <f>IFERROR(H22/G22, 0)</f>
        <v>0.22328301540706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F24" sqref="F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CITI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6">
        <f>SUM(C4:C100)</f>
        <v>4918579.25</v>
      </c>
      <c r="D2" s="6">
        <f>SUM(D4:D100)</f>
        <v>4868122.2190000005</v>
      </c>
      <c r="E2" s="6">
        <f>C2-D2</f>
        <v>50457.030999999493</v>
      </c>
      <c r="F2" s="7">
        <f>IFERROR(E2/D2, 0)</f>
        <v>1.0364783119673662E-2</v>
      </c>
      <c r="G2" s="6">
        <f>SUM(G4:G100)</f>
        <v>5358634.9479999999</v>
      </c>
      <c r="H2" s="8">
        <f>C2-G2</f>
        <v>-440055.69799999986</v>
      </c>
      <c r="I2" s="7">
        <f>IFERROR(H2/G2, 0)</f>
        <v>-8.2120857694223337E-2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139964.5</v>
      </c>
      <c r="D4" s="14">
        <f>SUM(Apr!D4, May!D4, Jun!D4)</f>
        <v>138783</v>
      </c>
      <c r="E4" s="14">
        <f>IF(AND(ISNUMBER(C4),ISNUMBER(D4)), C4-D4, "")</f>
        <v>1181.5</v>
      </c>
      <c r="F4" s="15">
        <f>IFERROR(E4/D4, "")</f>
        <v>8.5132905327021322E-3</v>
      </c>
      <c r="G4" s="16">
        <f>SUM(Apr!G4+May!G4+Jun!G4)</f>
        <v>151698.337</v>
      </c>
      <c r="H4" s="16">
        <f>SUM(Apr!H4, May!H4, Jun!H4)</f>
        <v>-11733.837</v>
      </c>
      <c r="I4" s="17">
        <f>IFERROR(H4/G4, "")</f>
        <v>-7.7349806412182351E-2</v>
      </c>
    </row>
    <row r="5" spans="1:9" ht="15.6">
      <c r="A5" s="19" t="str">
        <v>CA: Antioch MC CUP - Citi</v>
      </c>
      <c r="B5" s="11" t="str">
        <v>CA</v>
      </c>
      <c r="C5" s="12">
        <f>SUM(Apr!C5, May!C5, Jun!C5)</f>
        <v>494541.5</v>
      </c>
      <c r="D5" s="20">
        <f>SUM(Apr!D5, May!D5, Jun!D5)</f>
        <v>472939</v>
      </c>
      <c r="E5" s="20">
        <f t="shared" ref="E5:E15" si="0">IF(AND(ISNUMBER(C5),ISNUMBER(D5)), C5-D5, "")</f>
        <v>21602.5</v>
      </c>
      <c r="F5" s="21">
        <f>IFERROR(E5/D5, "")</f>
        <v>4.5677138066431401E-2</v>
      </c>
      <c r="G5" s="22">
        <f>SUM(Apr!G5+May!G5+Jun!G5)</f>
        <v>511562.859</v>
      </c>
      <c r="H5" s="22">
        <f>SUM(Apr!H5, May!H5, Jun!H5)</f>
        <v>-17021.358999999997</v>
      </c>
      <c r="I5" s="21">
        <f>IFERROR(H5/G5, "")</f>
        <v>-3.3273250198955502E-2</v>
      </c>
    </row>
    <row r="6" spans="1:9" ht="15.6">
      <c r="A6" s="13" t="str">
        <v>CA: Clovis - Citi</v>
      </c>
      <c r="B6" s="10" t="str">
        <v>CA</v>
      </c>
      <c r="C6" s="26">
        <f>SUM(Apr!C6, May!C6, Jun!C6)</f>
        <v>206246.5</v>
      </c>
      <c r="D6" s="14">
        <f>SUM(Apr!D6, May!D6, Jun!D6)</f>
        <v>200477</v>
      </c>
      <c r="E6" s="14">
        <f t="shared" si="0"/>
        <v>5769.5</v>
      </c>
      <c r="F6" s="15">
        <f t="shared" ref="F6:F15" si="1">IFERROR(E6/D6, "")</f>
        <v>2.8778862413144649E-2</v>
      </c>
      <c r="G6" s="16">
        <f>SUM(Apr!G6+May!G6+Jun!G6)</f>
        <v>212647.9</v>
      </c>
      <c r="H6" s="16">
        <f>SUM(Apr!H6, May!H6, Jun!H6)</f>
        <v>-6401.3999999999942</v>
      </c>
      <c r="I6" s="17">
        <f t="shared" ref="I6:I15" si="2">IFERROR(H6/G6, "")</f>
        <v>-3.0103283408865051E-2</v>
      </c>
    </row>
    <row r="7" spans="1:9" ht="15.6">
      <c r="A7" s="19" t="str">
        <v>CA: Elk Grove MOB - Citi</v>
      </c>
      <c r="B7" s="11" t="str">
        <v>CA</v>
      </c>
      <c r="C7" s="12">
        <f>SUM(Apr!C7, May!C7, Jun!C7)</f>
        <v>329099</v>
      </c>
      <c r="D7" s="20">
        <f>SUM(Apr!D7, May!D7, Jun!D7)</f>
        <v>324724</v>
      </c>
      <c r="E7" s="20">
        <f t="shared" si="0"/>
        <v>4375</v>
      </c>
      <c r="F7" s="21">
        <f t="shared" si="1"/>
        <v>1.3472980130818787E-2</v>
      </c>
      <c r="G7" s="22">
        <f>SUM(Apr!G7+May!G7+Jun!G7)</f>
        <v>338448.97200000001</v>
      </c>
      <c r="H7" s="22">
        <f>SUM(Apr!H7, May!H7, Jun!H7)</f>
        <v>-9349.9720000000088</v>
      </c>
      <c r="I7" s="21">
        <f t="shared" si="2"/>
        <v>-2.7625942973760927E-2</v>
      </c>
    </row>
    <row r="8" spans="1:9" ht="15.6">
      <c r="A8" s="13" t="str">
        <v>CA: Elk Grove Promenade - Citi</v>
      </c>
      <c r="B8" s="10" t="str">
        <v>CA</v>
      </c>
      <c r="C8" s="26">
        <f>SUM(Apr!C8, May!C8, Jun!C8)</f>
        <v>167678</v>
      </c>
      <c r="D8" s="14">
        <f>SUM(Apr!D8, May!D8, Jun!D8)</f>
        <v>171918.21899999998</v>
      </c>
      <c r="E8" s="14">
        <f t="shared" si="0"/>
        <v>-4240.2189999999828</v>
      </c>
      <c r="F8" s="15">
        <f t="shared" si="1"/>
        <v>-2.4664163139102687E-2</v>
      </c>
      <c r="G8" s="16">
        <f>SUM(Apr!G8+May!G8+Jun!G8)</f>
        <v>178322.42499999999</v>
      </c>
      <c r="H8" s="16">
        <f>SUM(Apr!H8, May!H8, Jun!H8)</f>
        <v>-10644.424999999988</v>
      </c>
      <c r="I8" s="17">
        <f t="shared" si="2"/>
        <v>-5.9692015740588932E-2</v>
      </c>
    </row>
    <row r="9" spans="1:9" ht="15.6">
      <c r="A9" s="19" t="str">
        <v>CA: Fresno Sequioa - Citi</v>
      </c>
      <c r="B9" s="11" t="str">
        <v>CA</v>
      </c>
      <c r="C9" s="12">
        <f>SUM(Apr!C9, May!C9, Jun!C9)</f>
        <v>343811</v>
      </c>
      <c r="D9" s="20">
        <f>SUM(Apr!D9, May!D9, Jun!D9)</f>
        <v>340442</v>
      </c>
      <c r="E9" s="20">
        <f t="shared" si="0"/>
        <v>3369</v>
      </c>
      <c r="F9" s="21">
        <f t="shared" si="1"/>
        <v>9.8959587829938727E-3</v>
      </c>
      <c r="G9" s="22">
        <f>SUM(Apr!G9+May!G9+Jun!G9)</f>
        <v>353841.82200000004</v>
      </c>
      <c r="H9" s="22">
        <f>SUM(Apr!H9, May!H9, Jun!H9)</f>
        <v>-10030.822000000015</v>
      </c>
      <c r="I9" s="21">
        <f t="shared" si="2"/>
        <v>-2.8348322262482621E-2</v>
      </c>
    </row>
    <row r="10" spans="1:9" ht="15.6">
      <c r="A10" s="13" t="str">
        <v>CA: Fresno MOB - Citi</v>
      </c>
      <c r="B10" s="10" t="str">
        <v>CA</v>
      </c>
      <c r="C10" s="26">
        <f>SUM(Apr!C10, May!C10, Jun!C10)</f>
        <v>135038.63</v>
      </c>
      <c r="D10" s="14">
        <f>SUM(Apr!D10, May!D10, Jun!D10)</f>
        <v>139337</v>
      </c>
      <c r="E10" s="14">
        <f t="shared" si="0"/>
        <v>-4298.3699999999953</v>
      </c>
      <c r="F10" s="15">
        <f t="shared" si="1"/>
        <v>-3.0848733645765271E-2</v>
      </c>
      <c r="G10" s="16">
        <f>SUM(Apr!G10+May!G10+Jun!G10)</f>
        <v>134947.89600000001</v>
      </c>
      <c r="H10" s="16">
        <f>SUM(Apr!H10, May!H10, Jun!H10)</f>
        <v>90.73399999999674</v>
      </c>
      <c r="I10" s="17">
        <f t="shared" si="2"/>
        <v>6.7236320601839347E-4</v>
      </c>
    </row>
    <row r="11" spans="1:9" ht="15.6">
      <c r="A11" s="19" t="str">
        <v>CA: Modesto Bangs - Citi</v>
      </c>
      <c r="B11" s="11" t="str">
        <v>CA</v>
      </c>
      <c r="C11" s="12">
        <f>SUM(Apr!C11, May!C11, Jun!C11)</f>
        <v>85288</v>
      </c>
      <c r="D11" s="20">
        <f>SUM(Apr!D11, May!D11, Jun!D11)</f>
        <v>98911</v>
      </c>
      <c r="E11" s="20">
        <f t="shared" si="0"/>
        <v>-13623</v>
      </c>
      <c r="F11" s="21">
        <f t="shared" si="1"/>
        <v>-0.13772987837550929</v>
      </c>
      <c r="G11" s="22">
        <f>SUM(Apr!G11+May!G11+Jun!G11)</f>
        <v>87902.491999999998</v>
      </c>
      <c r="H11" s="22">
        <f>SUM(Apr!H11, May!H11, Jun!H11)</f>
        <v>-2614.4919999999984</v>
      </c>
      <c r="I11" s="21">
        <f t="shared" si="2"/>
        <v>-2.9743093062708604E-2</v>
      </c>
    </row>
    <row r="12" spans="1:9" ht="15.6">
      <c r="A12" s="13" t="str">
        <v>CA: Napa Data Center - Citi</v>
      </c>
      <c r="B12" s="10" t="str">
        <v>CA</v>
      </c>
      <c r="C12" s="26">
        <f>SUM(Apr!C12, May!C12, Jun!C12)</f>
        <v>80710</v>
      </c>
      <c r="D12" s="14">
        <f>SUM(Apr!D12, May!D12, Jun!D12)</f>
        <v>96212</v>
      </c>
      <c r="E12" s="14">
        <f t="shared" si="0"/>
        <v>-15502</v>
      </c>
      <c r="F12" s="15">
        <f t="shared" si="1"/>
        <v>-0.16112335259634972</v>
      </c>
      <c r="G12" s="16">
        <f>SUM(Apr!G12+May!G12+Jun!G12)</f>
        <v>91349.471000000005</v>
      </c>
      <c r="H12" s="16">
        <f>SUM(Apr!H12, May!H12, Jun!H12)</f>
        <v>-10639.471000000005</v>
      </c>
      <c r="I12" s="17">
        <f t="shared" si="2"/>
        <v>-0.11646997933901559</v>
      </c>
    </row>
    <row r="13" spans="1:9" ht="15.6">
      <c r="A13" s="19" t="str">
        <v>CA: Petaluma MOB - Citi</v>
      </c>
      <c r="B13" s="11" t="str">
        <v>CA</v>
      </c>
      <c r="C13" s="12">
        <f>SUM(Apr!C13, May!C13, Jun!C13)</f>
        <v>211821.5</v>
      </c>
      <c r="D13" s="20">
        <f>SUM(Apr!D13, May!D13, Jun!D13)</f>
        <v>221318</v>
      </c>
      <c r="E13" s="20">
        <f t="shared" si="0"/>
        <v>-9496.5</v>
      </c>
      <c r="F13" s="21">
        <f t="shared" si="1"/>
        <v>-4.2908846094759576E-2</v>
      </c>
      <c r="G13" s="22">
        <f>SUM(Apr!G13+May!G13+Jun!G13)</f>
        <v>233948.815</v>
      </c>
      <c r="H13" s="22">
        <f>SUM(Apr!H13, May!H13, Jun!H13)</f>
        <v>-22127.315000000002</v>
      </c>
      <c r="I13" s="21">
        <f t="shared" si="2"/>
        <v>-9.4581863985932144E-2</v>
      </c>
    </row>
    <row r="14" spans="1:9" ht="15.6">
      <c r="A14" s="13" t="str">
        <v>CA: Pleasanton Tec Ctr - Citi</v>
      </c>
      <c r="B14" s="10" t="str">
        <v>CA</v>
      </c>
      <c r="C14" s="26">
        <f>SUM(Apr!C14, May!C14, Jun!C14)</f>
        <v>256902</v>
      </c>
      <c r="D14" s="14">
        <f>SUM(Apr!D14, May!D14, Jun!D14)</f>
        <v>311580</v>
      </c>
      <c r="E14" s="14">
        <f t="shared" si="0"/>
        <v>-54678</v>
      </c>
      <c r="F14" s="15">
        <f t="shared" si="1"/>
        <v>-0.17548623146543424</v>
      </c>
      <c r="G14" s="16">
        <f>SUM(Apr!G14+May!G14+Jun!G14)</f>
        <v>325309.94400000002</v>
      </c>
      <c r="H14" s="16">
        <f>SUM(Apr!H14, May!H14, Jun!H14)</f>
        <v>-68407.943999999989</v>
      </c>
      <c r="I14" s="17">
        <f t="shared" si="2"/>
        <v>-0.21028543781618919</v>
      </c>
    </row>
    <row r="15" spans="1:9" ht="15.6">
      <c r="A15" s="19" t="str">
        <v>CA: Rancho Cordova - Citi</v>
      </c>
      <c r="B15" s="11" t="str">
        <v>CA</v>
      </c>
      <c r="C15" s="12">
        <f>SUM(Apr!C15, May!C15, Jun!C15)</f>
        <v>444558</v>
      </c>
      <c r="D15" s="20">
        <f>SUM(Apr!D15, May!D15, Jun!D15)</f>
        <v>441116</v>
      </c>
      <c r="E15" s="20">
        <f t="shared" si="0"/>
        <v>3442</v>
      </c>
      <c r="F15" s="21">
        <f t="shared" si="1"/>
        <v>7.8029361891203217E-3</v>
      </c>
      <c r="G15" s="22">
        <f>SUM(Apr!G15+May!G15+Jun!G15)</f>
        <v>473749.03899999999</v>
      </c>
      <c r="H15" s="22">
        <f>SUM(Apr!H15, May!H15, Jun!H15)</f>
        <v>-29191.03899999999</v>
      </c>
      <c r="I15" s="21">
        <f t="shared" si="2"/>
        <v>-6.1617093855466355E-2</v>
      </c>
    </row>
    <row r="16" spans="1:9" ht="15.6">
      <c r="A16" s="13" t="str">
        <v>CA: S Sacramento Wyndham - Citi</v>
      </c>
      <c r="B16" s="10" t="str">
        <v>CA</v>
      </c>
      <c r="C16" s="37">
        <f>SUM(Apr!C16, May!C16, Jun!C16)</f>
        <v>276365.75</v>
      </c>
      <c r="D16" s="14">
        <f>SUM(Apr!D16, May!D16, Jun!D16)</f>
        <v>278973</v>
      </c>
      <c r="E16" s="14">
        <f t="shared" ref="E16:E22" si="3">IF(AND(ISNUMBER(C16),ISNUMBER(D16)), C16-D16, "")</f>
        <v>-2607.25</v>
      </c>
      <c r="F16" s="38">
        <f t="shared" ref="F16:F22" si="4">IFERROR(E16/D16, "")</f>
        <v>-9.345886519483964E-3</v>
      </c>
      <c r="G16" s="16">
        <f>SUM(Apr!G16+May!G16+Jun!G16)</f>
        <v>272085.08100000001</v>
      </c>
      <c r="H16" s="39">
        <f>SUM(Apr!H16, May!H16, Jun!H16)</f>
        <v>4280.669000000009</v>
      </c>
      <c r="I16" s="40">
        <f t="shared" ref="I16:I21" si="5">IFERROR(H16/G16, "")</f>
        <v>1.5732832481175286E-2</v>
      </c>
    </row>
    <row r="17" spans="1:9" ht="15.6">
      <c r="A17" s="19" t="str">
        <v>CA: Sacramento Point West - Citi</v>
      </c>
      <c r="B17" s="11" t="str">
        <v>CA</v>
      </c>
      <c r="C17" s="42">
        <f>SUM(Apr!C17, May!C17, Jun!C17)</f>
        <v>493794.5</v>
      </c>
      <c r="D17" s="20">
        <f>SUM(Apr!D17, May!D17, Jun!D17)</f>
        <v>538612</v>
      </c>
      <c r="E17" s="20">
        <f t="shared" si="3"/>
        <v>-44817.5</v>
      </c>
      <c r="F17" s="43">
        <f t="shared" si="4"/>
        <v>-8.3209248958433901E-2</v>
      </c>
      <c r="G17" s="22">
        <f>SUM(Apr!G17+May!G17+Jun!G17)</f>
        <v>564722.74800000002</v>
      </c>
      <c r="H17" s="44">
        <f>SUM(Apr!H17, May!H17, Jun!H17)</f>
        <v>-70928.248000000021</v>
      </c>
      <c r="I17" s="43">
        <f t="shared" si="5"/>
        <v>-0.12559835468147287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SUM(Apr!D18, May!D18, Jun!D18)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SUM(Apr!G18+May!G18+Jun!G18)</f>
        <v>110217.15299999999</v>
      </c>
      <c r="H18" s="39">
        <f>SUM(Apr!H18, May!H18, Jun!H18)</f>
        <v>-8994.773000000001</v>
      </c>
      <c r="I18" s="40">
        <f t="shared" si="5"/>
        <v>-8.1609556726619514E-2</v>
      </c>
    </row>
    <row r="19" spans="1:9" ht="15.6">
      <c r="A19" s="19" t="str">
        <v>CA: San Jose MOB - Citi</v>
      </c>
      <c r="B19" s="11" t="str">
        <v>CA</v>
      </c>
      <c r="C19" s="42">
        <f>SUM(Apr!C19, May!C19, Jun!C19)</f>
        <v>158359</v>
      </c>
      <c r="D19" s="20">
        <f>SUM(Apr!D19, May!D19, Jun!D19)</f>
        <v>172140</v>
      </c>
      <c r="E19" s="20">
        <f t="shared" si="3"/>
        <v>-13781</v>
      </c>
      <c r="F19" s="43">
        <f t="shared" si="4"/>
        <v>-8.0056930405483909E-2</v>
      </c>
      <c r="G19" s="22">
        <f>SUM(Apr!G19+May!G19+Jun!G19)</f>
        <v>183583.44</v>
      </c>
      <c r="H19" s="44">
        <f>SUM(Apr!H19, May!H19, Jun!H19)</f>
        <v>-25224.440000000002</v>
      </c>
      <c r="I19" s="43">
        <f t="shared" si="5"/>
        <v>-0.13740041040738751</v>
      </c>
    </row>
    <row r="20" spans="1:9" ht="15.6">
      <c r="A20" s="13" t="str">
        <v>CA: Selma - Citi</v>
      </c>
      <c r="B20" s="10" t="str">
        <v>CA</v>
      </c>
      <c r="C20" s="37">
        <f>SUM(Apr!C20, May!C20, Jun!C20)</f>
        <v>102783.87</v>
      </c>
      <c r="D20" s="14">
        <f>SUM(Apr!D20, May!D20, Jun!D20)</f>
        <v>104092</v>
      </c>
      <c r="E20" s="14">
        <f t="shared" si="3"/>
        <v>-1308.1300000000047</v>
      </c>
      <c r="F20" s="38">
        <f t="shared" si="4"/>
        <v>-1.2567056065788002E-2</v>
      </c>
      <c r="G20" s="16">
        <f>SUM(Apr!G20+May!G20+Jun!G20)</f>
        <v>108824.162</v>
      </c>
      <c r="H20" s="39">
        <f>SUM(Apr!H20, May!H20, Jun!H20)</f>
        <v>-6040.291999999994</v>
      </c>
      <c r="I20" s="40">
        <f t="shared" si="5"/>
        <v>-5.5505063296513085E-2</v>
      </c>
    </row>
    <row r="21" spans="1:9" ht="15.6">
      <c r="A21" s="19" t="str">
        <v>CA: Vacaville Hospital</v>
      </c>
      <c r="B21" s="11" t="str">
        <v>CA</v>
      </c>
      <c r="C21" s="42">
        <f>SUM(Apr!C21, May!C21, Jun!C21)</f>
        <v>671980</v>
      </c>
      <c r="D21" s="20">
        <f>SUM(Apr!D21, May!D21, Jun!D21)</f>
        <v>706377</v>
      </c>
      <c r="E21" s="20">
        <f t="shared" si="3"/>
        <v>-34397</v>
      </c>
      <c r="F21" s="43">
        <f t="shared" si="4"/>
        <v>-4.8694960339875165E-2</v>
      </c>
      <c r="G21" s="22">
        <f>SUM(Apr!G21+May!G21+Jun!G21)</f>
        <v>818390.68099999998</v>
      </c>
      <c r="H21" s="44">
        <f>SUM(Apr!H21, May!H21, Jun!H21)</f>
        <v>-146410.68099999998</v>
      </c>
      <c r="I21" s="43">
        <f t="shared" si="5"/>
        <v>-0.17890071868987958</v>
      </c>
    </row>
    <row r="22" spans="1:9" ht="15.6">
      <c r="A22" s="13" t="str">
        <v>CA: Manteca - KP Manteca Hospital</v>
      </c>
      <c r="B22" s="10" t="str">
        <v>CA</v>
      </c>
      <c r="C22" s="37">
        <f>SUM(Apr!C22, May!C22, Jun!C22)</f>
        <v>218415.12</v>
      </c>
      <c r="D22" s="14">
        <f>SUM(Apr!D22, May!D22, Jun!D22)</f>
        <v>0</v>
      </c>
      <c r="E22" s="14">
        <f t="shared" si="3"/>
        <v>218415.12</v>
      </c>
      <c r="F22" s="38" t="str">
        <f t="shared" si="4"/>
        <v/>
      </c>
      <c r="G22" s="16">
        <f>SUM(Apr!G22+May!G22+Jun!G22)</f>
        <v>207081.71100000001</v>
      </c>
      <c r="H22" s="39">
        <f>SUM(Apr!H22, May!H22, Jun!H22)</f>
        <v>11333.409</v>
      </c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CITI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CITI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opLeftCell="B1" workbookViewId="0">
      <pane ySplit="3" topLeftCell="A4" activePane="bottomLeft" state="frozen"/>
      <selection pane="bottomLeft" activeCell="F11" sqref="F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SUM(C4:C99)</f>
        <v>761476.62</v>
      </c>
      <c r="D2" s="6">
        <f>SUM(D4:D99)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SUM(G4:G99)</f>
        <v>819042.32600000012</v>
      </c>
      <c r="H2" s="8">
        <f>C2-G2</f>
        <v>-57565.706000000122</v>
      </c>
      <c r="I2" s="7">
        <f>IFERROR(H2/G2, 0)</f>
        <v>-7.028416502128379E-2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4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14"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v>25333.654999999999</v>
      </c>
      <c r="H4" s="16">
        <f>IF(AND(ISNUMBER(C4),ISNUMBER(G4)), C4-G4, "")</f>
        <v>-1550.4049999999988</v>
      </c>
      <c r="I4" s="17">
        <f>IFERROR(H4/G4, "")</f>
        <v>-6.1199420296834346E-2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77142</v>
      </c>
      <c r="D5" s="20">
        <v>87662</v>
      </c>
      <c r="E5" s="20">
        <f t="shared" ref="E5:E6" si="0">IF(AND(ISNUMBER(C5),ISNUMBER(D5)), C5-D5, "")</f>
        <v>-10520</v>
      </c>
      <c r="F5" s="21">
        <f>IFERROR(E5/D5, "")</f>
        <v>-0.12000638817275444</v>
      </c>
      <c r="G5" s="22">
        <v>82559.584000000003</v>
      </c>
      <c r="H5" s="22">
        <f t="shared" ref="H5:H6" si="1">IF(AND(ISNUMBER(C5),ISNUMBER(G5)), C5-G5, "")</f>
        <v>-5417.5840000000026</v>
      </c>
      <c r="I5" s="21">
        <f t="shared" ref="I5:I6" si="2">IFERROR(H5/G5, "")</f>
        <v>-6.5620291885191695E-2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32833</v>
      </c>
      <c r="D6" s="14">
        <v>29586</v>
      </c>
      <c r="E6" s="14">
        <f t="shared" si="0"/>
        <v>3247</v>
      </c>
      <c r="F6" s="15">
        <f t="shared" ref="F6:F15" si="3">IFERROR(E6/D6, "")</f>
        <v>0.10974785371459474</v>
      </c>
      <c r="G6" s="16">
        <v>39905.663</v>
      </c>
      <c r="H6" s="16">
        <f t="shared" si="1"/>
        <v>-7072.6630000000005</v>
      </c>
      <c r="I6" s="17">
        <f t="shared" si="2"/>
        <v>-0.1772345694394302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45130</v>
      </c>
      <c r="D7" s="20">
        <v>54986</v>
      </c>
      <c r="E7" s="20">
        <f t="shared" ref="E7:E15" si="4">IF(AND(ISNUMBER(C7),ISNUMBER(D7)), C7-D7, "")</f>
        <v>-9856</v>
      </c>
      <c r="F7" s="21">
        <f t="shared" si="3"/>
        <v>-0.17924562615938602</v>
      </c>
      <c r="G7" s="22">
        <v>50117.35</v>
      </c>
      <c r="H7" s="22">
        <f t="shared" ref="H7:H15" si="5">IF(AND(ISNUMBER(C7),ISNUMBER(G7)), C7-G7, "")</f>
        <v>-4987.3499999999985</v>
      </c>
      <c r="I7" s="21">
        <f t="shared" ref="I7:I15" si="6">IFERROR(H7/G7, "")</f>
        <v>-9.9513441951739237E-2</v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>
        <v>22326</v>
      </c>
      <c r="D8" s="14">
        <v>30384.634999999998</v>
      </c>
      <c r="E8" s="14">
        <f t="shared" si="4"/>
        <v>-8058.6349999999984</v>
      </c>
      <c r="F8" s="15">
        <f t="shared" si="3"/>
        <v>-0.26522072751573283</v>
      </c>
      <c r="G8" s="16">
        <v>28265.13</v>
      </c>
      <c r="H8" s="16">
        <f t="shared" si="5"/>
        <v>-5939.130000000001</v>
      </c>
      <c r="I8" s="17">
        <f t="shared" si="6"/>
        <v>-0.21012215404634618</v>
      </c>
      <c r="J8" s="18" t="s">
        <v>22</v>
      </c>
      <c r="K8" s="18" t="s">
        <v>23</v>
      </c>
    </row>
    <row r="9" spans="1:11" ht="15.6">
      <c r="A9" s="32" t="str">
        <v>CA: Fresno Sequioa - Citi</v>
      </c>
      <c r="B9" s="33" t="str">
        <v>CA</v>
      </c>
      <c r="C9" s="12">
        <v>54028.75</v>
      </c>
      <c r="D9" s="20">
        <v>54179</v>
      </c>
      <c r="E9" s="20">
        <f t="shared" si="4"/>
        <v>-150.25</v>
      </c>
      <c r="F9" s="21">
        <f t="shared" si="3"/>
        <v>-2.7732147141881539E-3</v>
      </c>
      <c r="G9" s="22">
        <v>60597.623</v>
      </c>
      <c r="H9" s="22">
        <f t="shared" si="5"/>
        <v>-6568.8729999999996</v>
      </c>
      <c r="I9" s="21">
        <f t="shared" si="6"/>
        <v>-0.10840149621050317</v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>
        <v>23116</v>
      </c>
      <c r="D10" s="14">
        <v>21868</v>
      </c>
      <c r="E10" s="14">
        <f t="shared" si="4"/>
        <v>1248</v>
      </c>
      <c r="F10" s="15">
        <f t="shared" si="3"/>
        <v>5.7069690872507774E-2</v>
      </c>
      <c r="G10" s="16">
        <v>24310.019</v>
      </c>
      <c r="H10" s="16">
        <f t="shared" si="5"/>
        <v>-1194.0190000000002</v>
      </c>
      <c r="I10" s="17">
        <f t="shared" si="6"/>
        <v>-4.9116333475510664E-2</v>
      </c>
      <c r="J10" s="45"/>
      <c r="K10" s="45"/>
    </row>
    <row r="11" spans="1:11" ht="15.6">
      <c r="A11" s="32" t="str">
        <v>CA: Modesto Bangs - Citi</v>
      </c>
      <c r="B11" s="33" t="str">
        <v>CA</v>
      </c>
      <c r="C11" s="12">
        <v>12386.25</v>
      </c>
      <c r="D11" s="20">
        <v>12166</v>
      </c>
      <c r="E11" s="20">
        <f t="shared" si="4"/>
        <v>220.25</v>
      </c>
      <c r="F11" s="21">
        <f t="shared" si="3"/>
        <v>1.8103731711326648E-2</v>
      </c>
      <c r="G11" s="22">
        <v>13154.418</v>
      </c>
      <c r="H11" s="22">
        <f t="shared" si="5"/>
        <v>-768.16799999999967</v>
      </c>
      <c r="I11" s="21">
        <f t="shared" si="6"/>
        <v>-5.8396198144228022E-2</v>
      </c>
      <c r="J11" s="46"/>
      <c r="K11" s="47"/>
    </row>
    <row r="12" spans="1:11" ht="28.9">
      <c r="A12" s="30" t="str">
        <v>CA: Napa Data Center - Citi</v>
      </c>
      <c r="B12" s="31" t="str">
        <v>CA</v>
      </c>
      <c r="C12" s="26">
        <v>13910.87</v>
      </c>
      <c r="D12" s="14">
        <v>18187</v>
      </c>
      <c r="E12" s="14">
        <f t="shared" si="4"/>
        <v>-4276.1299999999992</v>
      </c>
      <c r="F12" s="15">
        <f t="shared" si="3"/>
        <v>-0.23512014075988338</v>
      </c>
      <c r="G12" s="16">
        <v>17420.203000000001</v>
      </c>
      <c r="H12" s="16">
        <f t="shared" si="5"/>
        <v>-3509.3330000000005</v>
      </c>
      <c r="I12" s="17">
        <f t="shared" si="6"/>
        <v>-0.20145190041700434</v>
      </c>
      <c r="J12" s="45" t="s">
        <v>24</v>
      </c>
      <c r="K12" s="45" t="s">
        <v>25</v>
      </c>
    </row>
    <row r="13" spans="1:11" ht="15.6">
      <c r="A13" s="32" t="str">
        <v>CA: Petaluma MOB - Citi</v>
      </c>
      <c r="B13" s="33" t="str">
        <v>CA</v>
      </c>
      <c r="C13" s="12">
        <v>33858.75</v>
      </c>
      <c r="D13" s="20">
        <v>43911</v>
      </c>
      <c r="E13" s="20">
        <f t="shared" si="4"/>
        <v>-10052.25</v>
      </c>
      <c r="F13" s="21">
        <f t="shared" si="3"/>
        <v>-0.22892327662772427</v>
      </c>
      <c r="G13" s="22">
        <v>41451.396000000001</v>
      </c>
      <c r="H13" s="22">
        <f t="shared" si="5"/>
        <v>-7592.6460000000006</v>
      </c>
      <c r="I13" s="21">
        <f t="shared" si="6"/>
        <v>-0.18316985029888982</v>
      </c>
      <c r="J13" s="46" t="s">
        <v>26</v>
      </c>
      <c r="K13" s="46" t="s">
        <v>27</v>
      </c>
    </row>
    <row r="14" spans="1:11" ht="15.6">
      <c r="A14" s="30" t="str">
        <v>CA: Pleasanton Tec Ctr - Citi</v>
      </c>
      <c r="B14" s="31" t="str">
        <v>CA</v>
      </c>
      <c r="C14" s="26">
        <v>45268</v>
      </c>
      <c r="D14" s="14">
        <v>60582</v>
      </c>
      <c r="E14" s="14">
        <f t="shared" si="4"/>
        <v>-15314</v>
      </c>
      <c r="F14" s="15">
        <f t="shared" si="3"/>
        <v>-0.25278135419761644</v>
      </c>
      <c r="G14" s="16">
        <v>54214.860999999997</v>
      </c>
      <c r="H14" s="16">
        <f t="shared" si="5"/>
        <v>-8946.8609999999971</v>
      </c>
      <c r="I14" s="17">
        <f t="shared" si="6"/>
        <v>-0.16502598798510243</v>
      </c>
      <c r="J14" s="45"/>
      <c r="K14" s="45"/>
    </row>
    <row r="15" spans="1:11" ht="15.6">
      <c r="A15" s="32" t="str">
        <v>CA: Rancho Cordova - Citi</v>
      </c>
      <c r="B15" s="33" t="str">
        <v>CA</v>
      </c>
      <c r="C15" s="12">
        <v>81162.5</v>
      </c>
      <c r="D15" s="20">
        <v>89248</v>
      </c>
      <c r="E15" s="20">
        <f t="shared" si="4"/>
        <v>-8085.5</v>
      </c>
      <c r="F15" s="21">
        <f t="shared" si="3"/>
        <v>-9.0595867694514165E-2</v>
      </c>
      <c r="G15" s="22">
        <v>85149.357999999993</v>
      </c>
      <c r="H15" s="22">
        <f t="shared" si="5"/>
        <v>-3986.8579999999929</v>
      </c>
      <c r="I15" s="21">
        <f t="shared" si="6"/>
        <v>-4.6821938457833036E-2</v>
      </c>
      <c r="J15" s="46"/>
      <c r="K15" s="47"/>
    </row>
    <row r="16" spans="1:11" ht="15.6">
      <c r="A16" s="30" t="str">
        <v>CA: S Sacramento Wyndham - Citi</v>
      </c>
      <c r="B16" s="31" t="str">
        <v>CA</v>
      </c>
      <c r="C16" s="37">
        <v>38853.75</v>
      </c>
      <c r="D16" s="14">
        <v>47087</v>
      </c>
      <c r="E16" s="14">
        <f t="shared" ref="E16:E21" si="7">IF(AND(ISNUMBER(C16),ISNUMBER(D16)), C16-D16, "")</f>
        <v>-8233.25</v>
      </c>
      <c r="F16" s="38">
        <f t="shared" ref="F16:F21" si="8">IFERROR(E16/D16, "")</f>
        <v>-0.17485186994287172</v>
      </c>
      <c r="G16" s="39">
        <v>39156.317000000003</v>
      </c>
      <c r="H16" s="39">
        <f t="shared" ref="H16:H21" si="9">IF(AND(ISNUMBER(C16),ISNUMBER(G16)), C16-G16, "")</f>
        <v>-302.56700000000274</v>
      </c>
      <c r="I16" s="40">
        <f t="shared" ref="I16:I21" si="10">IFERROR(H16/G16, "")</f>
        <v>-7.7271567701324593E-3</v>
      </c>
      <c r="J16" s="48"/>
      <c r="K16" s="48"/>
    </row>
    <row r="17" spans="1:11" ht="43.15">
      <c r="A17" s="32" t="str">
        <v>CA: Sacramento Point West - Citi</v>
      </c>
      <c r="B17" s="33" t="str">
        <v>CA</v>
      </c>
      <c r="C17" s="42">
        <v>61132.5</v>
      </c>
      <c r="D17" s="20">
        <v>90683</v>
      </c>
      <c r="E17" s="20">
        <f t="shared" si="7"/>
        <v>-29550.5</v>
      </c>
      <c r="F17" s="43">
        <f t="shared" si="8"/>
        <v>-0.32586592856433949</v>
      </c>
      <c r="G17" s="44">
        <v>84913.76</v>
      </c>
      <c r="H17" s="44">
        <f t="shared" si="9"/>
        <v>-23781.259999999995</v>
      </c>
      <c r="I17" s="43">
        <f t="shared" si="10"/>
        <v>-0.28006367872533255</v>
      </c>
      <c r="J17" s="55" t="s">
        <v>28</v>
      </c>
      <c r="K17" s="47" t="s">
        <v>29</v>
      </c>
    </row>
    <row r="18" spans="1:11" ht="15.6">
      <c r="A18" s="30" t="str">
        <v>CA: San Jose FHC - Citi</v>
      </c>
      <c r="B18" s="31" t="str">
        <v>CA</v>
      </c>
      <c r="C18" s="37">
        <v>16855.75</v>
      </c>
      <c r="D18" s="14">
        <v>23498</v>
      </c>
      <c r="E18" s="14">
        <f t="shared" si="7"/>
        <v>-6642.25</v>
      </c>
      <c r="F18" s="38">
        <f t="shared" si="8"/>
        <v>-0.28267299344625074</v>
      </c>
      <c r="G18" s="39">
        <v>19495.032999999999</v>
      </c>
      <c r="H18" s="39">
        <f t="shared" si="9"/>
        <v>-2639.2829999999994</v>
      </c>
      <c r="I18" s="40">
        <f t="shared" si="10"/>
        <v>-0.13538233046335441</v>
      </c>
      <c r="J18" s="48" t="s">
        <v>30</v>
      </c>
      <c r="K18" s="48" t="s">
        <v>31</v>
      </c>
    </row>
    <row r="19" spans="1:11" ht="15.6">
      <c r="A19" s="32" t="str">
        <v>CA: San Jose MOB - Citi</v>
      </c>
      <c r="B19" s="33" t="str">
        <v>CA</v>
      </c>
      <c r="C19" s="42">
        <v>22890.75</v>
      </c>
      <c r="D19" s="20">
        <v>38233</v>
      </c>
      <c r="E19" s="20">
        <f t="shared" si="7"/>
        <v>-15342.25</v>
      </c>
      <c r="F19" s="43">
        <f t="shared" si="8"/>
        <v>-0.40128292312923391</v>
      </c>
      <c r="G19" s="44">
        <v>30904.094000000001</v>
      </c>
      <c r="H19" s="44">
        <f t="shared" si="9"/>
        <v>-8013.344000000001</v>
      </c>
      <c r="I19" s="43">
        <f t="shared" si="10"/>
        <v>-0.25929716625894295</v>
      </c>
      <c r="J19" s="46" t="s">
        <v>32</v>
      </c>
      <c r="K19" s="47" t="s">
        <v>33</v>
      </c>
    </row>
    <row r="20" spans="1:11" ht="15.6">
      <c r="A20" s="30" t="str">
        <v>CA: Selma - Citi</v>
      </c>
      <c r="B20" s="31" t="str">
        <v>CA</v>
      </c>
      <c r="C20" s="37">
        <v>16830.5</v>
      </c>
      <c r="D20" s="14">
        <v>15271</v>
      </c>
      <c r="E20" s="14">
        <f t="shared" si="7"/>
        <v>1559.5</v>
      </c>
      <c r="F20" s="38">
        <f t="shared" si="8"/>
        <v>0.10212166852203523</v>
      </c>
      <c r="G20" s="39">
        <v>19231.669999999998</v>
      </c>
      <c r="H20" s="39">
        <f t="shared" si="9"/>
        <v>-2401.1699999999983</v>
      </c>
      <c r="I20" s="40">
        <f t="shared" si="10"/>
        <v>-0.12485499179218437</v>
      </c>
      <c r="J20" s="48"/>
      <c r="K20" s="48"/>
    </row>
    <row r="21" spans="1:11" ht="15.6">
      <c r="A21" s="32" t="str">
        <v>CA: Vacaville Hospital</v>
      </c>
      <c r="B21" s="33" t="str">
        <v>CA</v>
      </c>
      <c r="C21" s="42">
        <v>105587</v>
      </c>
      <c r="D21" s="20">
        <v>131069</v>
      </c>
      <c r="E21" s="20">
        <f t="shared" si="7"/>
        <v>-25482</v>
      </c>
      <c r="F21" s="43">
        <f t="shared" si="8"/>
        <v>-0.19441668129000755</v>
      </c>
      <c r="G21" s="44">
        <v>102862.192</v>
      </c>
      <c r="H21" s="44">
        <f t="shared" si="9"/>
        <v>2724.8080000000045</v>
      </c>
      <c r="I21" s="43">
        <f t="shared" si="10"/>
        <v>2.6489888529694222E-2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>
        <v>34381</v>
      </c>
      <c r="D22" s="14">
        <v>0</v>
      </c>
      <c r="E22" s="14">
        <f>IF(AND(ISNUMBER(C22),ISNUMBER(D22)), C22-D22, "")</f>
        <v>34381</v>
      </c>
      <c r="F22" s="38">
        <f>IFERROR(E22/D22, 0)</f>
        <v>0</v>
      </c>
      <c r="G22" s="39">
        <v>0</v>
      </c>
      <c r="H22" s="39">
        <f>IF(AND(ISNUMBER(C22),ISNUMBER(G22)), C22-G22, "")</f>
        <v>34381</v>
      </c>
      <c r="I22" s="40">
        <f>IFERROR(H22/G22, 0)</f>
        <v>0</v>
      </c>
      <c r="J22" s="48"/>
      <c r="K22" s="48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K25" s="23"/>
    </row>
    <row r="26" spans="1:11" ht="14.45">
      <c r="A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35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35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24 I4:I24 F27:F28 I27:I28 G29:G30 J29:J30 F31:F99 I31:I99">
    <cfRule type="cellIs" dxfId="24" priority="2" stopIfTrue="1" operator="lessThanOrEqual">
      <formula>-0.1</formula>
    </cfRule>
    <cfRule type="expression" dxfId="2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O36" sqref="O36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34</v>
      </c>
      <c r="E1" s="68"/>
      <c r="F1" s="68"/>
      <c r="G1" s="66" t="s">
        <v>35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1148130.9000000001</v>
      </c>
      <c r="D2" s="6">
        <f>SUM(D4:D100)</f>
        <v>1139799.1600000001</v>
      </c>
      <c r="E2" s="6">
        <f>C2-D2</f>
        <v>8331.7399999999907</v>
      </c>
      <c r="F2" s="7">
        <f>IFERROR(E2/D2, 0)</f>
        <v>7.3098316724500741E-3</v>
      </c>
      <c r="G2" s="6">
        <f>SUM(G4:G100)</f>
        <v>1229355.344</v>
      </c>
      <c r="H2" s="8">
        <f>C2-G2</f>
        <v>-81224.443999999901</v>
      </c>
      <c r="I2" s="7">
        <f>IFERROR(H2/G2, 0)</f>
        <v>-6.6070761717858445E-2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14">
        <v>33671</v>
      </c>
      <c r="E4" s="14">
        <f>IF(AND(ISNUMBER(C4),ISNUMBER(D4)), C4-D4, "")</f>
        <v>-112</v>
      </c>
      <c r="F4" s="15">
        <f>IFERROR(E4/D4, "")</f>
        <v>-3.3263045350598436E-3</v>
      </c>
      <c r="G4" s="16">
        <v>34392.864999999998</v>
      </c>
      <c r="H4" s="16">
        <f>IF(AND(ISNUMBER(C4),ISNUMBER(G4)), C4-G4, "")</f>
        <v>-833.86499999999796</v>
      </c>
      <c r="I4" s="17">
        <f>IFERROR(H4/G4, "")</f>
        <v>-2.4245290411252392E-2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110890</v>
      </c>
      <c r="D5" s="20">
        <v>111096</v>
      </c>
      <c r="E5" s="20">
        <f t="shared" ref="E5:E15" si="0">IF(AND(ISNUMBER(C5),ISNUMBER(D5)), C5-D5, "")</f>
        <v>-206</v>
      </c>
      <c r="F5" s="21">
        <f>IFERROR(E5/D5, "")</f>
        <v>-1.8542521782962482E-3</v>
      </c>
      <c r="G5" s="22">
        <v>113606.749</v>
      </c>
      <c r="H5" s="22">
        <f t="shared" ref="H5:H15" si="1">IF(AND(ISNUMBER(C5),ISNUMBER(G5)), C5-G5, "")</f>
        <v>-2716.7489999999962</v>
      </c>
      <c r="I5" s="21">
        <f t="shared" ref="I5:I15" si="2">IFERROR(H5/G5, "")</f>
        <v>-2.3913623300672007E-2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48875.75</v>
      </c>
      <c r="D6" s="14">
        <v>45628</v>
      </c>
      <c r="E6" s="14">
        <f t="shared" si="0"/>
        <v>3247.75</v>
      </c>
      <c r="F6" s="15">
        <f t="shared" ref="F6:F15" si="3">IFERROR(E6/D6, "")</f>
        <v>7.1178881388621024E-2</v>
      </c>
      <c r="G6" s="16">
        <v>55784.006000000001</v>
      </c>
      <c r="H6" s="16">
        <f t="shared" si="1"/>
        <v>-6908.2560000000012</v>
      </c>
      <c r="I6" s="17">
        <f t="shared" si="2"/>
        <v>-0.12383936714763728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72294.5</v>
      </c>
      <c r="D7" s="20">
        <v>73903</v>
      </c>
      <c r="E7" s="20">
        <f t="shared" si="0"/>
        <v>-1608.5</v>
      </c>
      <c r="F7" s="21">
        <f t="shared" si="3"/>
        <v>-2.1765016305156759E-2</v>
      </c>
      <c r="G7" s="22">
        <v>76074.414999999994</v>
      </c>
      <c r="H7" s="22">
        <f t="shared" si="1"/>
        <v>-3779.9149999999936</v>
      </c>
      <c r="I7" s="21">
        <f t="shared" si="2"/>
        <v>-4.9687072848341902E-2</v>
      </c>
      <c r="J7" s="11"/>
      <c r="K7" s="11"/>
    </row>
    <row r="8" spans="1:11" ht="15.6">
      <c r="A8" s="30" t="str">
        <v>CA: Elk Grove Promenade - Citi</v>
      </c>
      <c r="B8" s="31" t="str">
        <v>CA</v>
      </c>
      <c r="C8" s="26">
        <v>34178.25</v>
      </c>
      <c r="D8" s="14">
        <v>40382.160000000003</v>
      </c>
      <c r="E8" s="14">
        <f t="shared" si="0"/>
        <v>-6203.9100000000035</v>
      </c>
      <c r="F8" s="15">
        <f t="shared" si="3"/>
        <v>-0.15362996927356048</v>
      </c>
      <c r="G8" s="16">
        <v>42366.747000000003</v>
      </c>
      <c r="H8" s="16">
        <f t="shared" si="1"/>
        <v>-8188.497000000003</v>
      </c>
      <c r="I8" s="17">
        <f t="shared" si="2"/>
        <v>-0.19327650999497323</v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>
        <v>87690.75</v>
      </c>
      <c r="D9" s="20">
        <v>83436</v>
      </c>
      <c r="E9" s="20">
        <f t="shared" si="0"/>
        <v>4254.75</v>
      </c>
      <c r="F9" s="21">
        <f t="shared" si="3"/>
        <v>5.0994175176182946E-2</v>
      </c>
      <c r="G9" s="22">
        <v>90443.702999999994</v>
      </c>
      <c r="H9" s="22">
        <f t="shared" si="1"/>
        <v>-2752.9529999999941</v>
      </c>
      <c r="I9" s="21">
        <f t="shared" si="2"/>
        <v>-3.0438304809346364E-2</v>
      </c>
      <c r="J9" s="11"/>
      <c r="K9" s="11"/>
    </row>
    <row r="10" spans="1:11" ht="15.6">
      <c r="A10" s="30" t="str">
        <v>CA: Fresno MOB - Citi</v>
      </c>
      <c r="B10" s="31" t="str">
        <v>CA</v>
      </c>
      <c r="C10" s="26">
        <v>33643.129999999997</v>
      </c>
      <c r="D10" s="14">
        <v>33625</v>
      </c>
      <c r="E10" s="14">
        <f t="shared" si="0"/>
        <v>18.129999999997381</v>
      </c>
      <c r="F10" s="15">
        <f t="shared" si="3"/>
        <v>5.3918215613375114E-4</v>
      </c>
      <c r="G10" s="16">
        <v>33875.379000000001</v>
      </c>
      <c r="H10" s="16">
        <f t="shared" si="1"/>
        <v>-232.24900000000343</v>
      </c>
      <c r="I10" s="17">
        <f t="shared" si="2"/>
        <v>-6.8559823345446091E-3</v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>
        <v>18676.37</v>
      </c>
      <c r="D11" s="20">
        <v>20450</v>
      </c>
      <c r="E11" s="20">
        <f t="shared" si="0"/>
        <v>-1773.630000000001</v>
      </c>
      <c r="F11" s="21">
        <f t="shared" si="3"/>
        <v>-8.6730073349633299E-2</v>
      </c>
      <c r="G11" s="22">
        <v>19457.063999999998</v>
      </c>
      <c r="H11" s="22">
        <f t="shared" si="1"/>
        <v>-780.69399999999951</v>
      </c>
      <c r="I11" s="21">
        <f t="shared" si="2"/>
        <v>-4.0123936478802739E-2</v>
      </c>
      <c r="J11" s="11"/>
      <c r="K11" s="11"/>
    </row>
    <row r="12" spans="1:11" ht="15.6">
      <c r="A12" s="30" t="str">
        <v>CA: Napa Data Center - Citi</v>
      </c>
      <c r="B12" s="31" t="str">
        <v>CA</v>
      </c>
      <c r="C12" s="26">
        <v>19292</v>
      </c>
      <c r="D12" s="14">
        <v>22187</v>
      </c>
      <c r="E12" s="14">
        <f t="shared" si="0"/>
        <v>-2895</v>
      </c>
      <c r="F12" s="15">
        <f t="shared" si="3"/>
        <v>-0.13048181367467435</v>
      </c>
      <c r="G12" s="16">
        <v>23401.866000000002</v>
      </c>
      <c r="H12" s="16">
        <f t="shared" si="1"/>
        <v>-4109.8660000000018</v>
      </c>
      <c r="I12" s="17">
        <f t="shared" si="2"/>
        <v>-0.17562129447284253</v>
      </c>
      <c r="J12" s="58" t="s">
        <v>36</v>
      </c>
      <c r="K12" s="58" t="s">
        <v>37</v>
      </c>
    </row>
    <row r="13" spans="1:11" ht="15.6">
      <c r="A13" s="32" t="str">
        <v>CA: Petaluma MOB - Citi</v>
      </c>
      <c r="B13" s="33" t="str">
        <v>CA</v>
      </c>
      <c r="C13" s="12">
        <v>45005</v>
      </c>
      <c r="D13" s="20">
        <v>50968</v>
      </c>
      <c r="E13" s="20">
        <f t="shared" si="0"/>
        <v>-5963</v>
      </c>
      <c r="F13" s="21">
        <f t="shared" si="3"/>
        <v>-0.11699497724062156</v>
      </c>
      <c r="G13" s="22">
        <v>53496.512999999999</v>
      </c>
      <c r="H13" s="22">
        <f t="shared" si="1"/>
        <v>-8491.512999999999</v>
      </c>
      <c r="I13" s="21">
        <f t="shared" si="2"/>
        <v>-0.15873021480858013</v>
      </c>
      <c r="J13" s="59" t="s">
        <v>38</v>
      </c>
      <c r="K13" s="59" t="s">
        <v>39</v>
      </c>
    </row>
    <row r="14" spans="1:11" ht="15.6">
      <c r="A14" s="30" t="str">
        <v>CA: Pleasanton Tec Ctr - Citi</v>
      </c>
      <c r="B14" s="31" t="str">
        <v>CA</v>
      </c>
      <c r="C14" s="26">
        <v>61506.5</v>
      </c>
      <c r="D14" s="14">
        <v>71319</v>
      </c>
      <c r="E14" s="14">
        <f t="shared" si="0"/>
        <v>-9812.5</v>
      </c>
      <c r="F14" s="15">
        <f t="shared" si="3"/>
        <v>-0.13758605701145557</v>
      </c>
      <c r="G14" s="16">
        <v>73097.040999999997</v>
      </c>
      <c r="H14" s="16">
        <f t="shared" si="1"/>
        <v>-11590.540999999997</v>
      </c>
      <c r="I14" s="17">
        <f t="shared" si="2"/>
        <v>-0.15856375089109281</v>
      </c>
      <c r="J14" s="18" t="s">
        <v>40</v>
      </c>
      <c r="K14" s="18"/>
    </row>
    <row r="15" spans="1:11" ht="15.6">
      <c r="A15" s="32" t="str">
        <v>CA: Rancho Cordova - Citi</v>
      </c>
      <c r="B15" s="33" t="str">
        <v>CA</v>
      </c>
      <c r="C15" s="12">
        <v>122166.5</v>
      </c>
      <c r="D15" s="20">
        <v>116239</v>
      </c>
      <c r="E15" s="20">
        <f t="shared" si="0"/>
        <v>5927.5</v>
      </c>
      <c r="F15" s="21">
        <f t="shared" si="3"/>
        <v>5.0994072557403278E-2</v>
      </c>
      <c r="G15" s="22">
        <v>124611.564</v>
      </c>
      <c r="H15" s="22">
        <f t="shared" si="1"/>
        <v>-2445.0639999999985</v>
      </c>
      <c r="I15" s="21">
        <f t="shared" si="2"/>
        <v>-1.9621485530829215E-2</v>
      </c>
      <c r="J15" s="11"/>
      <c r="K15" s="11"/>
    </row>
    <row r="16" spans="1:11" ht="15.6">
      <c r="A16" s="30" t="str">
        <v>CA: S Sacramento Wyndham - Citi</v>
      </c>
      <c r="B16" s="31" t="str">
        <v>CA</v>
      </c>
      <c r="C16" s="37">
        <v>59864.25</v>
      </c>
      <c r="D16" s="14">
        <v>63439</v>
      </c>
      <c r="E16" s="14">
        <f t="shared" ref="E16:E22" si="4">IF(AND(ISNUMBER(C16),ISNUMBER(D16)), C16-D16, "")</f>
        <v>-3574.75</v>
      </c>
      <c r="F16" s="38">
        <f t="shared" ref="F16:F22" si="5">IFERROR(E16/D16, "")</f>
        <v>-5.6349406516496163E-2</v>
      </c>
      <c r="G16" s="39">
        <v>60517.139000000003</v>
      </c>
      <c r="H16" s="39">
        <f t="shared" ref="H16:H23" si="6">IF(AND(ISNUMBER(C16),ISNUMBER(G16)), C16-G16, "")</f>
        <v>-652.88900000000285</v>
      </c>
      <c r="I16" s="40">
        <f t="shared" ref="I16:I22" si="7">IFERROR(H16/G16, "")</f>
        <v>-1.0788497453589186E-2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>
        <v>112885.5</v>
      </c>
      <c r="D17" s="20">
        <v>122195</v>
      </c>
      <c r="E17" s="20">
        <f t="shared" si="4"/>
        <v>-9309.5</v>
      </c>
      <c r="F17" s="43">
        <f t="shared" si="5"/>
        <v>-7.6185604975653673E-2</v>
      </c>
      <c r="G17" s="44">
        <v>126300.285</v>
      </c>
      <c r="H17" s="44">
        <f t="shared" si="6"/>
        <v>-13414.785000000003</v>
      </c>
      <c r="I17" s="43">
        <f t="shared" si="7"/>
        <v>-0.10621341828326043</v>
      </c>
      <c r="J17" s="11"/>
      <c r="K17" s="11"/>
    </row>
    <row r="18" spans="1:11" ht="31.9" customHeight="1">
      <c r="A18" s="30" t="str">
        <v>CA: San Jose FHC - Citi</v>
      </c>
      <c r="B18" s="31" t="str">
        <v>CA</v>
      </c>
      <c r="C18" s="37">
        <v>22462.87</v>
      </c>
      <c r="D18" s="14">
        <v>26589</v>
      </c>
      <c r="E18" s="14">
        <f t="shared" si="4"/>
        <v>-4126.130000000001</v>
      </c>
      <c r="F18" s="38">
        <f t="shared" si="5"/>
        <v>-0.15518184211516045</v>
      </c>
      <c r="G18" s="39">
        <v>26197.633999999998</v>
      </c>
      <c r="H18" s="39">
        <f t="shared" si="6"/>
        <v>-3734.7639999999992</v>
      </c>
      <c r="I18" s="40">
        <f t="shared" si="7"/>
        <v>-0.14256111830556911</v>
      </c>
      <c r="J18" s="41" t="s">
        <v>41</v>
      </c>
      <c r="K18" s="41" t="s">
        <v>31</v>
      </c>
    </row>
    <row r="19" spans="1:11" ht="15.6">
      <c r="A19" s="32" t="str">
        <v>CA: San Jose MOB - Citi</v>
      </c>
      <c r="B19" s="33" t="str">
        <v>CA</v>
      </c>
      <c r="C19" s="42">
        <v>35183</v>
      </c>
      <c r="D19" s="20">
        <v>42352</v>
      </c>
      <c r="E19" s="20">
        <f t="shared" si="4"/>
        <v>-7169</v>
      </c>
      <c r="F19" s="43">
        <f t="shared" si="5"/>
        <v>-0.16927181715149225</v>
      </c>
      <c r="G19" s="44">
        <v>42492.879000000001</v>
      </c>
      <c r="H19" s="44">
        <f t="shared" si="6"/>
        <v>-7309.8790000000008</v>
      </c>
      <c r="I19" s="43">
        <f t="shared" si="7"/>
        <v>-0.17202597639948097</v>
      </c>
      <c r="J19" s="57" t="s">
        <v>42</v>
      </c>
      <c r="K19" s="57" t="s">
        <v>43</v>
      </c>
    </row>
    <row r="20" spans="1:11" ht="15.6">
      <c r="A20" s="30" t="str">
        <v>CA: Selma - Citi</v>
      </c>
      <c r="B20" s="31" t="str">
        <v>CA</v>
      </c>
      <c r="C20" s="37">
        <v>24445.75</v>
      </c>
      <c r="D20" s="14">
        <v>23641</v>
      </c>
      <c r="E20" s="14">
        <f t="shared" si="4"/>
        <v>804.75</v>
      </c>
      <c r="F20" s="38">
        <f t="shared" si="5"/>
        <v>3.4040438221733429E-2</v>
      </c>
      <c r="G20" s="39">
        <v>27180.012999999999</v>
      </c>
      <c r="H20" s="39">
        <f t="shared" si="6"/>
        <v>-2734.262999999999</v>
      </c>
      <c r="I20" s="40">
        <f t="shared" si="7"/>
        <v>-0.10059829625541383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153862.75</v>
      </c>
      <c r="D21" s="20">
        <v>158679</v>
      </c>
      <c r="E21" s="20">
        <f t="shared" si="4"/>
        <v>-4816.25</v>
      </c>
      <c r="F21" s="43">
        <f t="shared" si="5"/>
        <v>-3.0352157500362367E-2</v>
      </c>
      <c r="G21" s="44">
        <v>151744.47899999999</v>
      </c>
      <c r="H21" s="44">
        <f t="shared" si="6"/>
        <v>2118.2710000000079</v>
      </c>
      <c r="I21" s="17">
        <f t="shared" si="7"/>
        <v>1.3959460100027811E-2</v>
      </c>
      <c r="J21" s="11"/>
      <c r="K21" s="11"/>
    </row>
    <row r="22" spans="1:11" ht="15.6">
      <c r="A22" s="30" t="str">
        <v>CA: Manteca - KP Manteca Hospital</v>
      </c>
      <c r="B22" s="31" t="str">
        <v>CA</v>
      </c>
      <c r="C22" s="37">
        <v>51649.03</v>
      </c>
      <c r="D22" s="14">
        <v>0</v>
      </c>
      <c r="E22" s="14">
        <f t="shared" si="4"/>
        <v>51649.03</v>
      </c>
      <c r="F22" s="38" t="str">
        <f t="shared" si="5"/>
        <v/>
      </c>
      <c r="G22" s="39">
        <v>54315.002999999997</v>
      </c>
      <c r="H22" s="39">
        <f t="shared" si="6"/>
        <v>-2665.9729999999981</v>
      </c>
      <c r="I22" s="43">
        <f t="shared" si="7"/>
        <v>-4.9083546952947754E-2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44" t="str">
        <f t="shared" si="6"/>
        <v/>
      </c>
      <c r="I23" s="23"/>
      <c r="J23" s="35"/>
      <c r="K23" s="35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" activePane="bottomLeft" state="frozen"/>
      <selection pane="bottomLeft" activeCell="G25" sqref="G2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44</v>
      </c>
      <c r="E1" s="68"/>
      <c r="F1" s="68"/>
      <c r="G1" s="66" t="s">
        <v>45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1721123.8499999999</v>
      </c>
      <c r="D2" s="6">
        <f>SUM(D4:D100)</f>
        <v>1810184.5549999999</v>
      </c>
      <c r="E2" s="6">
        <f>C2-D2</f>
        <v>-89060.705000000075</v>
      </c>
      <c r="F2" s="7">
        <f>IFERROR(E2/D2, 0)</f>
        <v>-4.9199792780245041E-2</v>
      </c>
      <c r="G2" s="6">
        <f>SUM(G4:G100)</f>
        <v>1840250.797</v>
      </c>
      <c r="H2" s="8">
        <f>C2-G2</f>
        <v>-119126.94700000016</v>
      </c>
      <c r="I2" s="7">
        <f>IFERROR(H2/G2, 0)</f>
        <v>-6.473408254690198E-2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14">
        <v>54358</v>
      </c>
      <c r="E4" s="14">
        <f>IF(AND(ISNUMBER(C4),ISNUMBER(D4)), C4-D4, "")</f>
        <v>-17380.5</v>
      </c>
      <c r="F4" s="15">
        <f>IFERROR(E4/D4, "")</f>
        <v>-0.31974134442032454</v>
      </c>
      <c r="G4" s="16">
        <v>38371.790999999997</v>
      </c>
      <c r="H4" s="16">
        <f>IF(AND(ISNUMBER(C4),ISNUMBER(G4)), C4-G4, "")</f>
        <v>-1394.2909999999974</v>
      </c>
      <c r="I4" s="17">
        <f>IFERROR(H4/G4, "")</f>
        <v>-3.6336354484991264E-2</v>
      </c>
      <c r="J4" s="18" t="s">
        <v>46</v>
      </c>
      <c r="K4" s="18" t="s">
        <v>47</v>
      </c>
    </row>
    <row r="5" spans="1:11" ht="15.6">
      <c r="A5" s="32" t="str">
        <v>CA: Antioch MC CUP - Citi</v>
      </c>
      <c r="B5" s="33" t="str">
        <v>CA</v>
      </c>
      <c r="C5" s="12">
        <v>174843.5</v>
      </c>
      <c r="D5" s="20">
        <v>182008</v>
      </c>
      <c r="E5" s="20">
        <f t="shared" ref="E5:E15" si="0">IF(AND(ISNUMBER(C5),ISNUMBER(D5)), C5-D5, "")</f>
        <v>-7164.5</v>
      </c>
      <c r="F5" s="21">
        <f>IFERROR(E5/D5, "")</f>
        <v>-3.9363654344863962E-2</v>
      </c>
      <c r="G5" s="22">
        <v>178765.1</v>
      </c>
      <c r="H5" s="22">
        <f t="shared" ref="H5:H15" si="1">IF(AND(ISNUMBER(C5),ISNUMBER(G5)), C5-G5, "")</f>
        <v>-3921.6000000000058</v>
      </c>
      <c r="I5" s="21">
        <f t="shared" ref="I5:I15" si="2">IFERROR(H5/G5, "")</f>
        <v>-2.1937167825263466E-2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73081.25</v>
      </c>
      <c r="D6" s="14">
        <v>73197</v>
      </c>
      <c r="E6" s="14">
        <f t="shared" si="0"/>
        <v>-115.75</v>
      </c>
      <c r="F6" s="15">
        <f t="shared" ref="F6:F15" si="3">IFERROR(E6/D6, "")</f>
        <v>-1.581348962389169E-3</v>
      </c>
      <c r="G6" s="16">
        <v>82539.160999999993</v>
      </c>
      <c r="H6" s="16">
        <f t="shared" si="1"/>
        <v>-9457.9109999999928</v>
      </c>
      <c r="I6" s="17">
        <f t="shared" si="2"/>
        <v>-0.11458695345837104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108926.5</v>
      </c>
      <c r="D7" s="20">
        <v>116050</v>
      </c>
      <c r="E7" s="20">
        <f t="shared" si="0"/>
        <v>-7123.5</v>
      </c>
      <c r="F7" s="21">
        <f t="shared" si="3"/>
        <v>-6.138302455838001E-2</v>
      </c>
      <c r="G7" s="22">
        <v>116103.14599999999</v>
      </c>
      <c r="H7" s="22">
        <f t="shared" si="1"/>
        <v>-7176.6459999999934</v>
      </c>
      <c r="I7" s="21">
        <f t="shared" si="2"/>
        <v>-6.1812674740096996E-2</v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>
        <v>52479.25</v>
      </c>
      <c r="D8" s="14">
        <v>62631.555</v>
      </c>
      <c r="E8" s="14">
        <f t="shared" si="0"/>
        <v>-10152.305</v>
      </c>
      <c r="F8" s="15">
        <f t="shared" si="3"/>
        <v>-0.16209568802818325</v>
      </c>
      <c r="G8" s="16">
        <v>63890.260999999999</v>
      </c>
      <c r="H8" s="16">
        <f t="shared" si="1"/>
        <v>-11411.010999999999</v>
      </c>
      <c r="I8" s="17">
        <f t="shared" si="2"/>
        <v>-0.17860329291814911</v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>
        <v>129193.5</v>
      </c>
      <c r="D9" s="20">
        <v>128257</v>
      </c>
      <c r="E9" s="20">
        <f t="shared" si="0"/>
        <v>936.5</v>
      </c>
      <c r="F9" s="21">
        <f t="shared" si="3"/>
        <v>7.3017457136842438E-3</v>
      </c>
      <c r="G9" s="22">
        <v>134778.97500000001</v>
      </c>
      <c r="H9" s="22">
        <f t="shared" si="1"/>
        <v>-5585.4750000000058</v>
      </c>
      <c r="I9" s="21">
        <f t="shared" si="2"/>
        <v>-4.1441738223636185E-2</v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>
        <v>50378.87</v>
      </c>
      <c r="D10" s="14">
        <v>52087</v>
      </c>
      <c r="E10" s="14">
        <f t="shared" si="0"/>
        <v>-1708.1299999999974</v>
      </c>
      <c r="F10" s="15">
        <f t="shared" si="3"/>
        <v>-3.2793787317372806E-2</v>
      </c>
      <c r="G10" s="16">
        <v>50700.150999999998</v>
      </c>
      <c r="H10" s="16">
        <f t="shared" si="1"/>
        <v>-321.2809999999954</v>
      </c>
      <c r="I10" s="17">
        <f t="shared" si="2"/>
        <v>-6.3368844798903142E-3</v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>
        <v>29849.25</v>
      </c>
      <c r="D11" s="20">
        <v>30872</v>
      </c>
      <c r="E11" s="20">
        <f t="shared" si="0"/>
        <v>-1022.75</v>
      </c>
      <c r="F11" s="21">
        <f t="shared" si="3"/>
        <v>-3.3128725058305261E-2</v>
      </c>
      <c r="G11" s="22">
        <v>31231.567999999999</v>
      </c>
      <c r="H11" s="22">
        <f t="shared" si="1"/>
        <v>-1382.3179999999993</v>
      </c>
      <c r="I11" s="21">
        <f t="shared" si="2"/>
        <v>-4.4260281776438481E-2</v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>
        <v>30269.13</v>
      </c>
      <c r="D12" s="14">
        <v>36298</v>
      </c>
      <c r="E12" s="14">
        <f t="shared" si="0"/>
        <v>-6028.869999999999</v>
      </c>
      <c r="F12" s="15">
        <f t="shared" si="3"/>
        <v>-0.16609372417213067</v>
      </c>
      <c r="G12" s="16">
        <v>35866</v>
      </c>
      <c r="H12" s="16">
        <f t="shared" si="1"/>
        <v>-5596.869999999999</v>
      </c>
      <c r="I12" s="17">
        <f t="shared" si="2"/>
        <v>-0.15604946188590862</v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>
        <v>75219.25</v>
      </c>
      <c r="D13" s="20">
        <v>80078</v>
      </c>
      <c r="E13" s="20">
        <f t="shared" si="0"/>
        <v>-4858.75</v>
      </c>
      <c r="F13" s="21">
        <f t="shared" si="3"/>
        <v>-6.0675216663752841E-2</v>
      </c>
      <c r="G13" s="22">
        <v>83877.506999999998</v>
      </c>
      <c r="H13" s="22">
        <f t="shared" si="1"/>
        <v>-8658.2569999999978</v>
      </c>
      <c r="I13" s="21">
        <f t="shared" si="2"/>
        <v>-0.1032250159747833</v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>
        <v>95200.5</v>
      </c>
      <c r="D14" s="14">
        <v>118899</v>
      </c>
      <c r="E14" s="14">
        <f t="shared" si="0"/>
        <v>-23698.5</v>
      </c>
      <c r="F14" s="15">
        <f t="shared" si="3"/>
        <v>-0.19931622637700905</v>
      </c>
      <c r="G14" s="16">
        <v>111680.927</v>
      </c>
      <c r="H14" s="16">
        <f t="shared" si="1"/>
        <v>-16480.426999999996</v>
      </c>
      <c r="I14" s="17">
        <f t="shared" si="2"/>
        <v>-0.14756706845744572</v>
      </c>
      <c r="J14" s="18" t="s">
        <v>48</v>
      </c>
      <c r="K14" s="18" t="s">
        <v>49</v>
      </c>
    </row>
    <row r="15" spans="1:11" ht="15.6">
      <c r="A15" s="32" t="str">
        <v>CA: Rancho Cordova - Citi</v>
      </c>
      <c r="B15" s="33" t="str">
        <v>CA</v>
      </c>
      <c r="C15" s="12">
        <v>166446</v>
      </c>
      <c r="D15" s="20">
        <v>170024</v>
      </c>
      <c r="E15" s="20">
        <f t="shared" si="0"/>
        <v>-3578</v>
      </c>
      <c r="F15" s="21">
        <f t="shared" si="3"/>
        <v>-2.1044087893473864E-2</v>
      </c>
      <c r="G15" s="22">
        <v>171534.098</v>
      </c>
      <c r="H15" s="22">
        <f t="shared" si="1"/>
        <v>-5088.0979999999981</v>
      </c>
      <c r="I15" s="21">
        <f t="shared" si="2"/>
        <v>-2.9662312387593037E-2</v>
      </c>
      <c r="J15" s="57" t="s">
        <v>50</v>
      </c>
      <c r="K15" s="60" t="s">
        <v>51</v>
      </c>
    </row>
    <row r="16" spans="1:11" ht="15.6">
      <c r="A16" s="30" t="str">
        <v>CA: S Sacramento Wyndham - Citi</v>
      </c>
      <c r="B16" s="31" t="str">
        <v>CA</v>
      </c>
      <c r="C16" s="37">
        <v>91886.5</v>
      </c>
      <c r="D16" s="14">
        <v>99985</v>
      </c>
      <c r="E16" s="14">
        <f t="shared" ref="E16:E22" si="4">IF(AND(ISNUMBER(C16),ISNUMBER(D16)), C16-D16, "")</f>
        <v>-8098.5</v>
      </c>
      <c r="F16" s="38">
        <f t="shared" ref="F16:F22" si="5">IFERROR(E16/D16, "")</f>
        <v>-8.0997149572435867E-2</v>
      </c>
      <c r="G16" s="39">
        <v>94876.225000000006</v>
      </c>
      <c r="H16" s="39">
        <f t="shared" ref="H16:H22" si="6">IF(AND(ISNUMBER(C16),ISNUMBER(G16)), C16-G16, "")</f>
        <v>-2989.7250000000058</v>
      </c>
      <c r="I16" s="40">
        <f t="shared" ref="I16:I22" si="7">IFERROR(H16/G16, "")</f>
        <v>-3.1511846092105854E-2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>
        <v>165597.5</v>
      </c>
      <c r="D17" s="20">
        <v>191796</v>
      </c>
      <c r="E17" s="20">
        <f t="shared" si="4"/>
        <v>-26198.5</v>
      </c>
      <c r="F17" s="43">
        <f t="shared" si="5"/>
        <v>-0.13659565371540594</v>
      </c>
      <c r="G17" s="44">
        <v>188879.234</v>
      </c>
      <c r="H17" s="44">
        <f t="shared" si="6"/>
        <v>-23281.733999999997</v>
      </c>
      <c r="I17" s="43">
        <f t="shared" si="7"/>
        <v>-0.1232625392794636</v>
      </c>
      <c r="J17" s="57" t="s">
        <v>52</v>
      </c>
      <c r="K17" s="60" t="s">
        <v>53</v>
      </c>
    </row>
    <row r="18" spans="1:11" ht="12.75" customHeight="1">
      <c r="A18" s="30" t="str">
        <v>CA: San Jose FHC - Citi</v>
      </c>
      <c r="B18" s="31" t="str">
        <v>CA</v>
      </c>
      <c r="C18" s="37">
        <v>33601.25</v>
      </c>
      <c r="D18" s="14">
        <v>43230</v>
      </c>
      <c r="E18" s="14">
        <f t="shared" si="4"/>
        <v>-9628.75</v>
      </c>
      <c r="F18" s="38">
        <f t="shared" si="5"/>
        <v>-0.22273305574832292</v>
      </c>
      <c r="G18" s="39">
        <v>37487.326000000001</v>
      </c>
      <c r="H18" s="39">
        <f t="shared" si="6"/>
        <v>-3886.0760000000009</v>
      </c>
      <c r="I18" s="40">
        <f t="shared" si="7"/>
        <v>-0.1036637289093386</v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>
        <v>51349.25</v>
      </c>
      <c r="D19" s="20">
        <v>68114</v>
      </c>
      <c r="E19" s="20">
        <f t="shared" si="4"/>
        <v>-16764.75</v>
      </c>
      <c r="F19" s="43">
        <f t="shared" si="5"/>
        <v>-0.24612781513345275</v>
      </c>
      <c r="G19" s="44">
        <v>60535.65</v>
      </c>
      <c r="H19" s="44">
        <f t="shared" si="6"/>
        <v>-9186.4000000000015</v>
      </c>
      <c r="I19" s="43">
        <f t="shared" si="7"/>
        <v>-0.15175190156544122</v>
      </c>
      <c r="J19" s="11"/>
      <c r="K19" s="19"/>
    </row>
    <row r="20" spans="1:11" ht="15.6">
      <c r="A20" s="30" t="str">
        <v>CA: Selma - Citi</v>
      </c>
      <c r="B20" s="31" t="str">
        <v>CA</v>
      </c>
      <c r="C20" s="37">
        <v>37586.879999999997</v>
      </c>
      <c r="D20" s="14">
        <v>37834</v>
      </c>
      <c r="E20" s="14">
        <f t="shared" si="4"/>
        <v>-247.12000000000262</v>
      </c>
      <c r="F20" s="38">
        <f t="shared" si="5"/>
        <v>-6.5316910715230384E-3</v>
      </c>
      <c r="G20" s="39">
        <v>41097.076999999997</v>
      </c>
      <c r="H20" s="39">
        <f t="shared" si="6"/>
        <v>-3510.1970000000001</v>
      </c>
      <c r="I20" s="40">
        <f t="shared" si="7"/>
        <v>-8.5412327499593224E-2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240408.5</v>
      </c>
      <c r="D21" s="20">
        <v>264466</v>
      </c>
      <c r="E21" s="20">
        <f t="shared" si="4"/>
        <v>-24057.5</v>
      </c>
      <c r="F21" s="43">
        <f t="shared" si="5"/>
        <v>-9.0966324593709583E-2</v>
      </c>
      <c r="G21" s="44">
        <v>238400.99799999999</v>
      </c>
      <c r="H21" s="44">
        <f t="shared" si="6"/>
        <v>2007.5020000000077</v>
      </c>
      <c r="I21" s="43">
        <f t="shared" si="7"/>
        <v>8.4206946147096576E-3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>
        <v>77829.47</v>
      </c>
      <c r="D22" s="14">
        <v>0</v>
      </c>
      <c r="E22" s="14">
        <f t="shared" si="4"/>
        <v>77829.47</v>
      </c>
      <c r="F22" s="38" t="str">
        <f t="shared" si="5"/>
        <v/>
      </c>
      <c r="G22" s="39">
        <v>79635.601999999999</v>
      </c>
      <c r="H22" s="39">
        <f t="shared" si="6"/>
        <v>-1806.1319999999978</v>
      </c>
      <c r="I22" s="40">
        <f t="shared" si="7"/>
        <v>-2.2679956635475649E-2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tabSelected="1" workbookViewId="0">
      <pane ySplit="2" topLeftCell="A3" activePane="bottomLeft" state="frozen"/>
      <selection pane="bottomLeft" activeCell="O13" sqref="O1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54</v>
      </c>
      <c r="E1" s="68"/>
      <c r="F1" s="68"/>
      <c r="G1" s="66" t="s">
        <v>55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2211322.0399999996</v>
      </c>
      <c r="D2" s="6">
        <f>SUM(D4:D100)</f>
        <v>2229750.719</v>
      </c>
      <c r="E2" s="6">
        <f>C2-D2</f>
        <v>-18428.679000000469</v>
      </c>
      <c r="F2" s="7">
        <f>IFERROR(E2/D2, 0)</f>
        <v>-8.2649055084800579E-3</v>
      </c>
      <c r="G2" s="6">
        <f>SUM(G4:G100)</f>
        <v>2387855.8090000004</v>
      </c>
      <c r="H2" s="8">
        <f>C2-G2</f>
        <v>-176533.76900000079</v>
      </c>
      <c r="I2" s="7">
        <f>IFERROR(H2/G2, 0)</f>
        <v>-7.3929827896069902E-2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14">
        <v>64700</v>
      </c>
      <c r="E4" s="14">
        <f>IF(AND(ISNUMBER(C4),ISNUMBER(D4)), C4-D4, "")</f>
        <v>-2197.75</v>
      </c>
      <c r="F4" s="15">
        <f>IFERROR(E4/D4, "")</f>
        <v>-3.3968315301391036E-2</v>
      </c>
      <c r="G4" s="16">
        <v>67484.096000000005</v>
      </c>
      <c r="H4" s="16">
        <f>IF(AND(ISNUMBER(C4),ISNUMBER(G4)), C4-G4, "")</f>
        <v>-4981.846000000005</v>
      </c>
      <c r="I4" s="17">
        <f>IFERROR(H4/G4, "")</f>
        <v>-7.3822519605211939E-2</v>
      </c>
      <c r="J4" s="18" t="s">
        <v>56</v>
      </c>
      <c r="K4" s="18" t="s">
        <v>57</v>
      </c>
    </row>
    <row r="5" spans="1:11" ht="15.6">
      <c r="A5" s="32" t="str">
        <v>CA: Antioch MC CUP - Citi</v>
      </c>
      <c r="B5" s="33" t="str">
        <v>CA</v>
      </c>
      <c r="C5" s="12">
        <v>221879</v>
      </c>
      <c r="D5" s="20">
        <v>219865</v>
      </c>
      <c r="E5" s="20">
        <f t="shared" ref="E5:E15" si="0">IF(AND(ISNUMBER(C5),ISNUMBER(D5)), C5-D5, "")</f>
        <v>2014</v>
      </c>
      <c r="F5" s="21">
        <f>IFERROR(E5/D5, "")</f>
        <v>9.1601664657858239E-3</v>
      </c>
      <c r="G5" s="22">
        <v>226738.63099999999</v>
      </c>
      <c r="H5" s="22">
        <f t="shared" ref="H5:H15" si="1">IF(AND(ISNUMBER(C5),ISNUMBER(G5)), C5-G5, "")</f>
        <v>-4859.6309999999939</v>
      </c>
      <c r="I5" s="21">
        <f t="shared" ref="I5:I15" si="2">IFERROR(H5/G5, "")</f>
        <v>-2.1432743853869323E-2</v>
      </c>
      <c r="J5" s="61"/>
      <c r="K5" s="19"/>
    </row>
    <row r="6" spans="1:11" ht="15.6">
      <c r="A6" s="30" t="str">
        <v>CA: Clovis - Citi</v>
      </c>
      <c r="B6" s="31" t="str">
        <v>CA</v>
      </c>
      <c r="C6" s="26">
        <v>91839.5</v>
      </c>
      <c r="D6" s="14">
        <v>94619</v>
      </c>
      <c r="E6" s="14">
        <f t="shared" si="0"/>
        <v>-2779.5</v>
      </c>
      <c r="F6" s="15">
        <f t="shared" ref="F6:F15" si="3">IFERROR(E6/D6, "")</f>
        <v>-2.9375706781935976E-2</v>
      </c>
      <c r="G6" s="16">
        <v>96503.218999999997</v>
      </c>
      <c r="H6" s="16">
        <f t="shared" si="1"/>
        <v>-4663.7189999999973</v>
      </c>
      <c r="I6" s="17">
        <f t="shared" si="2"/>
        <v>-4.832708222924665E-2</v>
      </c>
      <c r="J6" s="18"/>
      <c r="K6" s="18"/>
    </row>
    <row r="7" spans="1:11" ht="15.6">
      <c r="A7" s="32" t="str">
        <v>CA: Elk Grove MOB - Citi</v>
      </c>
      <c r="B7" s="33" t="str">
        <v>CA</v>
      </c>
      <c r="C7" s="12">
        <v>145618</v>
      </c>
      <c r="D7" s="20">
        <v>144278</v>
      </c>
      <c r="E7" s="20">
        <f t="shared" si="0"/>
        <v>1340</v>
      </c>
      <c r="F7" s="21">
        <f t="shared" si="3"/>
        <v>9.2876252789753123E-3</v>
      </c>
      <c r="G7" s="22">
        <v>150577.356</v>
      </c>
      <c r="H7" s="22">
        <f t="shared" si="1"/>
        <v>-4959.3559999999998</v>
      </c>
      <c r="I7" s="21">
        <f t="shared" si="2"/>
        <v>-3.2935602880422472E-2</v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>
        <v>75083</v>
      </c>
      <c r="D8" s="14">
        <v>76843.718999999997</v>
      </c>
      <c r="E8" s="14">
        <f t="shared" si="0"/>
        <v>-1760.7189999999973</v>
      </c>
      <c r="F8" s="15">
        <f t="shared" si="3"/>
        <v>-2.2912985249972054E-2</v>
      </c>
      <c r="G8" s="16">
        <v>79394.687999999995</v>
      </c>
      <c r="H8" s="16">
        <f t="shared" si="1"/>
        <v>-4311.6879999999946</v>
      </c>
      <c r="I8" s="17">
        <f t="shared" si="2"/>
        <v>-5.4307008549488792E-2</v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>
        <v>153497</v>
      </c>
      <c r="D9" s="20">
        <v>161355</v>
      </c>
      <c r="E9" s="20">
        <f t="shared" si="0"/>
        <v>-7858</v>
      </c>
      <c r="F9" s="21">
        <f t="shared" si="3"/>
        <v>-4.8700071271420162E-2</v>
      </c>
      <c r="G9" s="22">
        <v>159164.07800000001</v>
      </c>
      <c r="H9" s="22">
        <f t="shared" si="1"/>
        <v>-5667.0780000000086</v>
      </c>
      <c r="I9" s="21">
        <f t="shared" si="2"/>
        <v>-3.5605257613467334E-2</v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>
        <v>60510.13</v>
      </c>
      <c r="D10" s="14">
        <v>66181</v>
      </c>
      <c r="E10" s="14">
        <f t="shared" si="0"/>
        <v>-5670.8700000000026</v>
      </c>
      <c r="F10" s="15">
        <f t="shared" si="3"/>
        <v>-8.5687281848264643E-2</v>
      </c>
      <c r="G10" s="16">
        <v>60075.309000000001</v>
      </c>
      <c r="H10" s="16">
        <f t="shared" si="1"/>
        <v>434.82099999999627</v>
      </c>
      <c r="I10" s="17">
        <f t="shared" si="2"/>
        <v>7.2379319763464928E-3</v>
      </c>
      <c r="J10" s="18" t="s">
        <v>40</v>
      </c>
      <c r="K10" s="18"/>
    </row>
    <row r="11" spans="1:11" ht="15.6">
      <c r="A11" s="32" t="str">
        <v>CA: Modesto Bangs - Citi</v>
      </c>
      <c r="B11" s="33" t="str">
        <v>CA</v>
      </c>
      <c r="C11" s="12">
        <v>37677.379999999997</v>
      </c>
      <c r="D11" s="20">
        <v>45983</v>
      </c>
      <c r="E11" s="20">
        <f t="shared" si="0"/>
        <v>-8305.6200000000026</v>
      </c>
      <c r="F11" s="21">
        <f t="shared" si="3"/>
        <v>-0.18062370876193382</v>
      </c>
      <c r="G11" s="22">
        <v>39150.417999999998</v>
      </c>
      <c r="H11" s="22">
        <f t="shared" si="1"/>
        <v>-1473.0380000000005</v>
      </c>
      <c r="I11" s="21">
        <f t="shared" si="2"/>
        <v>-3.7625089979882224E-2</v>
      </c>
      <c r="J11" s="11"/>
      <c r="K11" s="19"/>
    </row>
    <row r="12" spans="1:11" ht="28.9">
      <c r="A12" s="30" t="str">
        <v>CA: Napa Data Center - Citi</v>
      </c>
      <c r="B12" s="31" t="str">
        <v>CA</v>
      </c>
      <c r="C12" s="26">
        <v>31030</v>
      </c>
      <c r="D12" s="14">
        <v>44146</v>
      </c>
      <c r="E12" s="14">
        <f t="shared" si="0"/>
        <v>-13116</v>
      </c>
      <c r="F12" s="15">
        <f t="shared" si="3"/>
        <v>-0.29710506048113078</v>
      </c>
      <c r="G12" s="16">
        <v>35666.853000000003</v>
      </c>
      <c r="H12" s="16">
        <f t="shared" si="1"/>
        <v>-4636.8530000000028</v>
      </c>
      <c r="I12" s="17">
        <f t="shared" si="2"/>
        <v>-0.13000454511644194</v>
      </c>
      <c r="J12" s="18" t="s">
        <v>58</v>
      </c>
      <c r="K12" s="63" t="s">
        <v>59</v>
      </c>
    </row>
    <row r="13" spans="1:11" ht="15.6">
      <c r="A13" s="32" t="str">
        <v>CA: Petaluma MOB - Citi</v>
      </c>
      <c r="B13" s="33" t="str">
        <v>CA</v>
      </c>
      <c r="C13" s="12">
        <v>95155.5</v>
      </c>
      <c r="D13" s="20">
        <v>102132</v>
      </c>
      <c r="E13" s="20">
        <f t="shared" si="0"/>
        <v>-6976.5</v>
      </c>
      <c r="F13" s="21">
        <f t="shared" si="3"/>
        <v>-6.8308659381976264E-2</v>
      </c>
      <c r="G13" s="22">
        <v>105431.193</v>
      </c>
      <c r="H13" s="22">
        <f t="shared" si="1"/>
        <v>-10275.692999999999</v>
      </c>
      <c r="I13" s="21">
        <f t="shared" si="2"/>
        <v>-9.7463499251118205E-2</v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>
        <v>123761.5</v>
      </c>
      <c r="D14" s="14">
        <v>144905</v>
      </c>
      <c r="E14" s="14">
        <f t="shared" si="0"/>
        <v>-21143.5</v>
      </c>
      <c r="F14" s="15">
        <f t="shared" si="3"/>
        <v>-0.14591283944653394</v>
      </c>
      <c r="G14" s="16">
        <v>146238.96299999999</v>
      </c>
      <c r="H14" s="16">
        <f t="shared" si="1"/>
        <v>-22477.462999999989</v>
      </c>
      <c r="I14" s="17">
        <f t="shared" si="2"/>
        <v>-0.15370365420329185</v>
      </c>
      <c r="J14" s="18" t="s">
        <v>60</v>
      </c>
      <c r="K14" s="63" t="s">
        <v>61</v>
      </c>
    </row>
    <row r="15" spans="1:11" ht="15.6">
      <c r="A15" s="32" t="str">
        <v>CA: Rancho Cordova - Citi</v>
      </c>
      <c r="B15" s="33" t="str">
        <v>CA</v>
      </c>
      <c r="C15" s="12">
        <v>204774</v>
      </c>
      <c r="D15" s="20">
        <v>200167</v>
      </c>
      <c r="E15" s="20">
        <f t="shared" si="0"/>
        <v>4607</v>
      </c>
      <c r="F15" s="21">
        <f t="shared" si="3"/>
        <v>2.3015781822178481E-2</v>
      </c>
      <c r="G15" s="22">
        <v>216950.073</v>
      </c>
      <c r="H15" s="22">
        <f t="shared" si="1"/>
        <v>-12176.073000000004</v>
      </c>
      <c r="I15" s="21">
        <f t="shared" si="2"/>
        <v>-5.6123848365794302E-2</v>
      </c>
      <c r="J15" s="61" t="s">
        <v>62</v>
      </c>
      <c r="K15" s="62" t="s">
        <v>63</v>
      </c>
    </row>
    <row r="16" spans="1:11" ht="15.6">
      <c r="A16" s="30" t="str">
        <v>CA: S Sacramento Wyndham - Citi</v>
      </c>
      <c r="B16" s="31" t="str">
        <v>CA</v>
      </c>
      <c r="C16" s="26">
        <v>122802</v>
      </c>
      <c r="D16" s="14">
        <v>121854</v>
      </c>
      <c r="E16" s="14">
        <f t="shared" ref="E16:E22" si="4">IF(AND(ISNUMBER(C16),ISNUMBER(D16)), C16-D16, "")</f>
        <v>948</v>
      </c>
      <c r="F16" s="38">
        <f t="shared" ref="F16:F22" si="5">IFERROR(E16/D16, "")</f>
        <v>7.7798020582007981E-3</v>
      </c>
      <c r="G16" s="16">
        <v>121199.493</v>
      </c>
      <c r="H16" s="39">
        <f t="shared" ref="H16:H22" si="6">IF(AND(ISNUMBER(C16),ISNUMBER(G16)), C16-G16, "")</f>
        <v>1602.5069999999978</v>
      </c>
      <c r="I16" s="40">
        <f t="shared" ref="I16:I22" si="7">IFERROR(H16/G16, "")</f>
        <v>1.3222060260598596E-2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12">
        <v>218060</v>
      </c>
      <c r="D17" s="20">
        <v>238931</v>
      </c>
      <c r="E17" s="20">
        <f t="shared" si="4"/>
        <v>-20871</v>
      </c>
      <c r="F17" s="43">
        <f t="shared" si="5"/>
        <v>-8.7351578489187259E-2</v>
      </c>
      <c r="G17" s="22">
        <v>250283.52600000001</v>
      </c>
      <c r="H17" s="44">
        <f t="shared" si="6"/>
        <v>-32223.526000000013</v>
      </c>
      <c r="I17" s="43">
        <f t="shared" si="7"/>
        <v>-0.12874809027582587</v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26">
        <v>45501.75</v>
      </c>
      <c r="D18" s="14">
        <v>50719</v>
      </c>
      <c r="E18" s="14">
        <f t="shared" si="4"/>
        <v>-5217.25</v>
      </c>
      <c r="F18" s="38">
        <f t="shared" si="5"/>
        <v>-0.1028657899406534</v>
      </c>
      <c r="G18" s="16">
        <v>49915.099000000002</v>
      </c>
      <c r="H18" s="39">
        <f t="shared" si="6"/>
        <v>-4413.349000000002</v>
      </c>
      <c r="I18" s="40">
        <f t="shared" si="7"/>
        <v>-8.8417114027961791E-2</v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12">
        <v>70757.75</v>
      </c>
      <c r="D19" s="20">
        <v>79511</v>
      </c>
      <c r="E19" s="20">
        <f t="shared" si="4"/>
        <v>-8753.25</v>
      </c>
      <c r="F19" s="43">
        <f t="shared" si="5"/>
        <v>-0.11008854120813473</v>
      </c>
      <c r="G19" s="22">
        <v>82585.209000000003</v>
      </c>
      <c r="H19" s="44">
        <f t="shared" si="6"/>
        <v>-11827.459000000003</v>
      </c>
      <c r="I19" s="43">
        <f t="shared" si="7"/>
        <v>-0.14321522150534247</v>
      </c>
      <c r="J19" s="11"/>
      <c r="K19" s="19"/>
    </row>
    <row r="20" spans="1:11" ht="15.6">
      <c r="A20" s="30" t="str">
        <v>CA: Selma - Citi</v>
      </c>
      <c r="B20" s="31" t="str">
        <v>CA</v>
      </c>
      <c r="C20" s="26">
        <v>46182.75</v>
      </c>
      <c r="D20" s="14">
        <v>49047</v>
      </c>
      <c r="E20" s="14">
        <f t="shared" si="4"/>
        <v>-2864.25</v>
      </c>
      <c r="F20" s="38">
        <f t="shared" si="5"/>
        <v>-5.8398067160070954E-2</v>
      </c>
      <c r="G20" s="16">
        <v>48660.5</v>
      </c>
      <c r="H20" s="39">
        <f t="shared" si="6"/>
        <v>-2477.75</v>
      </c>
      <c r="I20" s="40">
        <f t="shared" si="7"/>
        <v>-5.0919123313570555E-2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12">
        <v>307394</v>
      </c>
      <c r="D21" s="20">
        <v>324514</v>
      </c>
      <c r="E21" s="20">
        <f t="shared" si="4"/>
        <v>-17120</v>
      </c>
      <c r="F21" s="43">
        <f t="shared" si="5"/>
        <v>-5.2755813308516739E-2</v>
      </c>
      <c r="G21" s="22">
        <v>357482.12199999997</v>
      </c>
      <c r="H21" s="44">
        <f t="shared" si="6"/>
        <v>-50088.121999999974</v>
      </c>
      <c r="I21" s="43">
        <f t="shared" si="7"/>
        <v>-0.14011364182290487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26">
        <v>97296.53</v>
      </c>
      <c r="D22" s="14">
        <v>0</v>
      </c>
      <c r="E22" s="14">
        <f t="shared" si="4"/>
        <v>97296.53</v>
      </c>
      <c r="F22" s="38" t="str">
        <f t="shared" si="5"/>
        <v/>
      </c>
      <c r="G22" s="16">
        <v>94354.982999999993</v>
      </c>
      <c r="H22" s="39">
        <f t="shared" si="6"/>
        <v>2941.5470000000059</v>
      </c>
      <c r="I22" s="40">
        <f t="shared" si="7"/>
        <v>3.1175322240267971E-2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topLeftCell="B1" workbookViewId="0">
      <pane ySplit="2" topLeftCell="A3" activePane="bottomLeft" state="frozen"/>
      <selection pane="bottomLeft" activeCell="K1" sqref="K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64</v>
      </c>
      <c r="E1" s="68"/>
      <c r="F1" s="68"/>
      <c r="G1" s="66" t="s">
        <v>65</v>
      </c>
      <c r="H1" s="66"/>
      <c r="I1" s="66"/>
      <c r="J1" s="5"/>
      <c r="K1" s="65" t="s">
        <v>66</v>
      </c>
    </row>
    <row r="2" spans="1:11" ht="19.5" customHeight="1">
      <c r="A2" s="69" t="s">
        <v>2</v>
      </c>
      <c r="B2" s="69"/>
      <c r="C2" s="6">
        <f>SUM(C4:C100)</f>
        <v>2707257.21</v>
      </c>
      <c r="D2" s="6">
        <f>SUM(D4:D100)</f>
        <v>2638371.5</v>
      </c>
      <c r="E2" s="6">
        <f>C2-D2</f>
        <v>68885.709999999963</v>
      </c>
      <c r="F2" s="7">
        <f>IFERROR(E2/D2, 0)</f>
        <v>2.6109177574120991E-2</v>
      </c>
      <c r="G2" s="6">
        <f>SUM(G4:G100)</f>
        <v>2970779.139</v>
      </c>
      <c r="H2" s="8">
        <f>C2-G2</f>
        <v>-263521.929</v>
      </c>
      <c r="I2" s="7">
        <f>IFERROR(H2/G2, 0)</f>
        <v>-8.8704651766440185E-2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14">
        <v>74083</v>
      </c>
      <c r="E4" s="14">
        <f>IF(AND(ISNUMBER(C4),ISNUMBER(D4)), C4-D4, "")</f>
        <v>3379.25</v>
      </c>
      <c r="F4" s="15">
        <f>IFERROR(E4/D4, "")</f>
        <v>4.5614378467394676E-2</v>
      </c>
      <c r="G4" s="16">
        <v>84214.240999999995</v>
      </c>
      <c r="H4" s="16">
        <f>IF(AND(ISNUMBER(C4),ISNUMBER(G4)), C4-G4, "")</f>
        <v>-6751.9909999999945</v>
      </c>
      <c r="I4" s="17">
        <f>IFERROR(H4/G4, "")</f>
        <v>-8.0176356395588663E-2</v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>
        <v>272662.5</v>
      </c>
      <c r="D5" s="20">
        <v>253074</v>
      </c>
      <c r="E5" s="20">
        <f t="shared" ref="E5:E15" si="0">IF(AND(ISNUMBER(C5),ISNUMBER(D5)), C5-D5, "")</f>
        <v>19588.5</v>
      </c>
      <c r="F5" s="21">
        <f>IFERROR(E5/D5, "")</f>
        <v>7.7402261789041943E-2</v>
      </c>
      <c r="G5" s="22">
        <v>284824.228</v>
      </c>
      <c r="H5" s="22">
        <f t="shared" ref="H5:H15" si="1">IF(AND(ISNUMBER(C5),ISNUMBER(G5)), C5-G5, "")</f>
        <v>-12161.728000000003</v>
      </c>
      <c r="I5" s="21">
        <f t="shared" ref="I5:I15" si="2">IFERROR(H5/G5, "")</f>
        <v>-4.2699064210225832E-2</v>
      </c>
      <c r="J5" s="11"/>
      <c r="K5" s="19"/>
    </row>
    <row r="6" spans="1:11" ht="15.6">
      <c r="A6" s="30" t="str">
        <v>CA: Clovis - Citi</v>
      </c>
      <c r="B6" s="31" t="str">
        <v>CA</v>
      </c>
      <c r="C6" s="26">
        <v>114407</v>
      </c>
      <c r="D6" s="14">
        <v>105858</v>
      </c>
      <c r="E6" s="14">
        <f t="shared" si="0"/>
        <v>8549</v>
      </c>
      <c r="F6" s="15">
        <f t="shared" ref="F6:F15" si="3">IFERROR(E6/D6, "")</f>
        <v>8.0759130155491313E-2</v>
      </c>
      <c r="G6" s="16">
        <v>116144.681</v>
      </c>
      <c r="H6" s="16">
        <f t="shared" si="1"/>
        <v>-1737.6809999999969</v>
      </c>
      <c r="I6" s="17">
        <f t="shared" si="2"/>
        <v>-1.4961348079297724E-2</v>
      </c>
      <c r="J6" s="18" t="s">
        <v>67</v>
      </c>
      <c r="K6" s="18" t="s">
        <v>68</v>
      </c>
    </row>
    <row r="7" spans="1:11" ht="15.6">
      <c r="A7" s="32" t="str">
        <v>CA: Elk Grove MOB - Citi</v>
      </c>
      <c r="B7" s="33" t="str">
        <v>CA</v>
      </c>
      <c r="C7" s="12">
        <v>183481</v>
      </c>
      <c r="D7" s="20">
        <v>180446</v>
      </c>
      <c r="E7" s="20">
        <f t="shared" si="0"/>
        <v>3035</v>
      </c>
      <c r="F7" s="21">
        <f t="shared" si="3"/>
        <v>1.6819436285647783E-2</v>
      </c>
      <c r="G7" s="22">
        <v>187871.61600000001</v>
      </c>
      <c r="H7" s="22">
        <f t="shared" si="1"/>
        <v>-4390.6160000000091</v>
      </c>
      <c r="I7" s="21">
        <f t="shared" si="2"/>
        <v>-2.3370299854130222E-2</v>
      </c>
      <c r="J7" s="11"/>
      <c r="K7" s="11"/>
    </row>
    <row r="8" spans="1:11" ht="15.6">
      <c r="A8" s="30" t="str">
        <v>CA: Elk Grove Promenade - Citi</v>
      </c>
      <c r="B8" s="31" t="str">
        <v>CA</v>
      </c>
      <c r="C8" s="26">
        <v>92595</v>
      </c>
      <c r="D8" s="14">
        <v>95074.5</v>
      </c>
      <c r="E8" s="14">
        <f t="shared" si="0"/>
        <v>-2479.5</v>
      </c>
      <c r="F8" s="15">
        <f t="shared" si="3"/>
        <v>-2.6079548143824054E-2</v>
      </c>
      <c r="G8" s="16">
        <v>98927.736999999994</v>
      </c>
      <c r="H8" s="16">
        <f t="shared" si="1"/>
        <v>-6332.7369999999937</v>
      </c>
      <c r="I8" s="17">
        <f t="shared" si="2"/>
        <v>-6.4013765926941135E-2</v>
      </c>
      <c r="J8" s="18" t="s">
        <v>69</v>
      </c>
      <c r="K8" s="18" t="s">
        <v>70</v>
      </c>
    </row>
    <row r="9" spans="1:11" ht="15.6">
      <c r="A9" s="32" t="str">
        <v>CA: Fresno Sequioa - Citi</v>
      </c>
      <c r="B9" s="33" t="str">
        <v>CA</v>
      </c>
      <c r="C9" s="12">
        <v>190314</v>
      </c>
      <c r="D9" s="20">
        <v>179087</v>
      </c>
      <c r="E9" s="20">
        <f t="shared" si="0"/>
        <v>11227</v>
      </c>
      <c r="F9" s="21">
        <f t="shared" si="3"/>
        <v>6.2690200852099823E-2</v>
      </c>
      <c r="G9" s="22">
        <v>194677.74400000001</v>
      </c>
      <c r="H9" s="22">
        <f t="shared" si="1"/>
        <v>-4363.7440000000061</v>
      </c>
      <c r="I9" s="21">
        <f t="shared" si="2"/>
        <v>-2.241521763268433E-2</v>
      </c>
      <c r="J9" s="11"/>
      <c r="K9" s="11"/>
    </row>
    <row r="10" spans="1:11" ht="15.6">
      <c r="A10" s="30" t="str">
        <v>CA: Fresno MOB - Citi</v>
      </c>
      <c r="B10" s="31" t="str">
        <v>CA</v>
      </c>
      <c r="C10" s="26">
        <v>74528.5</v>
      </c>
      <c r="D10" s="14">
        <v>73156</v>
      </c>
      <c r="E10" s="14">
        <f t="shared" si="0"/>
        <v>1372.5</v>
      </c>
      <c r="F10" s="15">
        <f t="shared" si="3"/>
        <v>1.876127727049046E-2</v>
      </c>
      <c r="G10" s="16">
        <v>74872.587</v>
      </c>
      <c r="H10" s="16">
        <f t="shared" si="1"/>
        <v>-344.08699999999953</v>
      </c>
      <c r="I10" s="17">
        <f t="shared" si="2"/>
        <v>-4.5956339133840741E-3</v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>
        <v>47610.62</v>
      </c>
      <c r="D11" s="20">
        <v>52928</v>
      </c>
      <c r="E11" s="20">
        <f t="shared" si="0"/>
        <v>-5317.3799999999974</v>
      </c>
      <c r="F11" s="21">
        <f t="shared" si="3"/>
        <v>-0.10046440447400237</v>
      </c>
      <c r="G11" s="22">
        <v>48752.074000000001</v>
      </c>
      <c r="H11" s="22">
        <f t="shared" si="1"/>
        <v>-1141.4539999999979</v>
      </c>
      <c r="I11" s="21">
        <f t="shared" si="2"/>
        <v>-2.3413444933645243E-2</v>
      </c>
      <c r="J11" s="57" t="s">
        <v>71</v>
      </c>
      <c r="K11" s="57" t="s">
        <v>72</v>
      </c>
    </row>
    <row r="12" spans="1:11" ht="15.6">
      <c r="A12" s="30" t="str">
        <v>CA: Napa Data Center - Citi</v>
      </c>
      <c r="B12" s="31" t="str">
        <v>CA</v>
      </c>
      <c r="C12" s="26">
        <v>49680</v>
      </c>
      <c r="D12" s="14">
        <v>52066</v>
      </c>
      <c r="E12" s="14">
        <f t="shared" si="0"/>
        <v>-2386</v>
      </c>
      <c r="F12" s="15">
        <f t="shared" si="3"/>
        <v>-4.5826451042907078E-2</v>
      </c>
      <c r="G12" s="16">
        <v>55682.618000000002</v>
      </c>
      <c r="H12" s="16">
        <f t="shared" si="1"/>
        <v>-6002.6180000000022</v>
      </c>
      <c r="I12" s="17">
        <f t="shared" si="2"/>
        <v>-0.10780057072747552</v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>
        <v>116666</v>
      </c>
      <c r="D13" s="20">
        <v>119186</v>
      </c>
      <c r="E13" s="20">
        <f t="shared" si="0"/>
        <v>-2520</v>
      </c>
      <c r="F13" s="21">
        <f t="shared" si="3"/>
        <v>-2.1143422885238201E-2</v>
      </c>
      <c r="G13" s="22">
        <v>128517.622</v>
      </c>
      <c r="H13" s="22">
        <f t="shared" si="1"/>
        <v>-11851.622000000003</v>
      </c>
      <c r="I13" s="21">
        <f t="shared" si="2"/>
        <v>-9.2217874993049606E-2</v>
      </c>
      <c r="J13" s="57"/>
      <c r="K13" s="11"/>
    </row>
    <row r="14" spans="1:11" ht="28.9">
      <c r="A14" s="30" t="str">
        <v>CA: Pleasanton Tec Ctr - Citi</v>
      </c>
      <c r="B14" s="31" t="str">
        <v>CA</v>
      </c>
      <c r="C14" s="26">
        <v>133140.5</v>
      </c>
      <c r="D14" s="14">
        <v>166675</v>
      </c>
      <c r="E14" s="14">
        <f t="shared" si="0"/>
        <v>-33534.5</v>
      </c>
      <c r="F14" s="15">
        <f t="shared" si="3"/>
        <v>-0.20119694015299236</v>
      </c>
      <c r="G14" s="16">
        <v>179070.981</v>
      </c>
      <c r="H14" s="16">
        <f t="shared" si="1"/>
        <v>-45930.481</v>
      </c>
      <c r="I14" s="17">
        <f t="shared" si="2"/>
        <v>-0.25649315563865704</v>
      </c>
      <c r="J14" s="18" t="s">
        <v>73</v>
      </c>
      <c r="K14" s="18" t="s">
        <v>74</v>
      </c>
    </row>
    <row r="15" spans="1:11" ht="15.6">
      <c r="A15" s="32" t="str">
        <v>CA: Rancho Cordova - Citi</v>
      </c>
      <c r="B15" s="33" t="str">
        <v>CA</v>
      </c>
      <c r="C15" s="12">
        <v>239784</v>
      </c>
      <c r="D15" s="20">
        <v>240949</v>
      </c>
      <c r="E15" s="20">
        <f t="shared" si="0"/>
        <v>-1165</v>
      </c>
      <c r="F15" s="21">
        <f t="shared" si="3"/>
        <v>-4.8350480807141764E-3</v>
      </c>
      <c r="G15" s="22">
        <v>256798.96599999999</v>
      </c>
      <c r="H15" s="22">
        <f t="shared" si="1"/>
        <v>-17014.965999999986</v>
      </c>
      <c r="I15" s="21">
        <f t="shared" si="2"/>
        <v>-6.6257922549423295E-2</v>
      </c>
      <c r="J15" s="11"/>
      <c r="K15" s="11"/>
    </row>
    <row r="16" spans="1:11" ht="15.6">
      <c r="A16" s="30" t="str">
        <v>CA: S Sacramento Wyndham - Citi</v>
      </c>
      <c r="B16" s="31" t="str">
        <v>CA</v>
      </c>
      <c r="C16" s="37">
        <v>153563.75</v>
      </c>
      <c r="D16" s="14">
        <v>157119</v>
      </c>
      <c r="E16" s="14">
        <f t="shared" ref="E16:E20" si="4">IF(AND(ISNUMBER(C16),ISNUMBER(D16)), C16-D16, "")</f>
        <v>-3555.25</v>
      </c>
      <c r="F16" s="38">
        <f t="shared" ref="F16:F22" si="5">IFERROR(E16/D16, "")</f>
        <v>-2.2627753486211089E-2</v>
      </c>
      <c r="G16" s="39">
        <v>150885.58799999999</v>
      </c>
      <c r="H16" s="39">
        <f t="shared" ref="H16:H22" si="6">IF(AND(ISNUMBER(C16),ISNUMBER(G16)), C16-G16, "")</f>
        <v>2678.1620000000112</v>
      </c>
      <c r="I16" s="40">
        <f t="shared" ref="I16:I22" si="7">IFERROR(H16/G16, "")</f>
        <v>1.7749620990972388E-2</v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>
        <v>275734.5</v>
      </c>
      <c r="D17" s="20">
        <v>299681</v>
      </c>
      <c r="E17" s="20">
        <f t="shared" si="4"/>
        <v>-23946.5</v>
      </c>
      <c r="F17" s="43">
        <f t="shared" si="5"/>
        <v>-7.9906634054210973E-2</v>
      </c>
      <c r="G17" s="44">
        <v>314439.22200000001</v>
      </c>
      <c r="H17" s="44">
        <f t="shared" si="6"/>
        <v>-38704.722000000009</v>
      </c>
      <c r="I17" s="43">
        <f t="shared" si="7"/>
        <v>-0.12309126626703079</v>
      </c>
      <c r="J17" s="11"/>
      <c r="K17" s="11"/>
    </row>
    <row r="18" spans="1:11" ht="12.75" customHeight="1">
      <c r="A18" s="30" t="str">
        <v>CA: San Jose FHC - Citi</v>
      </c>
      <c r="B18" s="31" t="str">
        <v>CA</v>
      </c>
      <c r="C18" s="37">
        <v>55720.63</v>
      </c>
      <c r="D18" s="14">
        <v>59452</v>
      </c>
      <c r="E18" s="14">
        <f t="shared" si="4"/>
        <v>-3731.3700000000026</v>
      </c>
      <c r="F18" s="38">
        <f t="shared" si="5"/>
        <v>-6.2762732961044246E-2</v>
      </c>
      <c r="G18" s="39">
        <v>60302.053999999996</v>
      </c>
      <c r="H18" s="39">
        <f t="shared" si="6"/>
        <v>-4581.4239999999991</v>
      </c>
      <c r="I18" s="40">
        <f t="shared" si="7"/>
        <v>-7.5974592838910587E-2</v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>
        <v>87601.25</v>
      </c>
      <c r="D19" s="20">
        <v>92629</v>
      </c>
      <c r="E19" s="20">
        <f t="shared" si="4"/>
        <v>-5027.75</v>
      </c>
      <c r="F19" s="43">
        <f t="shared" si="5"/>
        <v>-5.4278357749732803E-2</v>
      </c>
      <c r="G19" s="44">
        <v>100998.231</v>
      </c>
      <c r="H19" s="44">
        <f t="shared" si="6"/>
        <v>-13396.981</v>
      </c>
      <c r="I19" s="43">
        <f t="shared" si="7"/>
        <v>-0.13264569950735078</v>
      </c>
      <c r="J19" s="11"/>
      <c r="K19" s="11"/>
    </row>
    <row r="20" spans="1:11" ht="15.6">
      <c r="A20" s="30" t="str">
        <v>CA: Selma - Citi</v>
      </c>
      <c r="B20" s="31" t="str">
        <v>CA</v>
      </c>
      <c r="C20" s="37">
        <v>56601.120000000003</v>
      </c>
      <c r="D20" s="14">
        <v>55045</v>
      </c>
      <c r="E20" s="14">
        <f t="shared" si="4"/>
        <v>1556.1200000000026</v>
      </c>
      <c r="F20" s="38">
        <f t="shared" si="5"/>
        <v>2.8269960941048281E-2</v>
      </c>
      <c r="G20" s="39">
        <v>60163.661999999997</v>
      </c>
      <c r="H20" s="39">
        <f t="shared" si="6"/>
        <v>-3562.541999999994</v>
      </c>
      <c r="I20" s="40">
        <f t="shared" si="7"/>
        <v>-5.9214181477184588E-2</v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>
        <v>364586</v>
      </c>
      <c r="D21" s="20">
        <v>381863</v>
      </c>
      <c r="E21" s="20">
        <f>IF(AND(ISNUMBER(C21),ISNUMBER(D21)), C21-D21, "")</f>
        <v>-17277</v>
      </c>
      <c r="F21" s="43">
        <f t="shared" si="5"/>
        <v>-4.5243974933418529E-2</v>
      </c>
      <c r="G21" s="44">
        <v>460908.55900000001</v>
      </c>
      <c r="H21" s="44">
        <f t="shared" si="6"/>
        <v>-96322.559000000008</v>
      </c>
      <c r="I21" s="43">
        <f t="shared" si="7"/>
        <v>-0.20898409699525672</v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>
        <v>121118.59</v>
      </c>
      <c r="D22" s="14">
        <v>0</v>
      </c>
      <c r="E22" s="14">
        <f t="shared" ref="E22" si="8">IF(AND(ISNUMBER(C22),ISNUMBER(D22)), C22-D22, "")</f>
        <v>121118.59</v>
      </c>
      <c r="F22" s="38" t="str">
        <f t="shared" si="5"/>
        <v/>
      </c>
      <c r="G22" s="39">
        <v>112726.728</v>
      </c>
      <c r="H22" s="39">
        <f t="shared" si="6"/>
        <v>8391.8619999999937</v>
      </c>
      <c r="I22" s="40">
        <f t="shared" si="7"/>
        <v>7.4444296830827858E-2</v>
      </c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64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64"/>
      <c r="G32" s="64"/>
      <c r="H32" s="64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64"/>
      <c r="G33" s="64"/>
      <c r="H33" s="64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64"/>
      <c r="G34" s="64"/>
      <c r="H34" s="64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64"/>
      <c r="G35" s="64"/>
      <c r="H35" s="64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64"/>
      <c r="G36" s="64"/>
      <c r="H36" s="64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64"/>
      <c r="G37" s="64"/>
      <c r="H37" s="64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64"/>
      <c r="G38" s="64"/>
      <c r="H38" s="64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64"/>
      <c r="G39" s="64"/>
      <c r="H39" s="64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64"/>
      <c r="G40" s="64"/>
      <c r="H40" s="64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64"/>
      <c r="G41" s="64"/>
      <c r="H41" s="64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64"/>
      <c r="G42" s="64"/>
      <c r="H42" s="64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64"/>
      <c r="G43" s="64"/>
      <c r="H43" s="64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64"/>
      <c r="G44" s="64"/>
      <c r="H44" s="64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64"/>
      <c r="G45" s="64"/>
      <c r="H45" s="64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64"/>
      <c r="G46" s="64"/>
      <c r="H46" s="64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64"/>
      <c r="G47" s="64"/>
      <c r="H47" s="64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64"/>
      <c r="G48" s="64"/>
      <c r="H48" s="64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64"/>
      <c r="G49" s="64"/>
      <c r="H49" s="64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22 I4:I100 F50:F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75</v>
      </c>
      <c r="E1" s="68"/>
      <c r="F1" s="68"/>
      <c r="G1" s="66" t="s">
        <v>76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77</v>
      </c>
      <c r="E1" s="68"/>
      <c r="F1" s="68"/>
      <c r="G1" s="66" t="s">
        <v>78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79</v>
      </c>
      <c r="E1" s="68"/>
      <c r="F1" s="68"/>
      <c r="G1" s="66" t="s">
        <v>80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81</v>
      </c>
      <c r="E1" s="68"/>
      <c r="F1" s="68"/>
      <c r="G1" s="66" t="s">
        <v>82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83</v>
      </c>
      <c r="E1" s="68"/>
      <c r="F1" s="68"/>
      <c r="G1" s="66" t="s">
        <v>84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85</v>
      </c>
      <c r="E1" s="68"/>
      <c r="F1" s="68"/>
      <c r="G1" s="66" t="s">
        <v>86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CITI</v>
      </c>
      <c r="B1" s="67"/>
      <c r="C1" s="67"/>
      <c r="D1" s="68" t="s">
        <v>87</v>
      </c>
      <c r="E1" s="68"/>
      <c r="F1" s="68"/>
      <c r="G1" s="66" t="s">
        <v>88</v>
      </c>
      <c r="H1" s="66"/>
      <c r="I1" s="66"/>
      <c r="J1" s="5"/>
      <c r="K1" s="5"/>
    </row>
    <row r="2" spans="1:11" ht="19.5" customHeight="1">
      <c r="A2" s="69" t="s">
        <v>2</v>
      </c>
      <c r="B2" s="6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89</v>
      </c>
      <c r="B1" t="s">
        <v>90</v>
      </c>
    </row>
    <row r="3" spans="1:6" ht="13.15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6" ht="14.45">
      <c r="A4" t="s">
        <v>94</v>
      </c>
      <c r="B4" t="s">
        <v>95</v>
      </c>
      <c r="C4" s="4" t="s">
        <v>96</v>
      </c>
      <c r="F4" s="3"/>
    </row>
    <row r="5" spans="1:6" ht="14.45">
      <c r="A5" t="s">
        <v>97</v>
      </c>
      <c r="B5" t="s">
        <v>98</v>
      </c>
      <c r="C5" s="4" t="s">
        <v>96</v>
      </c>
      <c r="F5" s="3"/>
    </row>
    <row r="6" spans="1:6" ht="14.45">
      <c r="A6" t="s">
        <v>99</v>
      </c>
      <c r="B6" t="s">
        <v>100</v>
      </c>
      <c r="C6" s="4" t="s">
        <v>96</v>
      </c>
      <c r="F6" s="3"/>
    </row>
    <row r="7" spans="1:6" ht="12.75" customHeight="1">
      <c r="A7" t="s">
        <v>101</v>
      </c>
      <c r="B7" t="s">
        <v>102</v>
      </c>
      <c r="C7" s="4" t="s">
        <v>96</v>
      </c>
    </row>
    <row r="8" spans="1:6" ht="12.75" customHeight="1">
      <c r="A8" t="s">
        <v>103</v>
      </c>
      <c r="B8" t="s">
        <v>104</v>
      </c>
      <c r="C8" s="4" t="s">
        <v>96</v>
      </c>
    </row>
    <row r="9" spans="1:6" ht="12.75" customHeight="1">
      <c r="A9" t="s">
        <v>105</v>
      </c>
      <c r="B9" t="s">
        <v>106</v>
      </c>
      <c r="C9" s="4" t="s">
        <v>96</v>
      </c>
    </row>
    <row r="10" spans="1:6" ht="12.75" customHeight="1">
      <c r="A10" t="s">
        <v>107</v>
      </c>
      <c r="B10" t="s">
        <v>108</v>
      </c>
      <c r="C10" s="4" t="s">
        <v>96</v>
      </c>
    </row>
    <row r="11" spans="1:6" ht="12.75" customHeight="1">
      <c r="A11" t="s">
        <v>109</v>
      </c>
      <c r="B11" t="s">
        <v>110</v>
      </c>
      <c r="C11" s="4" t="s">
        <v>96</v>
      </c>
    </row>
    <row r="12" spans="1:6" ht="12.75" customHeight="1">
      <c r="A12" t="s">
        <v>111</v>
      </c>
      <c r="B12" t="s">
        <v>112</v>
      </c>
      <c r="C12" s="4" t="s">
        <v>96</v>
      </c>
    </row>
    <row r="13" spans="1:6" ht="12.75" customHeight="1">
      <c r="A13" t="s">
        <v>113</v>
      </c>
      <c r="B13" t="s">
        <v>114</v>
      </c>
      <c r="C13" s="4" t="s">
        <v>96</v>
      </c>
    </row>
    <row r="14" spans="1:6" ht="12.75" customHeight="1">
      <c r="A14" t="s">
        <v>115</v>
      </c>
      <c r="B14" t="s">
        <v>116</v>
      </c>
      <c r="C14" s="4" t="s">
        <v>96</v>
      </c>
    </row>
    <row r="15" spans="1:6" ht="12.75" customHeight="1">
      <c r="A15" t="s">
        <v>117</v>
      </c>
      <c r="B15" t="s">
        <v>118</v>
      </c>
      <c r="C15" s="4" t="s">
        <v>96</v>
      </c>
    </row>
    <row r="16" spans="1:6" ht="12.75" customHeight="1">
      <c r="A16" t="s">
        <v>119</v>
      </c>
      <c r="B16" t="s">
        <v>120</v>
      </c>
      <c r="C16" s="4" t="s">
        <v>96</v>
      </c>
    </row>
    <row r="17" spans="1:3" ht="12.75" customHeight="1">
      <c r="A17" t="s">
        <v>121</v>
      </c>
      <c r="B17" t="s">
        <v>122</v>
      </c>
      <c r="C17" s="4" t="s">
        <v>96</v>
      </c>
    </row>
    <row r="18" spans="1:3" ht="12.75" customHeight="1">
      <c r="A18" t="s">
        <v>123</v>
      </c>
      <c r="B18" t="s">
        <v>124</v>
      </c>
      <c r="C18" s="4" t="s">
        <v>96</v>
      </c>
    </row>
    <row r="19" spans="1:3" ht="12.75" customHeight="1">
      <c r="A19" t="s">
        <v>125</v>
      </c>
      <c r="B19" t="s">
        <v>126</v>
      </c>
      <c r="C19" s="4" t="s">
        <v>96</v>
      </c>
    </row>
    <row r="20" spans="1:3" ht="12.75" customHeight="1">
      <c r="A20" t="s">
        <v>127</v>
      </c>
      <c r="B20" t="s">
        <v>128</v>
      </c>
      <c r="C20" s="4" t="s">
        <v>96</v>
      </c>
    </row>
    <row r="21" spans="1:3" ht="12.75" customHeight="1">
      <c r="A21" t="s">
        <v>129</v>
      </c>
      <c r="B21" t="s">
        <v>130</v>
      </c>
      <c r="C21" s="4" t="s">
        <v>96</v>
      </c>
    </row>
    <row r="22" spans="1:3" ht="12.75" customHeight="1">
      <c r="A22" s="56" t="s">
        <v>131</v>
      </c>
      <c r="B22" t="s">
        <v>132</v>
      </c>
      <c r="C22" s="4" t="s">
        <v>96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2024-07-18T07:01:38Z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