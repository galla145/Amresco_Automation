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4547318A-480D-4BEC-BC52-5E0A60B652EA}" xr6:coauthVersionLast="47" xr6:coauthVersionMax="47" xr10:uidLastSave="{00000000-0000-0000-0000-000000000000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0" l="1" a="1"/>
  <c r="A4" i="20" s="1"/>
  <c r="G5" i="18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H2" i="20" l="1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<sst xmlns="http://schemas.openxmlformats.org/spreadsheetml/2006/main" count="253" uniqueCount="60">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</sst>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SUM(C4:C90)</f>
        <v>158106.125</v>
      </c>
      <c r="D2" s="6">
        <f>SUM(D4:D90)</f>
        <v>101776.67</v>
      </c>
      <c r="E2" s="6">
        <f>C2-D2</f>
        <v>56329.455000000002</v>
      </c>
      <c r="F2" s="7">
        <f>IFERROR(E2/D2, 0)</f>
        <v>0.55346136791467049</v>
      </c>
      <c r="G2" s="6">
        <f>SUM(G4:G90)</f>
        <v>109466.791</v>
      </c>
      <c r="H2" s="8">
        <f>C2-G2</f>
        <v>48639.334000000003</v>
      </c>
      <c r="I2" s="7">
        <f>IFERROR(H2/G2, 0)</f>
        <v>0.44432958667802736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107147</v>
      </c>
      <c r="D4" s="14">
        <f>SUM('1st Qtr'!D4, '2nd Qtr'!D4, '3rd Qtr'!D4, '4th Qtr'!D4)</f>
        <v>0</v>
      </c>
      <c r="E4" s="14">
        <f>IF(AND(ISNUMBER(C4),ISNUMBER(D4)), C4-D4, "")</f>
        <v>107147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107147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109466.791</v>
      </c>
      <c r="H5" s="22">
        <f>SUM(Jan!H5, Feb!H5, Mar!H5)</f>
        <v>-800.2450000000008</v>
      </c>
      <c r="I5" s="21">
        <f>IFERROR(H5/G5, "")</f>
        <v>-7.3103906005612318E-3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1" sqref="G11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111452.875</v>
      </c>
      <c r="D2" s="6">
        <f>SUM(D4:D90)</f>
        <v>30911.597000000002</v>
      </c>
      <c r="E2" s="6">
        <f>C2-D2</f>
        <v>80541.277999999991</v>
      </c>
      <c r="F2" s="7">
        <f>IFERROR(E2/D2, 0)</f>
        <v>2.6055359740876534</v>
      </c>
      <c r="G2" s="6">
        <f>SUM(G4:G90)</f>
        <v>57707.421000000002</v>
      </c>
      <c r="H2" s="8">
        <f>C2-G2</f>
        <v>53745.453999999998</v>
      </c>
      <c r="I2" s="7">
        <f>IFERROR(H2/G2, 0)</f>
        <v>0.93134389076233359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54293</v>
      </c>
      <c r="D4" s="14">
        <f>SUM(Apr!D4, May!D4, Jun!D4)</f>
        <v>0</v>
      </c>
      <c r="E4" s="14">
        <f>IF(AND(ISNUMBER(C4),ISNUMBER(D4)), C4-D4, "")</f>
        <v>54293</v>
      </c>
      <c r="F4" s="15" t="str">
        <f>IFERROR(E4/D4, "")</f>
        <v/>
      </c>
      <c r="G4" s="16">
        <f>SUM(Apr!G4, May!G4, Jun!G4)</f>
        <v>0</v>
      </c>
      <c r="H4" s="16">
        <f>SUM(Apr!H4, May!H4, Jun!H4)</f>
        <v>54293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57159.875</v>
      </c>
      <c r="D5" s="20">
        <f>SUM(Apr!D5, May!D5, Jun!D5)</f>
        <v>30911.597000000002</v>
      </c>
      <c r="E5" s="20">
        <f t="shared" ref="E5" si="0">IF(AND(ISNUMBER(C5),ISNUMBER(D5)), C5-D5, "")</f>
        <v>26248.277999999998</v>
      </c>
      <c r="F5" s="21">
        <f>IFERROR(E5/D5, "")</f>
        <v>0.84914014633407642</v>
      </c>
      <c r="G5" s="12">
        <f>SUM(Apr!G5, May!G5, Jun!G5)</f>
        <v>57707.421000000002</v>
      </c>
      <c r="H5" s="22">
        <f>SUM(Apr!H5, May!H5, Jun!H5)</f>
        <v>-547.54599999999846</v>
      </c>
      <c r="I5" s="21">
        <f>IFERROR(H5/G5, "")</f>
        <v>-9.4883117372373729E-3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workbookViewId="0">
      <pane ySplit="2" topLeftCell="A3" activePane="bottomLeft" state="frozen"/>
      <selection pane="bottomLeft" activeCell="G6" sqref="G6"/>
      <selection activeCell="E24" sqref="E24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59284.800000000003</v>
      </c>
      <c r="D2" s="6">
        <f>SUM(D4:D90)</f>
        <v>14530.614</v>
      </c>
      <c r="E2" s="6">
        <f>C2-D2</f>
        <v>44754.186000000002</v>
      </c>
      <c r="F2" s="7">
        <f>IFERROR(E2/D2, 0)</f>
        <v>3.0799927656188517</v>
      </c>
      <c r="G2" s="6">
        <f>SUM(G4:G90)</f>
        <v>31133.875</v>
      </c>
      <c r="H2" s="8">
        <f>C2-G2</f>
        <v>28150.925000000003</v>
      </c>
      <c r="I2" s="7">
        <f>IFERROR(H2/G2, 0)</f>
        <v>0.90418956843630938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28622.799999999999</v>
      </c>
      <c r="D4" s="14">
        <v>0</v>
      </c>
      <c r="E4" s="14">
        <f>IF(AND(ISNUMBER(C4),ISNUMBER(D4)), C4-D4, "")</f>
        <v>28622.799999999999</v>
      </c>
      <c r="F4" s="15" t="str">
        <f>IFERROR(E4/D4, "")</f>
        <v/>
      </c>
      <c r="G4" s="16">
        <v>0</v>
      </c>
      <c r="H4" s="16">
        <f>IF(AND(ISNUMBER(C4),ISNUMBER(G4)), C4-G4, "")</f>
        <v>28622.799999999999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30662</v>
      </c>
      <c r="D5" s="20">
        <v>14530.614</v>
      </c>
      <c r="E5" s="20">
        <f t="shared" ref="E5" si="0">IF(AND(ISNUMBER(C5),ISNUMBER(D5)), C5-D5, "")</f>
        <v>16131.386</v>
      </c>
      <c r="F5" s="21">
        <f>IFERROR(E5/D5, "")</f>
        <v>1.110165475457541</v>
      </c>
      <c r="G5" s="22">
        <v>31133.875</v>
      </c>
      <c r="H5" s="22">
        <f t="shared" ref="H5" si="1">IF(AND(ISNUMBER(C5),ISNUMBER(G5)), C5-G5, "")</f>
        <v>-471.875</v>
      </c>
      <c r="I5" s="21">
        <f t="shared" ref="I5" si="2">IFERROR(H5/G5, "")</f>
        <v>-1.5156320888421374E-2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24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53</v>
      </c>
      <c r="B4" t="s">
        <v>54</v>
      </c>
      <c r="C4" s="4" t="s">
        <v>55</v>
      </c>
      <c r="E4" t="s">
        <v>56</v>
      </c>
      <c r="G4" s="3"/>
    </row>
    <row r="5" spans="1:7" ht="14.45">
      <c r="A5" t="s">
        <v>57</v>
      </c>
      <c r="B5" t="s">
        <v>58</v>
      </c>
      <c r="C5" s="4" t="s">
        <v>55</v>
      </c>
      <c r="E5" t="s">
        <v>59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2024-06-14T08:10:30Z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