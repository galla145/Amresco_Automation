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99" documentId="13_ncr:1_{8E94E97E-55E5-44A7-9F4A-A2723BD483C1}" xr6:coauthVersionLast="47" xr6:coauthVersionMax="47" xr10:uidLastSave="{E00FD9B5-21E5-4839-ACAF-D6D1626B4951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8" l="1"/>
  <c r="G6" i="18"/>
  <c r="G7" i="18"/>
  <c r="G8" i="18"/>
  <c r="G9" i="18"/>
  <c r="G10" i="18"/>
  <c r="G11" i="18"/>
  <c r="G12" i="18"/>
  <c r="G13" i="18"/>
  <c r="G14" i="18"/>
  <c r="G15" i="18"/>
  <c r="G16" i="18"/>
  <c r="G4" i="18"/>
  <c r="G4" i="1"/>
  <c r="H10" i="4"/>
  <c r="I10" i="4" s="1"/>
  <c r="H11" i="4"/>
  <c r="I11" i="4" s="1"/>
  <c r="C16" i="30"/>
  <c r="E16" i="30" s="1"/>
  <c r="F16" i="30" s="1"/>
  <c r="D16" i="30"/>
  <c r="C16" i="29"/>
  <c r="D16" i="29"/>
  <c r="E16" i="29" s="1"/>
  <c r="F16" i="29" s="1"/>
  <c r="C16" i="18"/>
  <c r="D16" i="18"/>
  <c r="C16" i="1"/>
  <c r="D16" i="1"/>
  <c r="G16" i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1" i="1"/>
  <c r="G12" i="1"/>
  <c r="G13" i="1"/>
  <c r="G14" i="1"/>
  <c r="G15" i="1"/>
  <c r="G15" i="34" s="1"/>
  <c r="G5" i="1"/>
  <c r="G4" i="34"/>
  <c r="B4" i="34" a="1"/>
  <c r="B4" i="34" s="1"/>
  <c r="A4" i="34" a="1"/>
  <c r="A4" i="34" s="1"/>
  <c r="A1" i="34" a="1"/>
  <c r="A1" i="34" s="1"/>
  <c r="D15" i="30"/>
  <c r="E15" i="30" s="1"/>
  <c r="F15" i="30" s="1"/>
  <c r="C15" i="30"/>
  <c r="D14" i="30"/>
  <c r="C14" i="30"/>
  <c r="E14" i="30" s="1"/>
  <c r="F14" i="30" s="1"/>
  <c r="D13" i="30"/>
  <c r="C13" i="30"/>
  <c r="D12" i="30"/>
  <c r="C12" i="30"/>
  <c r="D11" i="30"/>
  <c r="E11" i="30" s="1"/>
  <c r="F11" i="30" s="1"/>
  <c r="C11" i="30"/>
  <c r="D10" i="30"/>
  <c r="C10" i="30"/>
  <c r="E10" i="30" s="1"/>
  <c r="F10" i="30" s="1"/>
  <c r="D9" i="30"/>
  <c r="C9" i="30"/>
  <c r="E9" i="30" s="1"/>
  <c r="F9" i="30" s="1"/>
  <c r="D8" i="30"/>
  <c r="C8" i="30"/>
  <c r="D7" i="30"/>
  <c r="C7" i="30"/>
  <c r="D6" i="30"/>
  <c r="C6" i="30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E12" i="29" s="1"/>
  <c r="F12" i="29" s="1"/>
  <c r="D11" i="29"/>
  <c r="C11" i="29"/>
  <c r="E11" i="29" s="1"/>
  <c r="F11" i="29" s="1"/>
  <c r="D10" i="29"/>
  <c r="C10" i="29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D5" i="29"/>
  <c r="C5" i="29"/>
  <c r="E5" i="29" s="1"/>
  <c r="F5" i="29" s="1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C4" i="18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4" i="34" s="1"/>
  <c r="C13" i="1"/>
  <c r="C12" i="1"/>
  <c r="C11" i="1"/>
  <c r="C10" i="1"/>
  <c r="C9" i="1"/>
  <c r="C8" i="1"/>
  <c r="C8" i="34" s="1"/>
  <c r="C7" i="1"/>
  <c r="C6" i="1"/>
  <c r="C5" i="1"/>
  <c r="C4" i="1"/>
  <c r="D6" i="1"/>
  <c r="D7" i="1"/>
  <c r="D8" i="1"/>
  <c r="D9" i="1"/>
  <c r="D10" i="1"/>
  <c r="D11" i="1"/>
  <c r="D11" i="34" s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12" i="34" l="1"/>
  <c r="G10" i="34"/>
  <c r="E9" i="18"/>
  <c r="F9" i="18" s="1"/>
  <c r="C9" i="34"/>
  <c r="G16" i="34"/>
  <c r="G14" i="34"/>
  <c r="D14" i="34"/>
  <c r="E14" i="34" s="1"/>
  <c r="F14" i="34" s="1"/>
  <c r="G13" i="34"/>
  <c r="E13" i="18"/>
  <c r="F13" i="18" s="1"/>
  <c r="G12" i="34"/>
  <c r="G11" i="34"/>
  <c r="E11" i="18"/>
  <c r="F11" i="18" s="1"/>
  <c r="D10" i="34"/>
  <c r="E10" i="18"/>
  <c r="F10" i="18" s="1"/>
  <c r="D8" i="34"/>
  <c r="E8" i="18"/>
  <c r="F8" i="18" s="1"/>
  <c r="G2" i="18"/>
  <c r="D7" i="34"/>
  <c r="G5" i="34"/>
  <c r="D5" i="34"/>
  <c r="E5" i="18"/>
  <c r="F5" i="18" s="1"/>
  <c r="H4" i="18"/>
  <c r="E16" i="18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D6" i="34"/>
  <c r="C6" i="34"/>
  <c r="D2" i="18"/>
  <c r="C5" i="34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1"/>
  <c r="F16" i="1" s="1"/>
  <c r="H16" i="34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H9" i="34"/>
  <c r="I9" i="34" s="1"/>
  <c r="H10" i="34"/>
  <c r="I10" i="34" s="1"/>
  <c r="H11" i="34"/>
  <c r="H12" i="34"/>
  <c r="I12" i="34" s="1"/>
  <c r="H13" i="34"/>
  <c r="H14" i="34"/>
  <c r="I14" i="34" s="1"/>
  <c r="H15" i="34"/>
  <c r="I15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6" i="34" l="1"/>
  <c r="I13" i="34"/>
  <c r="E13" i="34"/>
  <c r="F13" i="34" s="1"/>
  <c r="E12" i="34"/>
  <c r="F12" i="34" s="1"/>
  <c r="E7" i="34"/>
  <c r="F7" i="34" s="1"/>
  <c r="I5" i="34"/>
  <c r="E5" i="34"/>
  <c r="F5" i="34" s="1"/>
  <c r="E15" i="34"/>
  <c r="F15" i="34" s="1"/>
  <c r="I11" i="34"/>
  <c r="E10" i="34"/>
  <c r="F10" i="34" s="1"/>
  <c r="E4" i="34"/>
  <c r="F4" i="34" s="1"/>
  <c r="E16" i="34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<sst xmlns="http://schemas.openxmlformats.org/spreadsheetml/2006/main" count="400" uniqueCount="163">
  <si>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</si>
  <si>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</si>
  <si>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</si>
  <si>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</si>
  <si>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</si>
  <si>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</si>
  <si>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</si>
  <si>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</si>
  <si>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</si>
  <si>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</si>
  <si>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</si>
  <si>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</si>
  <si>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</si>
  <si>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</si>
  <si>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</si>
  <si>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</si>
  <si>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</si>
  <si>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</si>
  <si>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</si>
  <si>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</si>
  <si>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</si>
  <si>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</si>
  <si>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</si>
  <si>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</si>
  <si>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</si>
  <si>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</si>
  <si>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</si>
  <si>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</si>
  <si>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</si>
  <si>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</si>
  <si>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</si>
  <si>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</si>
  <si>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</si>
  <si>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</si>
  <si>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</si>
  <si>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</si>
  <si>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</si>
  <si>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</si>
  <si>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</si>
  <si>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</si>
  <si>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</si>
  <si>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</si>
  <si>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</si>
  <si>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</si>
  <si>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</si>
  <si>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</si>
  <si>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</si>
  <si>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</si>
  <si>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</si>
  <si>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</si>
  <si>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</si>
  <si>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</si>
  <si>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</si>
  <si>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</si>
  <si>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</si>
  <si>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</si>
  <si>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</si>
  <si>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</si>
  <si>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</si>
  <si>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</si>
  <si>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</si>
  <si>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</si>
  <si>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</si>
  <si>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</si>
  <si>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</si>
  <si>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</si>
  <si>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</si>
  <si>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</si>
  <si>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</si>
  <si>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</si>
  <si>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</si>
  <si>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</si>
  <si>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</si>
  <si>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</si>
  <si>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</si>
  <si>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</si>
  <si>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</si>
  <si>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</si>
  <si>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</si>
  <si>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</si>
  <si>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</si>
  <si>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</si>
  <si>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</si>
  <si>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</si>
  <si>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</si>
  <si>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</si>
  <si>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</si>
  <si>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</si>
  <si>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</si>
  <si>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</si>
  <si>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</si>
  <si>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</si>
  <si>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</si>
  <si>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4A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</si>
  <si>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</si>
  <si>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</si>
  <si>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</si>
  <si>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1. Inverters 5.7B &amp; 6.2B are offline between 07:00 to 16:30 on 05/16 
2. Inverter 10.2A  was offline from 05/24 to 06/02</t>
  </si>
  <si>
    <t>1. SR084771
2. SR085153</t>
  </si>
  <si>
    <t>1. Site was offline on 05/08 between 09:15am to 12:45pm
2. Site tripped offline on 05/27 and back online on 05/28 at 07:00am
3. Inverter 8.7 is offline and being RMA'd
4. Inverter 5.10 offline on from 05/26 and being RMA'd 
5. Inverter 5.8 offline from 05/26 and back online on 05/28
6. Inverter 4.1 offline from 05/26 and being RMA'd</t>
  </si>
  <si>
    <t>1. SR084424
2. SR085200
3. SR083611
4. SR085080
5. SR084869
6. SR085165</t>
  </si>
  <si>
    <t>1. Inverter 13 is offline from 05/25 and being RMA'd
2. Inverter 37 is offline on 05/26 &amp; 05/27
3. Inverter 26 is offline from 05/29 
4. Inverter 14 was offline from 05/31</t>
  </si>
  <si>
    <t>1. SR085068
2. SR085166
3. SR085290
4. SR085365</t>
  </si>
  <si>
    <t>1. Inverter 31C tripped offline at 10:30 on 05/16 and back online at 10:30 on 05/20</t>
  </si>
  <si>
    <t>1. SR084772</t>
  </si>
  <si>
    <t>1. Inverters 43,44,45 are underperforming 7 kW each on 05/21 and fuses were closed on 05/22</t>
  </si>
  <si>
    <t>1. 	SR084968</t>
  </si>
  <si>
    <t>1. Inverter 40 was underperforming offline from 05/31
2. Inverter 115 was offline throughout the month</t>
  </si>
  <si>
    <t>1. SR085387
2. SR083436</t>
  </si>
  <si>
    <t>1. Inverter 110 was offline from 05/17 and back online at 14:30 on 05/21</t>
  </si>
  <si>
    <t>1. 	SR084747</t>
  </si>
  <si>
    <t>1. Inverter 8-2C was offline throughout the month</t>
  </si>
  <si>
    <t>1. 	SR084088</t>
  </si>
  <si>
    <t>1. Inverter 14-4A is offline throughout the month
2. Inverter 22-4A is underperforming 3kW compared to peers.  Issue may be internal to the inverter.
3. Inverter 21-4A was offline on 05/13 and back online at 11:00am on 05/14. Inverter 8-4A tripped offline at 12:00pm on 05/15 and back online on 05/16.</t>
  </si>
  <si>
    <t>1. 	SR083462
2. SR083820
3. SR084629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</si>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</sst>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5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0" fontId="31" fillId="0" borderId="0" xfId="0" applyFont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0</v>
      </c>
      <c r="E1" s="93"/>
      <c r="F1" s="93"/>
      <c r="G1" s="91" t="s">
        <v>1</v>
      </c>
      <c r="H1" s="91"/>
      <c r="I1" s="91"/>
    </row>
    <row r="2" spans="1:9" ht="19.5" customHeight="1">
      <c r="A2" s="94" t="s">
        <v>2</v>
      </c>
      <c r="B2" s="94"/>
      <c r="C2" s="5">
        <f>SUM(C4:C91)</f>
        <v>10792571.095321452</v>
      </c>
      <c r="D2" s="5">
        <f>SUM(D4:D91)</f>
        <v>11586140.800000001</v>
      </c>
      <c r="E2" s="5">
        <f>C2-D2</f>
        <v>-793569.7046785485</v>
      </c>
      <c r="F2" s="6">
        <f>IFERROR(E2/D2, 0)</f>
        <v>-6.8493014056807286E-2</v>
      </c>
      <c r="G2" s="5">
        <f>SUM(G4:G91)</f>
        <v>11482138.970000003</v>
      </c>
      <c r="H2" s="7">
        <f>C2-G2</f>
        <v>-689567.87467855029</v>
      </c>
      <c r="I2" s="6">
        <f>IFERROR(H2/G2, 0)</f>
        <v>-6.0055698374686203E-2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1704989.8407960199</v>
      </c>
      <c r="D4" s="56">
        <f>SUM('1st Qtr'!D4, '2nd Qtr'!D4, '3rd Qtr'!D4, '4th Qtr'!D4)</f>
        <v>1690650.4000000001</v>
      </c>
      <c r="E4" s="56">
        <f>IF(AND(ISNUMBER(C4),ISNUMBER(D4)), C4-D4, "")</f>
        <v>14339.440796019742</v>
      </c>
      <c r="F4" s="69">
        <f>IFERROR(E4/D4, "")</f>
        <v>8.4816120447016967E-3</v>
      </c>
      <c r="G4" s="58">
        <f>SUM('1st Qtr'!G4, '2nd Qtr'!G4, '3rd Qtr'!G4, '4th Qtr'!G4)</f>
        <v>1859586</v>
      </c>
      <c r="H4" s="58">
        <f>SUM('1st Qtr'!H4, '2nd Qtr'!H4, '3rd Qtr'!H4, '4th Qtr'!H4)</f>
        <v>-154596.15920398</v>
      </c>
      <c r="I4" s="57">
        <f>IFERROR(H4/G4, "")</f>
        <v>-8.3134718805142657E-2</v>
      </c>
    </row>
    <row r="5" spans="1:9" ht="15.6">
      <c r="A5" s="76" t="str">
        <v>Clara Barton</v>
      </c>
      <c r="B5" s="77" t="str">
        <v>MA</v>
      </c>
      <c r="C5" s="71">
        <f>SUM('1st Qtr'!C5, '2nd Qtr'!C5, '3rd Qtr'!C5, '4th Qtr'!C5)</f>
        <v>601786.99953658786</v>
      </c>
      <c r="D5" s="62">
        <f>SUM('1st Qtr'!D5, '2nd Qtr'!D5, '3rd Qtr'!D5, '4th Qtr'!D5)</f>
        <v>638158.12</v>
      </c>
      <c r="E5" s="62">
        <f t="shared" ref="E5:E15" si="0">IF(AND(ISNUMBER(C5),ISNUMBER(D5)), C5-D5, "")</f>
        <v>-36371.120463412139</v>
      </c>
      <c r="F5" s="63">
        <f>IFERROR(E5/D5, "")</f>
        <v>-5.6993900607912248E-2</v>
      </c>
      <c r="G5" s="64">
        <f>SUM('1st Qtr'!G5, '2nd Qtr'!G5, '3rd Qtr'!G5, '4th Qtr'!G5)</f>
        <v>669537.78</v>
      </c>
      <c r="H5" s="64">
        <f>SUM(Jan!H5, Feb!H5, Mar!H5)</f>
        <v>-59831.780463412106</v>
      </c>
      <c r="I5" s="63">
        <f>IFERROR(H5/G5, "")</f>
        <v>-8.9362814542611926E-2</v>
      </c>
    </row>
    <row r="6" spans="1:9" ht="15.6">
      <c r="A6" s="74" t="str">
        <v>Fairhaven Solar</v>
      </c>
      <c r="B6" s="75" t="str">
        <v>MA</v>
      </c>
      <c r="C6" s="68">
        <f>SUM('1st Qtr'!C6, '2nd Qtr'!C6, '3rd Qtr'!C6, '4th Qtr'!C6)</f>
        <v>491488</v>
      </c>
      <c r="D6" s="56">
        <f>SUM('1st Qtr'!D6, '2nd Qtr'!D6, '3rd Qtr'!D6, '4th Qtr'!D6)</f>
        <v>516170.43999999994</v>
      </c>
      <c r="E6" s="56">
        <f t="shared" si="0"/>
        <v>-24682.439999999944</v>
      </c>
      <c r="F6" s="69">
        <f t="shared" ref="F6:F15" si="1">IFERROR(E6/D6, "")</f>
        <v>-4.7818391150023912E-2</v>
      </c>
      <c r="G6" s="58">
        <f>SUM('1st Qtr'!G6, '2nd Qtr'!G6, '3rd Qtr'!G6, '4th Qtr'!G6)</f>
        <v>509491.79000000004</v>
      </c>
      <c r="H6" s="58">
        <f>SUM(Jan!H6, Feb!H6, Mar!H6)</f>
        <v>1599.6099999999933</v>
      </c>
      <c r="I6" s="57">
        <f t="shared" ref="I6:I15" si="2">IFERROR(H6/G6, "")</f>
        <v>3.139618795427485E-3</v>
      </c>
    </row>
    <row r="7" spans="1:9" ht="15.6">
      <c r="A7" s="76" t="str">
        <v>Plympton-1</v>
      </c>
      <c r="B7" s="77" t="str">
        <v>MA</v>
      </c>
      <c r="C7" s="71">
        <f>SUM('1st Qtr'!C7, '2nd Qtr'!C7, '3rd Qtr'!C7, '4th Qtr'!C7)</f>
        <v>638792.99508884398</v>
      </c>
      <c r="D7" s="62">
        <f>SUM('1st Qtr'!D7, '2nd Qtr'!D7, '3rd Qtr'!D7, '4th Qtr'!D7)</f>
        <v>660838.82999999996</v>
      </c>
      <c r="E7" s="62">
        <f t="shared" si="0"/>
        <v>-22045.83491115598</v>
      </c>
      <c r="F7" s="63">
        <f t="shared" si="1"/>
        <v>-3.3360380641004377E-2</v>
      </c>
      <c r="G7" s="64">
        <f>SUM('1st Qtr'!G7, '2nd Qtr'!G7, '3rd Qtr'!G7, '4th Qtr'!G7)</f>
        <v>657840.62999999989</v>
      </c>
      <c r="H7" s="64">
        <f>SUM(Jan!H7, Feb!H7, Mar!H7)</f>
        <v>-21065.929999999993</v>
      </c>
      <c r="I7" s="63">
        <f t="shared" si="2"/>
        <v>-3.2022847235811502E-2</v>
      </c>
    </row>
    <row r="8" spans="1:9" ht="15.6">
      <c r="A8" s="74" t="str">
        <v>French River 2</v>
      </c>
      <c r="B8" s="75" t="str">
        <v>MA</v>
      </c>
      <c r="C8" s="68">
        <f>SUM('1st Qtr'!C8, '2nd Qtr'!C8, '3rd Qtr'!C8, '4th Qtr'!C8)</f>
        <v>646400.11</v>
      </c>
      <c r="D8" s="56">
        <f>SUM('1st Qtr'!D8, '2nd Qtr'!D8, '3rd Qtr'!D8, '4th Qtr'!D8)</f>
        <v>731210.57000000007</v>
      </c>
      <c r="E8" s="56">
        <f t="shared" si="0"/>
        <v>-84810.460000000079</v>
      </c>
      <c r="F8" s="69">
        <f t="shared" si="1"/>
        <v>-0.11598637038302123</v>
      </c>
      <c r="G8" s="58">
        <f>SUM('1st Qtr'!G8, '2nd Qtr'!G8, '3rd Qtr'!G8, '4th Qtr'!G8)</f>
        <v>665733</v>
      </c>
      <c r="H8" s="58">
        <f>SUM(Jan!H8, Feb!H8, Mar!H8)</f>
        <v>-12609.89</v>
      </c>
      <c r="I8" s="57">
        <f t="shared" si="2"/>
        <v>-1.8941362378010404E-2</v>
      </c>
    </row>
    <row r="9" spans="1:9" ht="15.6">
      <c r="A9" s="76" t="str">
        <v>French River 3</v>
      </c>
      <c r="B9" s="77" t="str">
        <v>MA</v>
      </c>
      <c r="C9" s="71">
        <f>SUM('1st Qtr'!C9, '2nd Qtr'!C9, '3rd Qtr'!C9, '4th Qtr'!C9)</f>
        <v>1276765.1200000001</v>
      </c>
      <c r="D9" s="62">
        <f>SUM('1st Qtr'!D9, '2nd Qtr'!D9, '3rd Qtr'!D9, '4th Qtr'!D9)</f>
        <v>1247299.0999999999</v>
      </c>
      <c r="E9" s="62">
        <f t="shared" si="0"/>
        <v>29466.020000000251</v>
      </c>
      <c r="F9" s="63">
        <f t="shared" si="1"/>
        <v>2.36238605479634E-2</v>
      </c>
      <c r="G9" s="64">
        <f>SUM('1st Qtr'!G9, '2nd Qtr'!G9, '3rd Qtr'!G9, '4th Qtr'!G9)</f>
        <v>1275316.6000000001</v>
      </c>
      <c r="H9" s="64">
        <f>SUM(Jan!H9, Feb!H9, Mar!H9)</f>
        <v>-5460.9800000000105</v>
      </c>
      <c r="I9" s="63">
        <f t="shared" si="2"/>
        <v>-4.2820582747844808E-3</v>
      </c>
    </row>
    <row r="10" spans="1:9" ht="15.6">
      <c r="A10" s="74" t="str">
        <v>French River 4</v>
      </c>
      <c r="B10" s="75" t="str">
        <v>MA</v>
      </c>
      <c r="C10" s="68">
        <f>SUM('1st Qtr'!C10, '2nd Qtr'!C10, '3rd Qtr'!C10, '4th Qtr'!C10)</f>
        <v>1278192.6364000011</v>
      </c>
      <c r="D10" s="56">
        <f>SUM('1st Qtr'!D10, '2nd Qtr'!D10, '3rd Qtr'!D10, '4th Qtr'!D10)</f>
        <v>1419306.9</v>
      </c>
      <c r="E10" s="56">
        <f t="shared" si="0"/>
        <v>-141114.26359999878</v>
      </c>
      <c r="F10" s="69">
        <f t="shared" si="1"/>
        <v>-9.9424771062550876E-2</v>
      </c>
      <c r="G10" s="58">
        <f>SUM('1st Qtr'!G10, '2nd Qtr'!G10, '3rd Qtr'!G10, '4th Qtr'!G10)</f>
        <v>1329448.2999999998</v>
      </c>
      <c r="H10" s="58">
        <f>SUM(Jan!H10, Feb!H10, Mar!H10)</f>
        <v>-37845.963599998795</v>
      </c>
      <c r="I10" s="57">
        <f t="shared" si="2"/>
        <v>-2.8467420357752009E-2</v>
      </c>
    </row>
    <row r="11" spans="1:9" ht="15.6">
      <c r="A11" s="76" t="str">
        <v>French River 5</v>
      </c>
      <c r="B11" s="77" t="str">
        <v>MA</v>
      </c>
      <c r="C11" s="71">
        <f>SUM('1st Qtr'!C11, '2nd Qtr'!C11, '3rd Qtr'!C11, '4th Qtr'!C11)</f>
        <v>1169662.3900000001</v>
      </c>
      <c r="D11" s="62">
        <f>SUM('1st Qtr'!D11, '2nd Qtr'!D11, '3rd Qtr'!D11, '4th Qtr'!D11)</f>
        <v>1374704.8</v>
      </c>
      <c r="E11" s="62">
        <f t="shared" si="0"/>
        <v>-205042.40999999992</v>
      </c>
      <c r="F11" s="63">
        <f t="shared" si="1"/>
        <v>-0.1491537746867545</v>
      </c>
      <c r="G11" s="64">
        <f>SUM('1st Qtr'!G11, '2nd Qtr'!G11, '3rd Qtr'!G11, '4th Qtr'!G11)</f>
        <v>1305217.2</v>
      </c>
      <c r="H11" s="64">
        <f>SUM(Jan!H11, Feb!H11, Mar!H11)</f>
        <v>-90612.409999999974</v>
      </c>
      <c r="I11" s="63">
        <f t="shared" si="2"/>
        <v>-6.9423242353839634E-2</v>
      </c>
    </row>
    <row r="12" spans="1:9" ht="15.6">
      <c r="A12" s="74" t="str">
        <v>French River 6</v>
      </c>
      <c r="B12" s="75" t="str">
        <v>MA</v>
      </c>
      <c r="C12" s="68">
        <f>SUM('1st Qtr'!C12, '2nd Qtr'!C12, '3rd Qtr'!C12, '4th Qtr'!C12)</f>
        <v>1141240.43</v>
      </c>
      <c r="D12" s="56">
        <f>SUM('1st Qtr'!D12, '2nd Qtr'!D12, '3rd Qtr'!D12, '4th Qtr'!D12)</f>
        <v>1182683.6000000001</v>
      </c>
      <c r="E12" s="56">
        <f t="shared" si="0"/>
        <v>-41443.170000000158</v>
      </c>
      <c r="F12" s="69">
        <f t="shared" si="1"/>
        <v>-3.5041637509812561E-2</v>
      </c>
      <c r="G12" s="58">
        <f>SUM('1st Qtr'!G12, '2nd Qtr'!G12, '3rd Qtr'!G12, '4th Qtr'!G12)</f>
        <v>1252269.5</v>
      </c>
      <c r="H12" s="58">
        <f>SUM(Jan!H12, Feb!H12, Mar!H12)</f>
        <v>-80776.570000000036</v>
      </c>
      <c r="I12" s="57">
        <f t="shared" si="2"/>
        <v>-6.4504142279277768E-2</v>
      </c>
    </row>
    <row r="13" spans="1:9" ht="15.6">
      <c r="A13" s="76" t="str">
        <v>Stillwater River 1A</v>
      </c>
      <c r="B13" s="77" t="str">
        <v>MA</v>
      </c>
      <c r="C13" s="71">
        <f>SUM('1st Qtr'!C13, '2nd Qtr'!C13, '3rd Qtr'!C13, '4th Qtr'!C13)</f>
        <v>326001.96499999997</v>
      </c>
      <c r="D13" s="62">
        <f>SUM('1st Qtr'!D13, '2nd Qtr'!D13, '3rd Qtr'!D13, '4th Qtr'!D13)</f>
        <v>314782.98</v>
      </c>
      <c r="E13" s="62">
        <f t="shared" si="0"/>
        <v>11218.984999999986</v>
      </c>
      <c r="F13" s="63">
        <f t="shared" si="1"/>
        <v>3.5640379921430272E-2</v>
      </c>
      <c r="G13" s="64">
        <f>SUM('1st Qtr'!G13, '2nd Qtr'!G13, '3rd Qtr'!G13, '4th Qtr'!G13)</f>
        <v>321327.20999999996</v>
      </c>
      <c r="H13" s="64">
        <f>SUM(Jan!H13, Feb!H13, Mar!H13)</f>
        <v>3513.7800000000134</v>
      </c>
      <c r="I13" s="63">
        <f t="shared" si="2"/>
        <v>1.0935208381512459E-2</v>
      </c>
    </row>
    <row r="14" spans="1:9" ht="15.6">
      <c r="A14" s="74" t="str">
        <v>Stillwater River 2</v>
      </c>
      <c r="B14" s="75" t="str">
        <v>MA</v>
      </c>
      <c r="C14" s="68">
        <f>SUM('1st Qtr'!C14, '2nd Qtr'!C14, '3rd Qtr'!C14, '4th Qtr'!C14)</f>
        <v>628647.12000000011</v>
      </c>
      <c r="D14" s="56">
        <f>SUM('1st Qtr'!D14, '2nd Qtr'!D14, '3rd Qtr'!D14, '4th Qtr'!D14)</f>
        <v>741169.98</v>
      </c>
      <c r="E14" s="56">
        <f t="shared" si="0"/>
        <v>-112522.85999999987</v>
      </c>
      <c r="F14" s="69">
        <f t="shared" si="1"/>
        <v>-0.15181788663377849</v>
      </c>
      <c r="G14" s="58">
        <f>SUM('1st Qtr'!G14, '2nd Qtr'!G14, '3rd Qtr'!G14, '4th Qtr'!G14)</f>
        <v>672904.49</v>
      </c>
      <c r="H14" s="58">
        <f>SUM(Jan!H14, Feb!H14, Mar!H14)</f>
        <v>-38015.669999999911</v>
      </c>
      <c r="I14" s="57">
        <f t="shared" si="2"/>
        <v>-5.6494897217879925E-2</v>
      </c>
    </row>
    <row r="15" spans="1:9" ht="15.6">
      <c r="A15" s="76" t="str">
        <v>Stillwater River 3</v>
      </c>
      <c r="B15" s="77" t="str">
        <v>MA</v>
      </c>
      <c r="C15" s="71">
        <f>SUM('1st Qtr'!C15, '2nd Qtr'!C15, '3rd Qtr'!C15, '4th Qtr'!C15)</f>
        <v>630179.4</v>
      </c>
      <c r="D15" s="62">
        <f>SUM('1st Qtr'!D15, '2nd Qtr'!D15, '3rd Qtr'!D15, '4th Qtr'!D15)</f>
        <v>726621.66</v>
      </c>
      <c r="E15" s="62">
        <f t="shared" si="0"/>
        <v>-96442.260000000009</v>
      </c>
      <c r="F15" s="63">
        <f t="shared" si="1"/>
        <v>-0.13272692696774274</v>
      </c>
      <c r="G15" s="64">
        <f>SUM('1st Qtr'!G15, '2nd Qtr'!G15, '3rd Qtr'!G15, '4th Qtr'!G15)</f>
        <v>662455.79</v>
      </c>
      <c r="H15" s="64">
        <f>SUM(Jan!H15, Feb!H15, Mar!H15)</f>
        <v>-30572.690000000017</v>
      </c>
      <c r="I15" s="63">
        <f t="shared" si="2"/>
        <v>-4.6150536324846697E-2</v>
      </c>
    </row>
    <row r="16" spans="1:9" ht="15.6">
      <c r="A16" s="74" t="str">
        <v>Stillwater River 4</v>
      </c>
      <c r="B16" s="75" t="str">
        <v>MA</v>
      </c>
      <c r="C16" s="68">
        <f>SUM('1st Qtr'!C16, '2nd Qtr'!C16, '3rd Qtr'!C16, '4th Qtr'!C16)</f>
        <v>258424.08850000001</v>
      </c>
      <c r="D16" s="56">
        <f>SUM('1st Qtr'!D16, '2nd Qtr'!D16, '3rd Qtr'!D16, '4th Qtr'!D16)</f>
        <v>342543.42</v>
      </c>
      <c r="E16" s="56">
        <f t="shared" ref="E16" si="3">IF(AND(ISNUMBER(C16),ISNUMBER(D16)), C16-D16, "")</f>
        <v>-84119.331499999971</v>
      </c>
      <c r="F16" s="69">
        <f t="shared" ref="F16" si="4">IFERROR(E16/D16, "")</f>
        <v>-0.24557275541886039</v>
      </c>
      <c r="G16" s="58">
        <f>SUM('1st Qtr'!G16, '2nd Qtr'!G16, '3rd Qtr'!G16, '4th Qtr'!G16)</f>
        <v>301010.68</v>
      </c>
      <c r="H16" s="58">
        <f>SUM(Jan!H16, Feb!H16, Mar!H16)</f>
        <v>-28589.281500000005</v>
      </c>
      <c r="I16" s="57">
        <f t="shared" ref="I16" si="5">IFERROR(H16/G16, "")</f>
        <v>-9.4977631690676245E-2</v>
      </c>
    </row>
    <row r="17" spans="1:9" ht="14.4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10</v>
      </c>
      <c r="E1" s="93"/>
      <c r="F1" s="93"/>
      <c r="G1" s="91" t="s">
        <v>11</v>
      </c>
      <c r="H1" s="91"/>
      <c r="I1" s="91"/>
    </row>
    <row r="2" spans="1:9" ht="19.5" customHeight="1">
      <c r="A2" s="94" t="s">
        <v>2</v>
      </c>
      <c r="B2" s="94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6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6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6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6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6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6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6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6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6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6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6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6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4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O29" sqref="O29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12</v>
      </c>
      <c r="E1" s="93"/>
      <c r="F1" s="93"/>
      <c r="G1" s="91" t="s">
        <v>13</v>
      </c>
      <c r="H1" s="91"/>
      <c r="I1" s="91"/>
    </row>
    <row r="2" spans="1:9" ht="19.5" customHeight="1">
      <c r="A2" s="94" t="s">
        <v>2</v>
      </c>
      <c r="B2" s="94"/>
      <c r="C2" s="5">
        <f>SUM(C4:C91)</f>
        <v>5582804.9000888439</v>
      </c>
      <c r="D2" s="5">
        <f>SUM(D4:D91)</f>
        <v>5781387.1600000001</v>
      </c>
      <c r="E2" s="5">
        <f>C2-D2</f>
        <v>-198582.25991115626</v>
      </c>
      <c r="F2" s="6">
        <f>IFERROR(E2/D2, 0)</f>
        <v>-3.4348548958128632E-2</v>
      </c>
      <c r="G2" s="5">
        <f>SUM(G4:G91)</f>
        <v>5741786.8399999999</v>
      </c>
      <c r="H2" s="7">
        <f>C2-G2</f>
        <v>-158981.93991115596</v>
      </c>
      <c r="I2" s="6">
        <f>IFERROR(H2/G2, 0)</f>
        <v>-2.768858272543534E-2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888769</v>
      </c>
      <c r="D4" s="56">
        <f>SUM(Apr!D4, May!D4, Jun!D4)</f>
        <v>816502.60000000009</v>
      </c>
      <c r="E4" s="56">
        <f>IF(AND(ISNUMBER(C4),ISNUMBER(D4)), C4-D4, "")</f>
        <v>72266.399999999907</v>
      </c>
      <c r="F4" s="69">
        <f>IFERROR(E4/D4, "")</f>
        <v>8.8507250313715966E-2</v>
      </c>
      <c r="G4" s="58">
        <f>SUM(Apr!G4+May!G4+Jun!G4)</f>
        <v>913047</v>
      </c>
      <c r="H4" s="58">
        <f>SUM(Apr!H4, May!H4, Jun!H4)</f>
        <v>-24278</v>
      </c>
      <c r="I4" s="57">
        <f>IFERROR(H4/G4, "")</f>
        <v>-2.6590087914422807E-2</v>
      </c>
    </row>
    <row r="5" spans="1:9" ht="15.6">
      <c r="A5" s="79" t="str">
        <v>Clara Barton</v>
      </c>
      <c r="B5" s="77" t="str">
        <v>MA</v>
      </c>
      <c r="C5" s="71">
        <f>SUM(Apr!C5, May!C5, Jun!C5)</f>
        <v>330305</v>
      </c>
      <c r="D5" s="62">
        <f>SUM(Apr!D5, May!D5, Jun!D5)</f>
        <v>326250.09999999998</v>
      </c>
      <c r="E5" s="62">
        <f t="shared" ref="E5:E15" si="0">IF(AND(ISNUMBER(C5),ISNUMBER(D5)), C5-D5, "")</f>
        <v>4054.9000000000233</v>
      </c>
      <c r="F5" s="63">
        <f>IFERROR(E5/D5, "")</f>
        <v>1.2428808450940011E-2</v>
      </c>
      <c r="G5" s="89">
        <f>SUM(Apr!G5+May!G5+Jun!G5)</f>
        <v>338224</v>
      </c>
      <c r="H5" s="64">
        <f>SUM(Apr!H5, May!H5, Jun!H5)</f>
        <v>-7919</v>
      </c>
      <c r="I5" s="63">
        <f>IFERROR(H5/G5, "")</f>
        <v>-2.3413477458725577E-2</v>
      </c>
    </row>
    <row r="6" spans="1:9" ht="15.6">
      <c r="A6" s="78" t="str">
        <v>Fairhaven Solar</v>
      </c>
      <c r="B6" s="75" t="str">
        <v>MA</v>
      </c>
      <c r="C6" s="68">
        <f>SUM(Apr!C6, May!C6, Jun!C6)</f>
        <v>240527</v>
      </c>
      <c r="D6" s="56">
        <f>SUM(Apr!D6, May!D6, Jun!D6)</f>
        <v>241594.6</v>
      </c>
      <c r="E6" s="56">
        <f t="shared" si="0"/>
        <v>-1067.6000000000058</v>
      </c>
      <c r="F6" s="69">
        <f t="shared" ref="F6:F15" si="1">IFERROR(E6/D6, "")</f>
        <v>-4.4189729406203856E-3</v>
      </c>
      <c r="G6" s="58">
        <f>SUM(Apr!G6+May!G6+Jun!G6)</f>
        <v>260130.4</v>
      </c>
      <c r="H6" s="58">
        <f>SUM(Apr!H6, May!H6, Jun!H6)</f>
        <v>-19603.399999999994</v>
      </c>
      <c r="I6" s="57">
        <f t="shared" ref="I6:I15" si="2">IFERROR(H6/G6, "")</f>
        <v>-7.5359896421179517E-2</v>
      </c>
    </row>
    <row r="7" spans="1:9" ht="15.6">
      <c r="A7" s="79" t="str">
        <v>Plympton-1</v>
      </c>
      <c r="B7" s="77" t="str">
        <v>MA</v>
      </c>
      <c r="C7" s="71">
        <f>SUM(Apr!C7, May!C7, Jun!C7)</f>
        <v>341357.99508884398</v>
      </c>
      <c r="D7" s="62">
        <f>SUM(Apr!D7, May!D7, Jun!D7)</f>
        <v>342907.6</v>
      </c>
      <c r="E7" s="62">
        <f t="shared" si="0"/>
        <v>-1549.6049111559987</v>
      </c>
      <c r="F7" s="63">
        <f t="shared" si="1"/>
        <v>-4.5190159423588129E-3</v>
      </c>
      <c r="G7" s="89">
        <f>SUM(Apr!G7+May!G7+Jun!G7)</f>
        <v>339339.69999999995</v>
      </c>
      <c r="H7" s="64">
        <f>SUM(Apr!H7, May!H7, Jun!H7)</f>
        <v>2018.2950888440246</v>
      </c>
      <c r="I7" s="63">
        <f t="shared" si="2"/>
        <v>5.9477128342013174E-3</v>
      </c>
    </row>
    <row r="8" spans="1:9" ht="15.6">
      <c r="A8" s="78" t="str">
        <v>French River 2</v>
      </c>
      <c r="B8" s="75" t="str">
        <v>MA</v>
      </c>
      <c r="C8" s="68">
        <f>SUM(Apr!C8, May!C8, Jun!C8)</f>
        <v>326148</v>
      </c>
      <c r="D8" s="56">
        <f>SUM(Apr!D8, May!D8, Jun!D8)</f>
        <v>358306.80000000005</v>
      </c>
      <c r="E8" s="56">
        <f t="shared" si="0"/>
        <v>-32158.800000000047</v>
      </c>
      <c r="F8" s="69">
        <f t="shared" si="1"/>
        <v>-8.9752134204542144E-2</v>
      </c>
      <c r="G8" s="58">
        <f>SUM(Apr!G8+May!G8+Jun!G8)</f>
        <v>332871</v>
      </c>
      <c r="H8" s="58">
        <f>SUM(Apr!H8, May!H8, Jun!H8)</f>
        <v>-6723</v>
      </c>
      <c r="I8" s="57">
        <f t="shared" si="2"/>
        <v>-2.0197013257387996E-2</v>
      </c>
    </row>
    <row r="9" spans="1:9" ht="15.6">
      <c r="A9" s="79" t="str">
        <v>French River 3</v>
      </c>
      <c r="B9" s="77" t="str">
        <v>MA</v>
      </c>
      <c r="C9" s="71">
        <f>SUM(Apr!C9, May!C9, Jun!C9)</f>
        <v>644187</v>
      </c>
      <c r="D9" s="62">
        <f>SUM(Apr!D9, May!D9, Jun!D9)</f>
        <v>680685.39999999991</v>
      </c>
      <c r="E9" s="62">
        <f t="shared" si="0"/>
        <v>-36498.399999999907</v>
      </c>
      <c r="F9" s="63">
        <f t="shared" si="1"/>
        <v>-5.3620071768837575E-2</v>
      </c>
      <c r="G9" s="89">
        <f>SUM(Apr!G9+May!G9+Jun!G9)</f>
        <v>637277.5</v>
      </c>
      <c r="H9" s="64">
        <f>SUM(Apr!H9, May!H9, Jun!H9)</f>
        <v>6909.5</v>
      </c>
      <c r="I9" s="63">
        <f t="shared" si="2"/>
        <v>1.0842215518357387E-2</v>
      </c>
    </row>
    <row r="10" spans="1:9" ht="15.6">
      <c r="A10" s="78" t="str">
        <v>French River 4</v>
      </c>
      <c r="B10" s="75" t="str">
        <v>MA</v>
      </c>
      <c r="C10" s="68">
        <f>SUM(Apr!C10, May!C10, Jun!C10)</f>
        <v>650883</v>
      </c>
      <c r="D10" s="56">
        <f>SUM(Apr!D10, May!D10, Jun!D10)</f>
        <v>694558.8</v>
      </c>
      <c r="E10" s="56">
        <f t="shared" si="0"/>
        <v>-43675.800000000047</v>
      </c>
      <c r="F10" s="69">
        <f t="shared" si="1"/>
        <v>-6.2882796964058393E-2</v>
      </c>
      <c r="G10" s="58">
        <f>SUM(Apr!G10+May!G10+Jun!G10)</f>
        <v>664292.69999999995</v>
      </c>
      <c r="H10" s="58">
        <f>SUM(Apr!H10, May!H10, Jun!H10)</f>
        <v>-13409.700000000012</v>
      </c>
      <c r="I10" s="57">
        <f t="shared" si="2"/>
        <v>-2.0186432878157495E-2</v>
      </c>
    </row>
    <row r="11" spans="1:9" ht="15.6">
      <c r="A11" s="79" t="str">
        <v>French River 5</v>
      </c>
      <c r="B11" s="77" t="str">
        <v>MA</v>
      </c>
      <c r="C11" s="71">
        <f>SUM(Apr!C11, May!C11, Jun!C11)</f>
        <v>607401</v>
      </c>
      <c r="D11" s="62">
        <f>SUM(Apr!D11, May!D11, Jun!D11)</f>
        <v>673423.5</v>
      </c>
      <c r="E11" s="62">
        <f t="shared" si="0"/>
        <v>-66022.5</v>
      </c>
      <c r="F11" s="63">
        <f t="shared" si="1"/>
        <v>-9.8040089186076818E-2</v>
      </c>
      <c r="G11" s="89">
        <f>SUM(Apr!G11+May!G11+Jun!G11)</f>
        <v>652343.39999999991</v>
      </c>
      <c r="H11" s="64">
        <f>SUM(Apr!H11, May!H11, Jun!H11)</f>
        <v>-44942.399999999965</v>
      </c>
      <c r="I11" s="63">
        <f t="shared" si="2"/>
        <v>-6.8893775885522826E-2</v>
      </c>
    </row>
    <row r="12" spans="1:9" ht="15.6">
      <c r="A12" s="78" t="str">
        <v>French River 6</v>
      </c>
      <c r="B12" s="75" t="str">
        <v>MA</v>
      </c>
      <c r="C12" s="68">
        <f>SUM(Apr!C12, May!C12, Jun!C12)</f>
        <v>595608</v>
      </c>
      <c r="D12" s="56">
        <f>SUM(Apr!D12, May!D12, Jun!D12)</f>
        <v>577593.19999999995</v>
      </c>
      <c r="E12" s="56">
        <f t="shared" si="0"/>
        <v>18014.800000000047</v>
      </c>
      <c r="F12" s="69">
        <f t="shared" si="1"/>
        <v>3.1189425360270945E-2</v>
      </c>
      <c r="G12" s="58">
        <f>SUM(Apr!G12+May!G12+Jun!G12)</f>
        <v>625860.5</v>
      </c>
      <c r="H12" s="58">
        <f>SUM(Apr!H12, May!H12, Jun!H12)</f>
        <v>-30252.5</v>
      </c>
      <c r="I12" s="57">
        <f t="shared" si="2"/>
        <v>-4.8337449000216505E-2</v>
      </c>
    </row>
    <row r="13" spans="1:9" ht="15.6">
      <c r="A13" s="79" t="str">
        <v>Stillwater River 1A</v>
      </c>
      <c r="B13" s="77" t="str">
        <v>MA</v>
      </c>
      <c r="C13" s="71">
        <f>SUM(Apr!C13, May!C13, Jun!C13)</f>
        <v>161750.715</v>
      </c>
      <c r="D13" s="62">
        <f>SUM(Apr!D13, May!D13, Jun!D13)</f>
        <v>168865.34999999998</v>
      </c>
      <c r="E13" s="62">
        <f t="shared" si="0"/>
        <v>-7114.6349999999802</v>
      </c>
      <c r="F13" s="63">
        <f t="shared" si="1"/>
        <v>-4.2132000437034488E-2</v>
      </c>
      <c r="G13" s="89">
        <f>SUM(Apr!G13+May!G13+Jun!G13)</f>
        <v>160589.74</v>
      </c>
      <c r="H13" s="64">
        <f>SUM(Apr!H13, May!H13, Jun!H13)</f>
        <v>1160.9750000000058</v>
      </c>
      <c r="I13" s="63">
        <f t="shared" si="2"/>
        <v>7.2294469123619347E-3</v>
      </c>
    </row>
    <row r="14" spans="1:9" ht="15.6">
      <c r="A14" s="78" t="str">
        <v>Stillwater River 2</v>
      </c>
      <c r="B14" s="75" t="str">
        <v>MA</v>
      </c>
      <c r="C14" s="68">
        <f>SUM(Apr!C14, May!C14, Jun!C14)</f>
        <v>330035</v>
      </c>
      <c r="D14" s="56">
        <f>SUM(Apr!D14, May!D14, Jun!D14)</f>
        <v>368163.9</v>
      </c>
      <c r="E14" s="56">
        <f t="shared" si="0"/>
        <v>-38128.900000000023</v>
      </c>
      <c r="F14" s="69">
        <f t="shared" si="1"/>
        <v>-0.10356501547272837</v>
      </c>
      <c r="G14" s="58">
        <f>SUM(Apr!G14+May!G14+Jun!G14)</f>
        <v>336276.7</v>
      </c>
      <c r="H14" s="58">
        <f>SUM(Apr!H14, May!H14, Jun!H14)</f>
        <v>-6241.7000000000116</v>
      </c>
      <c r="I14" s="57">
        <f t="shared" si="2"/>
        <v>-1.8561202723828357E-2</v>
      </c>
    </row>
    <row r="15" spans="1:9" ht="15.6">
      <c r="A15" s="79" t="str">
        <v>Stillwater River 3</v>
      </c>
      <c r="B15" s="77" t="str">
        <v>MA</v>
      </c>
      <c r="C15" s="71">
        <f>SUM(Apr!C15, May!C15, Jun!C15)</f>
        <v>329359</v>
      </c>
      <c r="D15" s="62">
        <f>SUM(Apr!D15, May!D15, Jun!D15)</f>
        <v>355360.30000000005</v>
      </c>
      <c r="E15" s="62">
        <f t="shared" si="0"/>
        <v>-26001.300000000047</v>
      </c>
      <c r="F15" s="63">
        <f t="shared" si="1"/>
        <v>-7.3168837374349482E-2</v>
      </c>
      <c r="G15" s="89">
        <f>SUM(Apr!G15+May!G15+Jun!G15)</f>
        <v>331062.7</v>
      </c>
      <c r="H15" s="64">
        <f>SUM(Apr!H15, May!H15, Jun!H15)</f>
        <v>-1703.7000000000116</v>
      </c>
      <c r="I15" s="63">
        <f t="shared" si="2"/>
        <v>-5.1461550938840632E-3</v>
      </c>
    </row>
    <row r="16" spans="1:9" ht="15.6">
      <c r="A16" s="78" t="str">
        <v>Stillwater River 4</v>
      </c>
      <c r="B16" s="75" t="str">
        <v>MA</v>
      </c>
      <c r="C16" s="68">
        <f>SUM(Apr!C16, May!C16, Jun!C16)</f>
        <v>136474.19</v>
      </c>
      <c r="D16" s="56">
        <f>SUM(Apr!D16, May!D16, Jun!D16)</f>
        <v>177175.01</v>
      </c>
      <c r="E16" s="56">
        <f t="shared" ref="E16" si="3">IF(AND(ISNUMBER(C16),ISNUMBER(D16)), C16-D16, "")</f>
        <v>-40700.820000000007</v>
      </c>
      <c r="F16" s="69">
        <f t="shared" ref="F16" si="4">IFERROR(E16/D16, "")</f>
        <v>-0.22972099733478218</v>
      </c>
      <c r="G16" s="58">
        <f>SUM(Apr!G16+May!G16+Jun!G16)</f>
        <v>150471.5</v>
      </c>
      <c r="H16" s="58">
        <f>SUM(Apr!H16, May!H16, Jun!H16)</f>
        <v>-13997.309999999998</v>
      </c>
      <c r="I16" s="57">
        <f t="shared" ref="I16" si="5">IFERROR(H16/G16, "")</f>
        <v>-9.3022997710529881E-2</v>
      </c>
    </row>
    <row r="17" spans="1:9" ht="13.9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14</v>
      </c>
      <c r="E1" s="93"/>
      <c r="F1" s="93"/>
      <c r="G1" s="91" t="s">
        <v>15</v>
      </c>
      <c r="H1" s="91"/>
      <c r="I1" s="91"/>
    </row>
    <row r="2" spans="1:9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0</v>
      </c>
      <c r="D4" s="56">
        <f>SUM(Jul!D4, Aug!D4, Sep!D4)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SUM(Jul!H4, Aug!H4, Sep!H4)</f>
        <v>0</v>
      </c>
      <c r="I4" s="57" t="str">
        <f>IFERROR(H4/G4, "")</f>
        <v/>
      </c>
    </row>
    <row r="5" spans="1:9" ht="15.6">
      <c r="A5" s="79" t="str">
        <v>Clara Barton</v>
      </c>
      <c r="B5" s="77" t="str">
        <v>MA</v>
      </c>
      <c r="C5" s="71">
        <f>SUM(Jul!C5, Aug!C5, Sep!C5)</f>
        <v>0</v>
      </c>
      <c r="D5" s="62">
        <f>SUM(Jul!D5, Aug!D5, Sep!D5)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SUM(Jul!H5, Aug!H5, Sep!H5)</f>
        <v>0</v>
      </c>
      <c r="I5" s="63" t="str">
        <f>IFERROR(H5/G5, "")</f>
        <v/>
      </c>
    </row>
    <row r="6" spans="1:9" ht="15.6">
      <c r="A6" s="78" t="str">
        <v>Fairhaven Solar</v>
      </c>
      <c r="B6" s="75" t="str">
        <v>MA</v>
      </c>
      <c r="C6" s="68">
        <f>SUM(Jul!C6, Aug!C6, Sep!C6)</f>
        <v>0</v>
      </c>
      <c r="D6" s="56">
        <f>SUM(Jul!D6, Aug!D6, Sep!D6)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SUM(Jul!H6, Aug!H6, Sep!H6)</f>
        <v>0</v>
      </c>
      <c r="I6" s="57" t="str">
        <f t="shared" ref="I6:I15" si="2">IFERROR(H6/G6, "")</f>
        <v/>
      </c>
    </row>
    <row r="7" spans="1:9" ht="15.6">
      <c r="A7" s="79" t="str">
        <v>Plympton-1</v>
      </c>
      <c r="B7" s="77" t="str">
        <v>MA</v>
      </c>
      <c r="C7" s="71">
        <f>SUM(Jul!C7, Aug!C7, Sep!C7)</f>
        <v>0</v>
      </c>
      <c r="D7" s="62">
        <f>SUM(Jul!D7, Aug!D7, Sep!D7)</f>
        <v>0</v>
      </c>
      <c r="E7" s="62">
        <f t="shared" si="0"/>
        <v>0</v>
      </c>
      <c r="F7" s="63" t="str">
        <f t="shared" si="1"/>
        <v/>
      </c>
      <c r="G7" s="64"/>
      <c r="H7" s="64">
        <f>SUM(Jul!H7, Aug!H7, Sep!H7)</f>
        <v>0</v>
      </c>
      <c r="I7" s="63" t="str">
        <f t="shared" si="2"/>
        <v/>
      </c>
    </row>
    <row r="8" spans="1:9" ht="15.6">
      <c r="A8" s="78" t="str">
        <v>French River 2</v>
      </c>
      <c r="B8" s="75" t="str">
        <v>MA</v>
      </c>
      <c r="C8" s="68">
        <f>SUM(Jul!C8, Aug!C8, Sep!C8)</f>
        <v>0</v>
      </c>
      <c r="D8" s="56">
        <f>SUM(Jul!D8, Aug!D8, Sep!D8)</f>
        <v>0</v>
      </c>
      <c r="E8" s="56">
        <f t="shared" si="0"/>
        <v>0</v>
      </c>
      <c r="F8" s="69" t="str">
        <f t="shared" si="1"/>
        <v/>
      </c>
      <c r="G8" s="58"/>
      <c r="H8" s="58">
        <f>SUM(Jul!H8, Aug!H8, Sep!H8)</f>
        <v>0</v>
      </c>
      <c r="I8" s="57" t="str">
        <f t="shared" si="2"/>
        <v/>
      </c>
    </row>
    <row r="9" spans="1:9" ht="15.6">
      <c r="A9" s="79" t="str">
        <v>French River 3</v>
      </c>
      <c r="B9" s="77" t="str">
        <v>MA</v>
      </c>
      <c r="C9" s="71">
        <f>SUM(Jul!C9, Aug!C9, Sep!C9)</f>
        <v>0</v>
      </c>
      <c r="D9" s="62">
        <f>SUM(Jul!D9, Aug!D9, Sep!D9)</f>
        <v>0</v>
      </c>
      <c r="E9" s="62">
        <f t="shared" si="0"/>
        <v>0</v>
      </c>
      <c r="F9" s="63" t="str">
        <f t="shared" si="1"/>
        <v/>
      </c>
      <c r="G9" s="64"/>
      <c r="H9" s="64">
        <f>SUM(Jul!H9, Aug!H9, Sep!H9)</f>
        <v>0</v>
      </c>
      <c r="I9" s="63" t="str">
        <f t="shared" si="2"/>
        <v/>
      </c>
    </row>
    <row r="10" spans="1:9" ht="15.6">
      <c r="A10" s="78" t="str">
        <v>French River 4</v>
      </c>
      <c r="B10" s="75" t="str">
        <v>MA</v>
      </c>
      <c r="C10" s="68">
        <f>SUM(Jul!C10, Aug!C10, Sep!C10)</f>
        <v>0</v>
      </c>
      <c r="D10" s="56">
        <f>SUM(Jul!D10, Aug!D10, Sep!D10)</f>
        <v>0</v>
      </c>
      <c r="E10" s="56">
        <f t="shared" si="0"/>
        <v>0</v>
      </c>
      <c r="F10" s="69" t="str">
        <f t="shared" si="1"/>
        <v/>
      </c>
      <c r="G10" s="58"/>
      <c r="H10" s="58">
        <f>SUM(Jul!H10, Aug!H10, Sep!H10)</f>
        <v>0</v>
      </c>
      <c r="I10" s="57" t="str">
        <f t="shared" si="2"/>
        <v/>
      </c>
    </row>
    <row r="11" spans="1:9" ht="15.6">
      <c r="A11" s="79" t="str">
        <v>French River 5</v>
      </c>
      <c r="B11" s="77" t="str">
        <v>MA</v>
      </c>
      <c r="C11" s="71">
        <f>SUM(Jul!C11, Aug!C11, Sep!C11)</f>
        <v>0</v>
      </c>
      <c r="D11" s="62">
        <f>SUM(Jul!D11, Aug!D11, Sep!D11)</f>
        <v>0</v>
      </c>
      <c r="E11" s="62">
        <f t="shared" si="0"/>
        <v>0</v>
      </c>
      <c r="F11" s="63" t="str">
        <f t="shared" si="1"/>
        <v/>
      </c>
      <c r="G11" s="64"/>
      <c r="H11" s="64">
        <f>SUM(Jul!H11, Aug!H11, Sep!H11)</f>
        <v>0</v>
      </c>
      <c r="I11" s="63" t="str">
        <f t="shared" si="2"/>
        <v/>
      </c>
    </row>
    <row r="12" spans="1:9" ht="15.6">
      <c r="A12" s="78" t="str">
        <v>French River 6</v>
      </c>
      <c r="B12" s="75" t="str">
        <v>MA</v>
      </c>
      <c r="C12" s="68">
        <f>SUM(Jul!C12, Aug!C12, Sep!C12)</f>
        <v>0</v>
      </c>
      <c r="D12" s="56">
        <f>SUM(Jul!D12, Aug!D12, Sep!D12)</f>
        <v>0</v>
      </c>
      <c r="E12" s="56">
        <f t="shared" si="0"/>
        <v>0</v>
      </c>
      <c r="F12" s="69" t="str">
        <f t="shared" si="1"/>
        <v/>
      </c>
      <c r="G12" s="58"/>
      <c r="H12" s="58">
        <f>SUM(Jul!H12, Aug!H12, Sep!H12)</f>
        <v>0</v>
      </c>
      <c r="I12" s="57" t="str">
        <f t="shared" si="2"/>
        <v/>
      </c>
    </row>
    <row r="13" spans="1:9" ht="15.6">
      <c r="A13" s="79" t="str">
        <v>Stillwater River 1A</v>
      </c>
      <c r="B13" s="77" t="str">
        <v>MA</v>
      </c>
      <c r="C13" s="71">
        <f>SUM(Jul!C13, Aug!C13, Sep!C13)</f>
        <v>0</v>
      </c>
      <c r="D13" s="62">
        <f>SUM(Jul!D13, Aug!D13, Sep!D13)</f>
        <v>0</v>
      </c>
      <c r="E13" s="62">
        <f t="shared" si="0"/>
        <v>0</v>
      </c>
      <c r="F13" s="63" t="str">
        <f t="shared" si="1"/>
        <v/>
      </c>
      <c r="G13" s="64"/>
      <c r="H13" s="64">
        <f>SUM(Jul!H13, Aug!H13, Sep!H13)</f>
        <v>0</v>
      </c>
      <c r="I13" s="63" t="str">
        <f t="shared" si="2"/>
        <v/>
      </c>
    </row>
    <row r="14" spans="1:9" ht="15.6">
      <c r="A14" s="78" t="str">
        <v>Stillwater River 2</v>
      </c>
      <c r="B14" s="75" t="str">
        <v>MA</v>
      </c>
      <c r="C14" s="68">
        <f>SUM(Jul!C14, Aug!C14, Sep!C14)</f>
        <v>0</v>
      </c>
      <c r="D14" s="56">
        <f>SUM(Jul!D14, Aug!D14, Sep!D14)</f>
        <v>0</v>
      </c>
      <c r="E14" s="56">
        <f t="shared" si="0"/>
        <v>0</v>
      </c>
      <c r="F14" s="69" t="str">
        <f t="shared" si="1"/>
        <v/>
      </c>
      <c r="G14" s="58"/>
      <c r="H14" s="58">
        <f>SUM(Jul!H14, Aug!H14, Sep!H14)</f>
        <v>0</v>
      </c>
      <c r="I14" s="57" t="str">
        <f t="shared" si="2"/>
        <v/>
      </c>
    </row>
    <row r="15" spans="1:9" ht="15.6">
      <c r="A15" s="79" t="str">
        <v>Stillwater River 3</v>
      </c>
      <c r="B15" s="77" t="str">
        <v>MA</v>
      </c>
      <c r="C15" s="71">
        <f>SUM(Jul!C15, Aug!C15, Sep!C15)</f>
        <v>0</v>
      </c>
      <c r="D15" s="62">
        <f>SUM(Jul!D15, Aug!D15, Sep!D15)</f>
        <v>0</v>
      </c>
      <c r="E15" s="62">
        <f t="shared" si="0"/>
        <v>0</v>
      </c>
      <c r="F15" s="63" t="str">
        <f t="shared" si="1"/>
        <v/>
      </c>
      <c r="G15" s="64"/>
      <c r="H15" s="64">
        <f>SUM(Jul!H15, Aug!H15, Sep!H15)</f>
        <v>0</v>
      </c>
      <c r="I15" s="63" t="str">
        <f t="shared" si="2"/>
        <v/>
      </c>
    </row>
    <row r="16" spans="1:9" ht="15.6">
      <c r="A16" s="78" t="str">
        <v>Stillwater River 4</v>
      </c>
      <c r="B16" s="75" t="str">
        <v>MA</v>
      </c>
      <c r="C16" s="68">
        <f>SUM(Jul!C16, Aug!C16, Sep!C16)</f>
        <v>0</v>
      </c>
      <c r="D16" s="56">
        <f>SUM(Jul!D16, Aug!D16, Sep!D16)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SUM(Jul!H16, Aug!H16, Sep!H16)</f>
        <v>0</v>
      </c>
      <c r="I16" s="57" t="str">
        <f t="shared" ref="I16" si="5">IFERROR(H16/G16, "")</f>
        <v/>
      </c>
    </row>
    <row r="17" spans="1:9" ht="15.6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6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6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6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6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6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2" t="str" cm="1">
        <f t="array" ref="A1">portfolio</f>
        <v>MN8 Bond</v>
      </c>
      <c r="B1" s="92"/>
      <c r="C1" s="92"/>
      <c r="D1" s="93" t="s">
        <v>16</v>
      </c>
      <c r="E1" s="93"/>
      <c r="F1" s="93"/>
      <c r="G1" s="91" t="s">
        <v>17</v>
      </c>
      <c r="H1" s="91"/>
      <c r="I1" s="91"/>
    </row>
    <row r="2" spans="1:9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0</v>
      </c>
      <c r="D4" s="56">
        <f>SUM(Oct!D4, Nov!D4, Dec!D4)</f>
        <v>0</v>
      </c>
      <c r="E4" s="56">
        <f>IF(AND(ISNUMBER(C4),ISNUMBER(D4)), C4-D4, "")</f>
        <v>0</v>
      </c>
      <c r="F4" s="69" t="str">
        <f>IFERROR(E4/D4, "")</f>
        <v/>
      </c>
      <c r="G4" s="58"/>
      <c r="H4" s="58">
        <f>SUM(Oct!H4, Nov!H4, Dec!H4)</f>
        <v>0</v>
      </c>
      <c r="I4" s="57" t="str">
        <f>IFERROR(H4/G4, "")</f>
        <v/>
      </c>
    </row>
    <row r="5" spans="1:9" ht="15.6">
      <c r="A5" s="79" t="str">
        <v>Clara Barton</v>
      </c>
      <c r="B5" s="77" t="str">
        <v>MA</v>
      </c>
      <c r="C5" s="71">
        <f>SUM(Oct!C5, Nov!C5, Dec!C5)</f>
        <v>0</v>
      </c>
      <c r="D5" s="62">
        <f>SUM(Oct!D5, Nov!D5, Dec!D5)</f>
        <v>0</v>
      </c>
      <c r="E5" s="62">
        <f t="shared" ref="E5:E15" si="0">IF(AND(ISNUMBER(C5),ISNUMBER(D5)), C5-D5, "")</f>
        <v>0</v>
      </c>
      <c r="F5" s="63" t="str">
        <f>IFERROR(E5/D5, "")</f>
        <v/>
      </c>
      <c r="G5" s="64"/>
      <c r="H5" s="64">
        <f>SUM(Oct!H5, Nov!H5, Dec!H5)</f>
        <v>0</v>
      </c>
      <c r="I5" s="63" t="str">
        <f>IFERROR(H5/G5, "")</f>
        <v/>
      </c>
    </row>
    <row r="6" spans="1:9" ht="15.6">
      <c r="A6" s="78" t="str">
        <v>Fairhaven Solar</v>
      </c>
      <c r="B6" s="75" t="str">
        <v>MA</v>
      </c>
      <c r="C6" s="68">
        <f>SUM(Oct!C6, Nov!C6, Dec!C6)</f>
        <v>0</v>
      </c>
      <c r="D6" s="56">
        <f>SUM(Oct!D6, Nov!D6, Dec!D6)</f>
        <v>0</v>
      </c>
      <c r="E6" s="56">
        <f t="shared" si="0"/>
        <v>0</v>
      </c>
      <c r="F6" s="69" t="str">
        <f t="shared" ref="F6:F15" si="1">IFERROR(E6/D6, "")</f>
        <v/>
      </c>
      <c r="G6" s="58"/>
      <c r="H6" s="58">
        <f>SUM(Oct!H6, Nov!H6, Dec!H6)</f>
        <v>0</v>
      </c>
      <c r="I6" s="57" t="str">
        <f t="shared" ref="I6:I15" si="2">IFERROR(H6/G6, "")</f>
        <v/>
      </c>
    </row>
    <row r="7" spans="1:9" ht="15.6">
      <c r="A7" s="79" t="str">
        <v>Plympton-1</v>
      </c>
      <c r="B7" s="77" t="str">
        <v>MA</v>
      </c>
      <c r="C7" s="71">
        <f>SUM(Oct!C7, Nov!C7, Dec!C7)</f>
        <v>0</v>
      </c>
      <c r="D7" s="62">
        <f>SUM(Oct!D7, Nov!D7, Dec!D7)</f>
        <v>0</v>
      </c>
      <c r="E7" s="62">
        <f t="shared" si="0"/>
        <v>0</v>
      </c>
      <c r="F7" s="63" t="str">
        <f t="shared" si="1"/>
        <v/>
      </c>
      <c r="G7" s="64"/>
      <c r="H7" s="64">
        <f>SUM(Oct!H7, Nov!H7, Dec!H7)</f>
        <v>0</v>
      </c>
      <c r="I7" s="63" t="str">
        <f t="shared" si="2"/>
        <v/>
      </c>
    </row>
    <row r="8" spans="1:9" ht="15.6">
      <c r="A8" s="78" t="str">
        <v>French River 2</v>
      </c>
      <c r="B8" s="75" t="str">
        <v>MA</v>
      </c>
      <c r="C8" s="68">
        <f>SUM(Oct!C8, Nov!C8, Dec!C8)</f>
        <v>0</v>
      </c>
      <c r="D8" s="56">
        <f>SUM(Oct!D8, Nov!D8, Dec!D8)</f>
        <v>0</v>
      </c>
      <c r="E8" s="56">
        <f t="shared" si="0"/>
        <v>0</v>
      </c>
      <c r="F8" s="69" t="str">
        <f t="shared" si="1"/>
        <v/>
      </c>
      <c r="G8" s="58"/>
      <c r="H8" s="58">
        <f>SUM(Oct!H8, Nov!H8, Dec!H8)</f>
        <v>0</v>
      </c>
      <c r="I8" s="57" t="str">
        <f t="shared" si="2"/>
        <v/>
      </c>
    </row>
    <row r="9" spans="1:9" ht="15.6">
      <c r="A9" s="79" t="str">
        <v>French River 3</v>
      </c>
      <c r="B9" s="77" t="str">
        <v>MA</v>
      </c>
      <c r="C9" s="71">
        <f>SUM(Oct!C9, Nov!C9, Dec!C9)</f>
        <v>0</v>
      </c>
      <c r="D9" s="62">
        <f>SUM(Oct!D9, Nov!D9, Dec!D9)</f>
        <v>0</v>
      </c>
      <c r="E9" s="62">
        <f t="shared" si="0"/>
        <v>0</v>
      </c>
      <c r="F9" s="63" t="str">
        <f t="shared" si="1"/>
        <v/>
      </c>
      <c r="G9" s="64"/>
      <c r="H9" s="64">
        <f>SUM(Oct!H9, Nov!H9, Dec!H9)</f>
        <v>0</v>
      </c>
      <c r="I9" s="63" t="str">
        <f t="shared" si="2"/>
        <v/>
      </c>
    </row>
    <row r="10" spans="1:9" ht="15.6">
      <c r="A10" s="78" t="str">
        <v>French River 4</v>
      </c>
      <c r="B10" s="75" t="str">
        <v>MA</v>
      </c>
      <c r="C10" s="68">
        <f>SUM(Oct!C10, Nov!C10, Dec!C10)</f>
        <v>0</v>
      </c>
      <c r="D10" s="56">
        <f>SUM(Oct!D10, Nov!D10, Dec!D10)</f>
        <v>0</v>
      </c>
      <c r="E10" s="56">
        <f t="shared" si="0"/>
        <v>0</v>
      </c>
      <c r="F10" s="69" t="str">
        <f t="shared" si="1"/>
        <v/>
      </c>
      <c r="G10" s="58"/>
      <c r="H10" s="58">
        <f>SUM(Oct!H10, Nov!H10, Dec!H10)</f>
        <v>0</v>
      </c>
      <c r="I10" s="57" t="str">
        <f t="shared" si="2"/>
        <v/>
      </c>
    </row>
    <row r="11" spans="1:9" ht="15.6">
      <c r="A11" s="79" t="str">
        <v>French River 5</v>
      </c>
      <c r="B11" s="77" t="str">
        <v>MA</v>
      </c>
      <c r="C11" s="71">
        <f>SUM(Oct!C11, Nov!C11, Dec!C11)</f>
        <v>0</v>
      </c>
      <c r="D11" s="62">
        <f>SUM(Oct!D11, Nov!D11, Dec!D11)</f>
        <v>0</v>
      </c>
      <c r="E11" s="62">
        <f t="shared" si="0"/>
        <v>0</v>
      </c>
      <c r="F11" s="63" t="str">
        <f t="shared" si="1"/>
        <v/>
      </c>
      <c r="G11" s="64"/>
      <c r="H11" s="64">
        <f>SUM(Oct!H11, Nov!H11, Dec!H11)</f>
        <v>0</v>
      </c>
      <c r="I11" s="63" t="str">
        <f t="shared" si="2"/>
        <v/>
      </c>
    </row>
    <row r="12" spans="1:9" ht="15.6">
      <c r="A12" s="78" t="str">
        <v>French River 6</v>
      </c>
      <c r="B12" s="75" t="str">
        <v>MA</v>
      </c>
      <c r="C12" s="68">
        <f>SUM(Oct!C12, Nov!C12, Dec!C12)</f>
        <v>0</v>
      </c>
      <c r="D12" s="56">
        <f>SUM(Oct!D12, Nov!D12, Dec!D12)</f>
        <v>0</v>
      </c>
      <c r="E12" s="56">
        <f t="shared" si="0"/>
        <v>0</v>
      </c>
      <c r="F12" s="69" t="str">
        <f t="shared" si="1"/>
        <v/>
      </c>
      <c r="G12" s="58"/>
      <c r="H12" s="58">
        <f>SUM(Oct!H12, Nov!H12, Dec!H12)</f>
        <v>0</v>
      </c>
      <c r="I12" s="57" t="str">
        <f t="shared" si="2"/>
        <v/>
      </c>
    </row>
    <row r="13" spans="1:9" ht="15.6">
      <c r="A13" s="79" t="str">
        <v>Stillwater River 1A</v>
      </c>
      <c r="B13" s="77" t="str">
        <v>MA</v>
      </c>
      <c r="C13" s="71">
        <f>SUM(Oct!C13, Nov!C13, Dec!C13)</f>
        <v>0</v>
      </c>
      <c r="D13" s="62">
        <f>SUM(Oct!D13, Nov!D13, Dec!D13)</f>
        <v>0</v>
      </c>
      <c r="E13" s="62">
        <f t="shared" si="0"/>
        <v>0</v>
      </c>
      <c r="F13" s="63" t="str">
        <f t="shared" si="1"/>
        <v/>
      </c>
      <c r="G13" s="64"/>
      <c r="H13" s="64">
        <f>SUM(Oct!H13, Nov!H13, Dec!H13)</f>
        <v>0</v>
      </c>
      <c r="I13" s="63" t="str">
        <f t="shared" si="2"/>
        <v/>
      </c>
    </row>
    <row r="14" spans="1:9" ht="15.6">
      <c r="A14" s="78" t="str">
        <v>Stillwater River 2</v>
      </c>
      <c r="B14" s="75" t="str">
        <v>MA</v>
      </c>
      <c r="C14" s="68">
        <f>SUM(Oct!C14, Nov!C14, Dec!C14)</f>
        <v>0</v>
      </c>
      <c r="D14" s="56">
        <f>SUM(Oct!D14, Nov!D14, Dec!D14)</f>
        <v>0</v>
      </c>
      <c r="E14" s="56">
        <f t="shared" si="0"/>
        <v>0</v>
      </c>
      <c r="F14" s="69" t="str">
        <f t="shared" si="1"/>
        <v/>
      </c>
      <c r="G14" s="58"/>
      <c r="H14" s="58">
        <f>SUM(Oct!H14, Nov!H14, Dec!H14)</f>
        <v>0</v>
      </c>
      <c r="I14" s="57" t="str">
        <f t="shared" si="2"/>
        <v/>
      </c>
    </row>
    <row r="15" spans="1:9" ht="15.6">
      <c r="A15" s="79" t="str">
        <v>Stillwater River 3</v>
      </c>
      <c r="B15" s="77" t="str">
        <v>MA</v>
      </c>
      <c r="C15" s="71">
        <f>SUM(Oct!C15, Nov!C15, Dec!C15)</f>
        <v>0</v>
      </c>
      <c r="D15" s="62">
        <f>SUM(Oct!D15, Nov!D15, Dec!D15)</f>
        <v>0</v>
      </c>
      <c r="E15" s="62">
        <f t="shared" si="0"/>
        <v>0</v>
      </c>
      <c r="F15" s="63" t="str">
        <f t="shared" si="1"/>
        <v/>
      </c>
      <c r="G15" s="64"/>
      <c r="H15" s="64">
        <f>SUM(Oct!H15, Nov!H15, Dec!H15)</f>
        <v>0</v>
      </c>
      <c r="I15" s="63" t="str">
        <f t="shared" si="2"/>
        <v/>
      </c>
    </row>
    <row r="16" spans="1:9" ht="15.6">
      <c r="A16" s="78" t="str">
        <v>Stillwater River 4</v>
      </c>
      <c r="B16" s="75" t="str">
        <v>MA</v>
      </c>
      <c r="C16" s="68">
        <f>SUM(Oct!C16, Nov!C16, Dec!C16)</f>
        <v>0</v>
      </c>
      <c r="D16" s="56">
        <f>SUM(Oct!D16, Nov!D16, Dec!D16)</f>
        <v>0</v>
      </c>
      <c r="E16" s="56">
        <f t="shared" ref="E16" si="3">IF(AND(ISNUMBER(C16),ISNUMBER(D16)), C16-D16, "")</f>
        <v>0</v>
      </c>
      <c r="F16" s="69" t="str">
        <f t="shared" ref="F16" si="4">IFERROR(E16/D16, "")</f>
        <v/>
      </c>
      <c r="G16" s="58"/>
      <c r="H16" s="58">
        <f>SUM(Oct!H16, Nov!H16, Dec!H16)</f>
        <v>0</v>
      </c>
      <c r="I16" s="57" t="str">
        <f t="shared" ref="I16" si="5">IFERROR(H16/G16, "")</f>
        <v/>
      </c>
    </row>
    <row r="17" spans="1:9" ht="15.6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4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4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4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4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.6">
      <c r="A1" s="92" t="str" cm="1">
        <f t="array" ref="A1">portfolio</f>
        <v>MN8 Bond</v>
      </c>
      <c r="B1" s="92"/>
      <c r="C1" s="92"/>
      <c r="D1" s="93" t="s">
        <v>18</v>
      </c>
      <c r="E1" s="93"/>
      <c r="F1" s="93"/>
      <c r="G1" s="91" t="s">
        <v>19</v>
      </c>
      <c r="H1" s="91"/>
      <c r="I1" s="91"/>
      <c r="J1" s="4"/>
      <c r="K1" s="4"/>
    </row>
    <row r="2" spans="1:11" ht="15.6">
      <c r="A2" s="94" t="s">
        <v>2</v>
      </c>
      <c r="B2" s="94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6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9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6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6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6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6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9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6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6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6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6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4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35</v>
      </c>
      <c r="E1" s="93"/>
      <c r="F1" s="93"/>
      <c r="G1" s="91" t="s">
        <v>36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5.15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43.15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9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6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6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6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6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6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6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9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9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53</v>
      </c>
      <c r="E1" s="93"/>
      <c r="F1" s="93"/>
      <c r="G1" s="91" t="s">
        <v>54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6.45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9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9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6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6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28.9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100.9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.6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6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9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9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9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workbookViewId="0">
      <pane xSplit="2" ySplit="3" topLeftCell="F7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2" t="str" cm="1">
        <f t="array" ref="A1">portfolio</f>
        <v>MN8 Bond</v>
      </c>
      <c r="B1" s="92"/>
      <c r="C1" s="92"/>
      <c r="D1" s="93" t="s">
        <v>76</v>
      </c>
      <c r="E1" s="93"/>
      <c r="F1" s="93"/>
      <c r="G1" s="91" t="s">
        <v>77</v>
      </c>
      <c r="H1" s="91"/>
      <c r="I1" s="91"/>
      <c r="J1" s="4"/>
      <c r="K1" s="4"/>
    </row>
    <row r="2" spans="1:12" ht="19.5" customHeight="1">
      <c r="A2" s="94" t="s">
        <v>2</v>
      </c>
      <c r="B2" s="94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44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6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6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5.6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6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3.1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90" t="s">
        <v>89</v>
      </c>
      <c r="K11" s="90" t="s">
        <v>90</v>
      </c>
    </row>
    <row r="12" spans="1:12" ht="115.1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6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6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6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3.1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tabSelected="1" workbookViewId="0">
      <pane xSplit="2" ySplit="3" topLeftCell="E4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95</v>
      </c>
      <c r="E1" s="93"/>
      <c r="F1" s="93"/>
      <c r="G1" s="91" t="s">
        <v>96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2997080.8049999997</v>
      </c>
      <c r="D2" s="5">
        <f>SUM(D4:D91)</f>
        <v>3076133.86</v>
      </c>
      <c r="E2" s="5">
        <f>C2-D2</f>
        <v>-79053.055000000168</v>
      </c>
      <c r="F2" s="6">
        <f>IFERROR(E2/D2, 0)</f>
        <v>-2.569883451040722E-2</v>
      </c>
      <c r="G2" s="5">
        <f>SUM(G4:G91)</f>
        <v>3037038.1000000006</v>
      </c>
      <c r="H2" s="7">
        <f>C2-G2</f>
        <v>-39957.295000000857</v>
      </c>
      <c r="I2" s="6">
        <f>IFERROR(H2/G2, 0)</f>
        <v>-1.3156665700045334E-2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9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482443.68</v>
      </c>
      <c r="D4" s="11">
        <v>433338.9</v>
      </c>
      <c r="E4" s="11">
        <f>IF(AND(ISNUMBER(C4),ISNUMBER(D4)), C4-D4, "")</f>
        <v>49104.77999999997</v>
      </c>
      <c r="F4" s="12">
        <f>IFERROR(E4/D4, "")</f>
        <v>0.11331726738587274</v>
      </c>
      <c r="G4" s="13">
        <v>468050</v>
      </c>
      <c r="H4" s="13">
        <f>IF(AND(ISNUMBER(C4),ISNUMBER(G4)), C4-G4, "")</f>
        <v>14393.679999999993</v>
      </c>
      <c r="I4" s="14">
        <f>IFERROR(H4/G4, "")</f>
        <v>3.0752440978527921E-2</v>
      </c>
      <c r="J4" s="38" t="s">
        <v>97</v>
      </c>
      <c r="K4" s="38" t="s">
        <v>98</v>
      </c>
    </row>
    <row r="5" spans="1:11" ht="86.45">
      <c r="A5" s="28" t="str">
        <v>Clara Barton</v>
      </c>
      <c r="B5" s="29" t="str">
        <v>MA</v>
      </c>
      <c r="C5" s="10">
        <v>178515</v>
      </c>
      <c r="D5" s="16">
        <v>175637.8</v>
      </c>
      <c r="E5" s="16">
        <f t="shared" ref="E5:E16" si="0">IF(AND(ISNUMBER(C5),ISNUMBER(D5)), C5-D5, "")</f>
        <v>2877.2000000000116</v>
      </c>
      <c r="F5" s="17">
        <f>IFERROR(E5/D5, "")</f>
        <v>1.6381439530670571E-2</v>
      </c>
      <c r="G5" s="18">
        <v>174462</v>
      </c>
      <c r="H5" s="18">
        <f t="shared" ref="H5:H16" si="1">IF(AND(ISNUMBER(C5),ISNUMBER(G5)), C5-G5, "")</f>
        <v>4053</v>
      </c>
      <c r="I5" s="17">
        <f t="shared" ref="I5:I16" si="2">IFERROR(H5/G5, "")</f>
        <v>2.3231420022698353E-2</v>
      </c>
      <c r="J5" s="39" t="s">
        <v>99</v>
      </c>
      <c r="K5" s="39" t="s">
        <v>100</v>
      </c>
    </row>
    <row r="6" spans="1:11" ht="57.6">
      <c r="A6" s="26" t="str">
        <v>Fairhaven Solar</v>
      </c>
      <c r="B6" s="27" t="str">
        <v>MA</v>
      </c>
      <c r="C6" s="22">
        <v>135590</v>
      </c>
      <c r="D6" s="11">
        <v>135996.6</v>
      </c>
      <c r="E6" s="11">
        <f t="shared" si="0"/>
        <v>-406.60000000000582</v>
      </c>
      <c r="F6" s="12">
        <f t="shared" ref="F6:F16" si="3">IFERROR(E6/D6, "")</f>
        <v>-2.9897806268686556E-3</v>
      </c>
      <c r="G6" s="13">
        <v>136467.29999999999</v>
      </c>
      <c r="H6" s="13">
        <f t="shared" si="1"/>
        <v>-877.29999999998836</v>
      </c>
      <c r="I6" s="14">
        <f t="shared" si="2"/>
        <v>-6.4286462764339032E-3</v>
      </c>
      <c r="J6" s="38" t="s">
        <v>101</v>
      </c>
      <c r="K6" s="38" t="s">
        <v>102</v>
      </c>
    </row>
    <row r="7" spans="1:11" ht="15.6">
      <c r="A7" s="28" t="str">
        <v>Plympton-1</v>
      </c>
      <c r="B7" s="29" t="str">
        <v>MA</v>
      </c>
      <c r="C7" s="10">
        <v>180284</v>
      </c>
      <c r="D7" s="16">
        <v>182321.4</v>
      </c>
      <c r="E7" s="16">
        <f t="shared" si="0"/>
        <v>-2037.3999999999942</v>
      </c>
      <c r="F7" s="17">
        <f t="shared" si="3"/>
        <v>-1.1174771584685035E-2</v>
      </c>
      <c r="G7" s="18">
        <v>176437.3</v>
      </c>
      <c r="H7" s="18">
        <f t="shared" si="1"/>
        <v>3846.7000000000116</v>
      </c>
      <c r="I7" s="17">
        <f t="shared" si="2"/>
        <v>2.1802079265552193E-2</v>
      </c>
      <c r="J7" s="39" t="s">
        <v>103</v>
      </c>
      <c r="K7" s="39" t="s">
        <v>104</v>
      </c>
    </row>
    <row r="8" spans="1:11" ht="28.9">
      <c r="A8" s="26" t="str">
        <v>French River 2</v>
      </c>
      <c r="B8" s="27" t="str">
        <v>MA</v>
      </c>
      <c r="C8" s="22">
        <v>173798</v>
      </c>
      <c r="D8" s="11">
        <v>189859.6</v>
      </c>
      <c r="E8" s="11">
        <f t="shared" si="0"/>
        <v>-16061.600000000006</v>
      </c>
      <c r="F8" s="12">
        <f t="shared" si="3"/>
        <v>-8.4597249757189019E-2</v>
      </c>
      <c r="G8" s="13">
        <v>178136</v>
      </c>
      <c r="H8" s="13">
        <f t="shared" si="1"/>
        <v>-4338</v>
      </c>
      <c r="I8" s="14">
        <f t="shared" si="2"/>
        <v>-2.4352180356581488E-2</v>
      </c>
      <c r="J8" s="38" t="s">
        <v>105</v>
      </c>
      <c r="K8" s="38" t="s">
        <v>106</v>
      </c>
    </row>
    <row r="9" spans="1:11" ht="28.9">
      <c r="A9" s="28" t="str">
        <v>French River 3</v>
      </c>
      <c r="B9" s="29" t="str">
        <v>MA</v>
      </c>
      <c r="C9" s="10">
        <v>342706</v>
      </c>
      <c r="D9" s="16">
        <v>360003.1</v>
      </c>
      <c r="E9" s="16">
        <f t="shared" si="0"/>
        <v>-17297.099999999977</v>
      </c>
      <c r="F9" s="17">
        <f t="shared" si="3"/>
        <v>-4.8047086261201577E-2</v>
      </c>
      <c r="G9" s="18">
        <v>340894.3</v>
      </c>
      <c r="H9" s="18">
        <f t="shared" si="1"/>
        <v>1811.7000000000116</v>
      </c>
      <c r="I9" s="17">
        <f t="shared" si="2"/>
        <v>5.3145505806345599E-3</v>
      </c>
      <c r="J9" s="39" t="s">
        <v>107</v>
      </c>
      <c r="K9" s="39" t="s">
        <v>108</v>
      </c>
    </row>
    <row r="10" spans="1:11" ht="15.6">
      <c r="A10" s="26" t="str">
        <v>French River 4</v>
      </c>
      <c r="B10" s="27" t="str">
        <v>MA</v>
      </c>
      <c r="C10" s="22">
        <v>348062</v>
      </c>
      <c r="D10" s="11">
        <v>367665.5</v>
      </c>
      <c r="E10" s="11">
        <f t="shared" si="0"/>
        <v>-19603.5</v>
      </c>
      <c r="F10" s="12">
        <f t="shared" si="3"/>
        <v>-5.3318845526708382E-2</v>
      </c>
      <c r="G10" s="13">
        <v>355344.7</v>
      </c>
      <c r="H10" s="13">
        <f t="shared" si="1"/>
        <v>-7282.7000000000116</v>
      </c>
      <c r="I10" s="14">
        <f t="shared" si="2"/>
        <v>-2.0494747775892004E-2</v>
      </c>
      <c r="J10" s="38"/>
      <c r="K10" s="38"/>
    </row>
    <row r="11" spans="1:11" ht="15.6">
      <c r="A11" s="28" t="str">
        <v>French River 5</v>
      </c>
      <c r="B11" s="29" t="str">
        <v>MA</v>
      </c>
      <c r="C11" s="10">
        <v>326568</v>
      </c>
      <c r="D11" s="16">
        <v>356494.8</v>
      </c>
      <c r="E11" s="16">
        <f t="shared" si="0"/>
        <v>-29926.799999999988</v>
      </c>
      <c r="F11" s="17">
        <f t="shared" si="3"/>
        <v>-8.3947367535234699E-2</v>
      </c>
      <c r="G11" s="18">
        <v>348966.3</v>
      </c>
      <c r="H11" s="18">
        <f t="shared" si="1"/>
        <v>-22398.299999999988</v>
      </c>
      <c r="I11" s="17">
        <f t="shared" si="2"/>
        <v>-6.4184707807028896E-2</v>
      </c>
      <c r="J11" s="39" t="s">
        <v>109</v>
      </c>
      <c r="K11" s="39" t="s">
        <v>110</v>
      </c>
    </row>
    <row r="12" spans="1:11" ht="15.6">
      <c r="A12" s="26" t="str">
        <v>French River 6</v>
      </c>
      <c r="B12" s="27" t="str">
        <v>MA</v>
      </c>
      <c r="C12" s="22">
        <v>318681</v>
      </c>
      <c r="D12" s="11">
        <v>303071</v>
      </c>
      <c r="E12" s="11">
        <f t="shared" si="0"/>
        <v>15610</v>
      </c>
      <c r="F12" s="12">
        <f t="shared" si="3"/>
        <v>5.1506082733088945E-2</v>
      </c>
      <c r="G12" s="13">
        <v>334789.09999999998</v>
      </c>
      <c r="H12" s="13">
        <f t="shared" si="1"/>
        <v>-16108.099999999977</v>
      </c>
      <c r="I12" s="14">
        <f t="shared" si="2"/>
        <v>-4.8114170981074289E-2</v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>
        <v>86181.625</v>
      </c>
      <c r="D13" s="16">
        <v>89111.65</v>
      </c>
      <c r="E13" s="16">
        <f t="shared" si="0"/>
        <v>-2930.0249999999942</v>
      </c>
      <c r="F13" s="17">
        <f t="shared" si="3"/>
        <v>-3.288038096028964E-2</v>
      </c>
      <c r="G13" s="18">
        <v>85923.199999999997</v>
      </c>
      <c r="H13" s="18">
        <f t="shared" si="1"/>
        <v>258.42500000000291</v>
      </c>
      <c r="I13" s="17">
        <f t="shared" si="2"/>
        <v>3.0076277419835728E-3</v>
      </c>
      <c r="J13" s="39"/>
      <c r="K13" s="40"/>
    </row>
    <row r="14" spans="1:11" ht="15.6">
      <c r="A14" s="26" t="str">
        <v>Stillwater River 2</v>
      </c>
      <c r="B14" s="27" t="str">
        <v>MA</v>
      </c>
      <c r="C14" s="22">
        <v>175262</v>
      </c>
      <c r="D14" s="11">
        <v>197484.9</v>
      </c>
      <c r="E14" s="11">
        <f t="shared" si="0"/>
        <v>-22222.899999999994</v>
      </c>
      <c r="F14" s="12">
        <f t="shared" si="3"/>
        <v>-0.11252961618837691</v>
      </c>
      <c r="G14" s="13">
        <v>179921.2</v>
      </c>
      <c r="H14" s="13">
        <f t="shared" si="1"/>
        <v>-4659.2000000000116</v>
      </c>
      <c r="I14" s="14">
        <f t="shared" si="2"/>
        <v>-2.5895781041922861E-2</v>
      </c>
      <c r="J14" s="38" t="s">
        <v>111</v>
      </c>
      <c r="K14" s="38" t="s">
        <v>112</v>
      </c>
    </row>
    <row r="15" spans="1:11" ht="15.6">
      <c r="A15" s="28" t="str">
        <v>Stillwater River 3</v>
      </c>
      <c r="B15" s="29" t="str">
        <v>MA</v>
      </c>
      <c r="C15" s="10">
        <v>175939</v>
      </c>
      <c r="D15" s="16">
        <v>188956.7</v>
      </c>
      <c r="E15" s="16">
        <f t="shared" si="0"/>
        <v>-13017.700000000012</v>
      </c>
      <c r="F15" s="17">
        <f t="shared" si="3"/>
        <v>-6.8892502885581783E-2</v>
      </c>
      <c r="G15" s="18">
        <v>177132.5</v>
      </c>
      <c r="H15" s="18">
        <f t="shared" si="1"/>
        <v>-1193.5</v>
      </c>
      <c r="I15" s="17">
        <f t="shared" si="2"/>
        <v>-6.7378939494446245E-3</v>
      </c>
      <c r="J15" s="39"/>
      <c r="K15" s="40"/>
    </row>
    <row r="16" spans="1:11" ht="72">
      <c r="A16" s="26" t="str">
        <v>Stillwater River 4</v>
      </c>
      <c r="B16" s="27" t="str">
        <v>MA</v>
      </c>
      <c r="C16" s="22">
        <v>73050.5</v>
      </c>
      <c r="D16" s="11">
        <v>96191.91</v>
      </c>
      <c r="E16" s="11">
        <f t="shared" si="0"/>
        <v>-23141.410000000003</v>
      </c>
      <c r="F16" s="12">
        <f t="shared" si="3"/>
        <v>-0.24057542884843436</v>
      </c>
      <c r="G16" s="13">
        <v>80514.2</v>
      </c>
      <c r="H16" s="13">
        <f t="shared" si="1"/>
        <v>-7463.6999999999971</v>
      </c>
      <c r="I16" s="14">
        <f t="shared" si="2"/>
        <v>-9.2700418062900677E-2</v>
      </c>
      <c r="J16" s="38" t="s">
        <v>113</v>
      </c>
      <c r="K16" s="38" t="s">
        <v>114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115</v>
      </c>
      <c r="E1" s="93"/>
      <c r="F1" s="93"/>
      <c r="G1" s="91" t="s">
        <v>116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xSplit="2" ySplit="3" topLeftCell="C4" activePane="bottomRight" state="frozen"/>
      <selection pane="bottomRight" activeCell="G22" sqref="G22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117</v>
      </c>
      <c r="E1" s="93"/>
      <c r="F1" s="93"/>
      <c r="G1" s="91" t="s">
        <v>118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119</v>
      </c>
      <c r="E1" s="93"/>
      <c r="F1" s="93"/>
      <c r="G1" s="91" t="s">
        <v>120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121</v>
      </c>
      <c r="E1" s="93"/>
      <c r="F1" s="93"/>
      <c r="G1" s="91" t="s">
        <v>122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123</v>
      </c>
      <c r="E1" s="93"/>
      <c r="F1" s="93"/>
      <c r="G1" s="91" t="s">
        <v>124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125</v>
      </c>
      <c r="E1" s="93"/>
      <c r="F1" s="93"/>
      <c r="G1" s="91" t="s">
        <v>126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2" t="str" cm="1">
        <f t="array" ref="A1">portfolio</f>
        <v>MN8 Bond</v>
      </c>
      <c r="B1" s="92"/>
      <c r="C1" s="92"/>
      <c r="D1" s="93" t="s">
        <v>127</v>
      </c>
      <c r="E1" s="93"/>
      <c r="F1" s="93"/>
      <c r="G1" s="91" t="s">
        <v>128</v>
      </c>
      <c r="H1" s="91"/>
      <c r="I1" s="91"/>
      <c r="J1" s="4"/>
      <c r="K1" s="4"/>
    </row>
    <row r="2" spans="1:11" ht="19.5" customHeight="1">
      <c r="A2" s="94" t="s">
        <v>2</v>
      </c>
      <c r="B2" s="94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A13" sqref="A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129</v>
      </c>
      <c r="B1" t="s">
        <v>130</v>
      </c>
    </row>
    <row r="3" spans="1:12" ht="13.15">
      <c r="A3" t="s">
        <v>131</v>
      </c>
      <c r="B3" t="s">
        <v>3</v>
      </c>
      <c r="C3" t="s">
        <v>4</v>
      </c>
      <c r="D3" t="s">
        <v>132</v>
      </c>
      <c r="E3" s="2" t="s">
        <v>133</v>
      </c>
    </row>
    <row r="4" spans="1:12" ht="14.45">
      <c r="A4" s="46" t="s">
        <v>134</v>
      </c>
      <c r="B4" t="s">
        <v>135</v>
      </c>
      <c r="C4" s="45" t="s">
        <v>136</v>
      </c>
      <c r="D4" s="44" t="s">
        <v>137</v>
      </c>
      <c r="E4" t="s">
        <v>138</v>
      </c>
      <c r="G4" s="3"/>
    </row>
    <row r="5" spans="1:12" ht="14.45">
      <c r="A5" s="46" t="s">
        <v>139</v>
      </c>
      <c r="B5" t="s">
        <v>140</v>
      </c>
      <c r="C5" s="45" t="s">
        <v>136</v>
      </c>
      <c r="D5" s="44" t="s">
        <v>137</v>
      </c>
      <c r="E5" t="s">
        <v>138</v>
      </c>
      <c r="G5" s="3"/>
    </row>
    <row r="6" spans="1:12" ht="14.45">
      <c r="A6" s="46" t="s">
        <v>141</v>
      </c>
      <c r="B6" t="s">
        <v>142</v>
      </c>
      <c r="C6" s="45" t="s">
        <v>136</v>
      </c>
      <c r="D6" s="44" t="s">
        <v>137</v>
      </c>
      <c r="E6" t="s">
        <v>138</v>
      </c>
      <c r="G6" s="3"/>
    </row>
    <row r="7" spans="1:12" ht="12.75" customHeight="1">
      <c r="A7" s="46" t="s">
        <v>143</v>
      </c>
      <c r="B7" t="s">
        <v>144</v>
      </c>
      <c r="C7" s="45" t="s">
        <v>136</v>
      </c>
      <c r="D7" s="44" t="s">
        <v>137</v>
      </c>
      <c r="E7" t="s">
        <v>138</v>
      </c>
    </row>
    <row r="8" spans="1:12" ht="12.75" customHeight="1">
      <c r="A8" s="46" t="s">
        <v>145</v>
      </c>
      <c r="B8" t="s">
        <v>146</v>
      </c>
      <c r="C8" s="45" t="s">
        <v>136</v>
      </c>
      <c r="D8" s="44" t="s">
        <v>137</v>
      </c>
      <c r="E8" t="s">
        <v>138</v>
      </c>
    </row>
    <row r="9" spans="1:12" ht="12.75" customHeight="1">
      <c r="A9" s="46" t="s">
        <v>147</v>
      </c>
      <c r="B9" t="s">
        <v>148</v>
      </c>
      <c r="C9" s="45" t="s">
        <v>136</v>
      </c>
      <c r="D9" s="44" t="s">
        <v>137</v>
      </c>
      <c r="E9" t="s">
        <v>138</v>
      </c>
    </row>
    <row r="10" spans="1:12" ht="12.75" customHeight="1">
      <c r="A10" s="46" t="s">
        <v>149</v>
      </c>
      <c r="B10" t="s">
        <v>150</v>
      </c>
      <c r="C10" s="45" t="s">
        <v>136</v>
      </c>
      <c r="D10" s="44" t="s">
        <v>137</v>
      </c>
      <c r="E10" t="s">
        <v>138</v>
      </c>
      <c r="K10" s="41"/>
      <c r="L10" s="41"/>
    </row>
    <row r="11" spans="1:12" ht="12.75" customHeight="1">
      <c r="A11" s="46" t="s">
        <v>151</v>
      </c>
      <c r="B11" t="s">
        <v>152</v>
      </c>
      <c r="C11" s="45" t="s">
        <v>136</v>
      </c>
      <c r="D11" s="44" t="s">
        <v>137</v>
      </c>
      <c r="E11" t="s">
        <v>138</v>
      </c>
      <c r="K11" s="41"/>
      <c r="L11" s="41"/>
    </row>
    <row r="12" spans="1:12" ht="12.75" customHeight="1">
      <c r="A12" s="46" t="s">
        <v>153</v>
      </c>
      <c r="B12" t="s">
        <v>154</v>
      </c>
      <c r="C12" s="45" t="s">
        <v>136</v>
      </c>
      <c r="D12" s="44" t="s">
        <v>137</v>
      </c>
      <c r="E12" t="s">
        <v>138</v>
      </c>
      <c r="K12" s="41"/>
      <c r="L12" s="41"/>
    </row>
    <row r="13" spans="1:12" ht="12.75" customHeight="1">
      <c r="A13" s="46" t="s">
        <v>155</v>
      </c>
      <c r="B13" t="s">
        <v>156</v>
      </c>
      <c r="C13" s="45" t="s">
        <v>136</v>
      </c>
      <c r="D13" s="44" t="s">
        <v>137</v>
      </c>
      <c r="E13" t="s">
        <v>138</v>
      </c>
      <c r="K13" s="41"/>
      <c r="L13" s="41"/>
    </row>
    <row r="14" spans="1:12" ht="12.75" customHeight="1">
      <c r="A14" s="46" t="s">
        <v>157</v>
      </c>
      <c r="B14" t="s">
        <v>158</v>
      </c>
      <c r="C14" s="45" t="s">
        <v>136</v>
      </c>
      <c r="D14" s="44" t="s">
        <v>137</v>
      </c>
      <c r="E14" t="s">
        <v>138</v>
      </c>
      <c r="K14" s="41"/>
      <c r="L14" s="41"/>
    </row>
    <row r="15" spans="1:12" ht="12.75" customHeight="1">
      <c r="A15" s="46" t="s">
        <v>159</v>
      </c>
      <c r="B15" t="s">
        <v>160</v>
      </c>
      <c r="C15" s="45" t="s">
        <v>136</v>
      </c>
      <c r="D15" s="44" t="s">
        <v>137</v>
      </c>
      <c r="E15" t="s">
        <v>138</v>
      </c>
      <c r="K15" s="41"/>
      <c r="L15" s="41"/>
    </row>
    <row r="16" spans="1:12" ht="12.75" customHeight="1">
      <c r="A16" s="46" t="s">
        <v>161</v>
      </c>
      <c r="B16" t="s">
        <v>162</v>
      </c>
      <c r="C16" s="45" t="s">
        <v>136</v>
      </c>
      <c r="D16" s="44" t="s">
        <v>137</v>
      </c>
      <c r="E16" t="s">
        <v>138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2024-06-18T02:20:57Z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