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0DFFD9F5-7A12-49E4-BBFC-569AA8C4311C}" xr6:coauthVersionLast="47" xr6:coauthVersionMax="47" xr10:uidLastSave="{00000000-0000-0000-0000-000000000000}"/>
  <bookViews>
    <workbookView xWindow="-120" yWindow="-120" windowWidth="29040" windowHeight="15720" tabRatio="866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<sst xmlns="http://schemas.openxmlformats.org/spreadsheetml/2006/main" count="240" uniqueCount="54">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</sst>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36" dataCellStyle="Normal 2"/>
    <tableColumn id="1" xr3:uid="{9A753695-C18C-437C-AD9C-C2CE5C1A806E}" name="Site" dataDxfId="35" dataCellStyle="Normal 2"/>
    <tableColumn id="2" xr3:uid="{250F229D-34D2-4043-BE8F-6D9C210E223F}" name="State" dataDxfId="34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activeCell="A6" sqref="A6"/>
      <selection pane="bottomLeft" activeCell="C4" sqref="C4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 x14ac:dyDescent="0.2">
      <c r="A2" s="46" t="s">
        <v>2</v>
      </c>
      <c r="B2" s="46"/>
      <c r="C2" s="6">
        <f>SUM(C4:C60)</f>
        <v>36870.597495117181</v>
      </c>
      <c r="D2" s="6">
        <f>SUM(D4:D60)</f>
        <v>0</v>
      </c>
      <c r="E2" s="6">
        <f>C2-D2</f>
        <v>36870.597495117181</v>
      </c>
      <c r="F2" s="7">
        <f>IFERROR(E2/D2, 0)</f>
        <v>0</v>
      </c>
      <c r="G2" s="6">
        <f>SUM(G4:G60)</f>
        <v>22984.286</v>
      </c>
      <c r="H2" s="8">
        <f>C2-G2</f>
        <v>13886.311495117181</v>
      </c>
      <c r="I2" s="7">
        <f>IFERROR(H2/G2, 0)</f>
        <v>0.60416545004344191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36870.597495117181</v>
      </c>
      <c r="D4" s="14">
        <f>SUM('1st Qtr'!D4, '2nd Qtr'!D4, '3rd Qtr'!D4, '4th Qtr'!D4)</f>
        <v>0</v>
      </c>
      <c r="E4" s="14">
        <f>IF(AND(ISNUMBER(C4),ISNUMBER(D4)), C4-D4, "")</f>
        <v>36870.597495117181</v>
      </c>
      <c r="F4" s="15" t="str">
        <f>IFERROR(E4/D4, "")</f>
        <v/>
      </c>
      <c r="G4" s="16">
        <f>SUM('1st Qtr'!G4,'2nd Qtr'!G4,'3rd Qtr'!G4,'4th Qtr'!G4)</f>
        <v>22984.286</v>
      </c>
      <c r="H4" s="16">
        <f>SUM('1st Qtr'!H4, '2nd Qtr'!H4, '3rd Qtr'!H4, '4th Qtr'!H4)</f>
        <v>13886.311495117181</v>
      </c>
      <c r="I4" s="17">
        <f>IFERROR(H4/G4, "")</f>
        <v>0.60416545004344191</v>
      </c>
    </row>
    <row r="5" spans="1:9" x14ac:dyDescent="0.2">
      <c r="A5" s="23"/>
      <c r="B5" s="23"/>
      <c r="C5" s="23"/>
      <c r="D5" s="23"/>
      <c r="E5" s="23"/>
      <c r="F5" s="24"/>
      <c r="G5" s="23"/>
      <c r="H5" s="23"/>
      <c r="I5" s="24"/>
    </row>
    <row r="6" spans="1:9" x14ac:dyDescent="0.2">
      <c r="A6" s="23"/>
      <c r="B6" s="23"/>
      <c r="C6" s="23"/>
      <c r="D6" s="23"/>
      <c r="E6" s="23"/>
      <c r="F6" s="24"/>
      <c r="G6" s="23"/>
      <c r="H6" s="23"/>
      <c r="I6" s="24"/>
    </row>
    <row r="7" spans="1:9" x14ac:dyDescent="0.2">
      <c r="A7" s="23"/>
      <c r="B7" s="23"/>
      <c r="C7" s="23"/>
      <c r="D7" s="23"/>
      <c r="E7" s="23"/>
      <c r="F7" s="24"/>
      <c r="G7" s="23"/>
      <c r="H7" s="23"/>
      <c r="I7" s="24"/>
    </row>
    <row r="8" spans="1:9" x14ac:dyDescent="0.2">
      <c r="A8" s="23"/>
      <c r="B8" s="23"/>
      <c r="C8" s="23"/>
      <c r="D8" s="23"/>
      <c r="E8" s="23"/>
      <c r="F8" s="24"/>
      <c r="G8" s="23"/>
      <c r="H8" s="23"/>
      <c r="I8" s="24"/>
    </row>
    <row r="9" spans="1:9" x14ac:dyDescent="0.2">
      <c r="A9" s="23"/>
      <c r="B9" s="23"/>
      <c r="C9" s="23"/>
      <c r="D9" s="23"/>
      <c r="E9" s="23"/>
      <c r="F9" s="24"/>
      <c r="G9" s="23"/>
      <c r="H9" s="23"/>
      <c r="I9" s="24"/>
    </row>
    <row r="10" spans="1:9" x14ac:dyDescent="0.2">
      <c r="A10" s="23"/>
      <c r="B10" s="23"/>
      <c r="C10" s="23"/>
      <c r="D10" s="23"/>
      <c r="E10" s="23"/>
      <c r="F10" s="24"/>
      <c r="G10" s="23"/>
      <c r="H10" s="23"/>
      <c r="I10" s="24"/>
    </row>
    <row r="11" spans="1:9" x14ac:dyDescent="0.2">
      <c r="A11" s="23"/>
      <c r="B11" s="23"/>
      <c r="C11" s="23"/>
      <c r="D11" s="23"/>
      <c r="E11" s="23"/>
      <c r="F11" s="24"/>
      <c r="G11" s="23"/>
      <c r="H11" s="23"/>
      <c r="I11" s="24"/>
    </row>
    <row r="12" spans="1:9" x14ac:dyDescent="0.2">
      <c r="A12" s="23"/>
      <c r="B12" s="23"/>
      <c r="C12" s="23"/>
      <c r="D12" s="23"/>
      <c r="E12" s="23"/>
      <c r="F12" s="24"/>
      <c r="G12" s="23"/>
      <c r="H12" s="23"/>
      <c r="I12" s="24"/>
    </row>
    <row r="13" spans="1:9" x14ac:dyDescent="0.2">
      <c r="A13" s="23"/>
      <c r="B13" s="23"/>
      <c r="C13" s="23"/>
      <c r="D13" s="23"/>
      <c r="E13" s="23"/>
      <c r="F13" s="24"/>
      <c r="G13" s="23"/>
      <c r="H13" s="23"/>
      <c r="I13" s="24"/>
    </row>
    <row r="14" spans="1:9" x14ac:dyDescent="0.2">
      <c r="A14" s="23"/>
      <c r="B14" s="23"/>
      <c r="C14" s="23"/>
      <c r="D14" s="23"/>
      <c r="E14" s="23"/>
      <c r="F14" s="24"/>
      <c r="G14" s="23"/>
      <c r="H14" s="23"/>
      <c r="I14" s="24"/>
    </row>
    <row r="15" spans="1:9" x14ac:dyDescent="0.2">
      <c r="A15" s="23"/>
      <c r="B15" s="23"/>
      <c r="C15" s="23"/>
      <c r="D15" s="23"/>
      <c r="E15" s="23"/>
      <c r="F15" s="24"/>
      <c r="G15" s="23"/>
      <c r="H15" s="23"/>
      <c r="I15" s="24"/>
    </row>
    <row r="16" spans="1:9" x14ac:dyDescent="0.2">
      <c r="A16" s="23"/>
      <c r="B16" s="23"/>
      <c r="C16" s="23"/>
      <c r="D16" s="23"/>
      <c r="E16" s="23"/>
      <c r="F16" s="24"/>
      <c r="G16" s="23"/>
      <c r="H16" s="23"/>
      <c r="I16" s="24"/>
    </row>
    <row r="17" spans="1:9" x14ac:dyDescent="0.2">
      <c r="A17" s="23"/>
      <c r="B17" s="23"/>
      <c r="C17" s="23"/>
      <c r="D17" s="23"/>
      <c r="E17" s="23"/>
      <c r="F17" s="24"/>
      <c r="G17" s="23"/>
      <c r="H17" s="23"/>
      <c r="I17" s="24"/>
    </row>
    <row r="18" spans="1:9" x14ac:dyDescent="0.2">
      <c r="A18" s="23"/>
      <c r="B18" s="23"/>
      <c r="C18" s="23"/>
      <c r="D18" s="23"/>
      <c r="E18" s="23"/>
      <c r="F18" s="24"/>
      <c r="G18" s="23"/>
      <c r="H18" s="23"/>
      <c r="I18" s="24"/>
    </row>
    <row r="19" spans="1:9" x14ac:dyDescent="0.2">
      <c r="A19" s="23"/>
      <c r="B19" s="23"/>
      <c r="C19" s="23"/>
      <c r="D19" s="23"/>
      <c r="E19" s="23"/>
      <c r="F19" s="24"/>
      <c r="G19" s="23"/>
      <c r="H19" s="23"/>
      <c r="I19" s="24"/>
    </row>
    <row r="20" spans="1:9" x14ac:dyDescent="0.2">
      <c r="A20" s="23"/>
      <c r="B20" s="23"/>
      <c r="C20" s="23"/>
      <c r="D20" s="23"/>
      <c r="E20" s="23"/>
      <c r="F20" s="24"/>
      <c r="G20" s="23"/>
      <c r="H20" s="23"/>
      <c r="I20" s="24"/>
    </row>
    <row r="21" spans="1:9" x14ac:dyDescent="0.2">
      <c r="A21" s="23"/>
      <c r="B21" s="23"/>
      <c r="C21" s="23"/>
      <c r="D21" s="23"/>
      <c r="E21" s="23"/>
      <c r="F21" s="24"/>
      <c r="G21" s="23"/>
      <c r="H21" s="23"/>
      <c r="I21" s="24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activeCell="A16" sqref="A16:XFD24"/>
      <selection pane="bottomLeft" activeCell="G4" sqref="G4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 x14ac:dyDescent="0.2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x14ac:dyDescent="0.2">
      <c r="A5" s="23"/>
      <c r="B5" s="23"/>
      <c r="C5" s="23"/>
      <c r="D5" s="23"/>
      <c r="E5" s="23"/>
      <c r="F5" s="24"/>
      <c r="G5" s="23"/>
      <c r="H5" s="23"/>
      <c r="I5" s="24"/>
    </row>
    <row r="6" spans="1:9" x14ac:dyDescent="0.2">
      <c r="A6" s="23"/>
      <c r="B6" s="23"/>
      <c r="C6" s="23"/>
      <c r="D6" s="23"/>
      <c r="E6" s="23"/>
      <c r="F6" s="24"/>
      <c r="G6" s="23"/>
      <c r="H6" s="23"/>
      <c r="I6" s="24"/>
    </row>
    <row r="7" spans="1:9" x14ac:dyDescent="0.2">
      <c r="A7" s="23"/>
      <c r="B7" s="23"/>
      <c r="C7" s="23"/>
      <c r="D7" s="23"/>
      <c r="E7" s="23"/>
      <c r="F7" s="24"/>
      <c r="G7" s="23"/>
      <c r="H7" s="23"/>
      <c r="I7" s="24"/>
    </row>
    <row r="8" spans="1:9" x14ac:dyDescent="0.2">
      <c r="A8" s="23"/>
      <c r="B8" s="23"/>
      <c r="C8" s="23"/>
      <c r="D8" s="23"/>
      <c r="E8" s="23"/>
      <c r="F8" s="24"/>
      <c r="G8" s="23"/>
      <c r="H8" s="23"/>
      <c r="I8" s="24"/>
    </row>
    <row r="9" spans="1:9" x14ac:dyDescent="0.2">
      <c r="A9" s="23"/>
      <c r="B9" s="23"/>
      <c r="C9" s="23"/>
      <c r="D9" s="23"/>
      <c r="E9" s="23"/>
      <c r="F9" s="24"/>
      <c r="G9" s="23"/>
      <c r="H9" s="23"/>
      <c r="I9" s="24"/>
    </row>
    <row r="10" spans="1:9" x14ac:dyDescent="0.2">
      <c r="A10" s="23"/>
      <c r="B10" s="23"/>
      <c r="C10" s="23"/>
      <c r="D10" s="23"/>
      <c r="E10" s="23"/>
      <c r="F10" s="24"/>
      <c r="G10" s="23"/>
      <c r="H10" s="23"/>
      <c r="I10" s="24"/>
    </row>
    <row r="11" spans="1:9" x14ac:dyDescent="0.2">
      <c r="A11" s="23"/>
      <c r="B11" s="23"/>
      <c r="C11" s="23"/>
      <c r="D11" s="23"/>
      <c r="E11" s="23"/>
      <c r="F11" s="24"/>
      <c r="G11" s="23"/>
      <c r="H11" s="23"/>
      <c r="I11" s="24"/>
    </row>
    <row r="12" spans="1:9" x14ac:dyDescent="0.2">
      <c r="A12" s="23"/>
      <c r="B12" s="23"/>
      <c r="C12" s="23"/>
      <c r="D12" s="23"/>
      <c r="E12" s="23"/>
      <c r="F12" s="24"/>
      <c r="G12" s="23"/>
      <c r="H12" s="23"/>
      <c r="I12" s="24"/>
    </row>
    <row r="13" spans="1:9" x14ac:dyDescent="0.2">
      <c r="A13" s="23"/>
      <c r="B13" s="23"/>
      <c r="C13" s="23"/>
      <c r="D13" s="23"/>
      <c r="E13" s="23"/>
      <c r="F13" s="24"/>
      <c r="G13" s="23"/>
      <c r="H13" s="23"/>
      <c r="I13" s="24"/>
    </row>
    <row r="14" spans="1:9" x14ac:dyDescent="0.2">
      <c r="A14" s="23"/>
      <c r="B14" s="23"/>
      <c r="C14" s="23"/>
      <c r="D14" s="23"/>
      <c r="E14" s="23"/>
      <c r="F14" s="24"/>
      <c r="G14" s="23"/>
      <c r="H14" s="23"/>
      <c r="I14" s="24"/>
    </row>
    <row r="15" spans="1:9" x14ac:dyDescent="0.2">
      <c r="A15" s="23"/>
      <c r="B15" s="23"/>
      <c r="C15" s="23"/>
      <c r="D15" s="23"/>
      <c r="E15" s="23"/>
      <c r="F15" s="24"/>
      <c r="G15" s="23"/>
      <c r="H15" s="23"/>
      <c r="I15" s="24"/>
    </row>
    <row r="16" spans="1:9" x14ac:dyDescent="0.2">
      <c r="A16" s="23"/>
      <c r="B16" s="23"/>
      <c r="C16" s="23"/>
      <c r="D16" s="23"/>
      <c r="E16" s="23"/>
      <c r="F16" s="24"/>
      <c r="G16" s="23"/>
      <c r="H16" s="23"/>
      <c r="I16" s="24"/>
    </row>
    <row r="17" spans="1:9" x14ac:dyDescent="0.2">
      <c r="A17" s="23"/>
      <c r="B17" s="23"/>
      <c r="C17" s="23"/>
      <c r="D17" s="23"/>
      <c r="E17" s="23"/>
      <c r="F17" s="24"/>
      <c r="G17" s="23"/>
      <c r="H17" s="23"/>
      <c r="I17" s="24"/>
    </row>
    <row r="18" spans="1:9" x14ac:dyDescent="0.2">
      <c r="A18" s="23"/>
      <c r="B18" s="23"/>
      <c r="C18" s="23"/>
      <c r="D18" s="23"/>
      <c r="E18" s="23"/>
      <c r="F18" s="24"/>
      <c r="G18" s="23"/>
      <c r="H18" s="23"/>
      <c r="I18" s="24"/>
    </row>
    <row r="19" spans="1:9" x14ac:dyDescent="0.2">
      <c r="A19" s="23"/>
      <c r="B19" s="23"/>
      <c r="C19" s="23"/>
      <c r="D19" s="23"/>
      <c r="E19" s="23"/>
      <c r="F19" s="24"/>
      <c r="G19" s="23"/>
      <c r="H19" s="23"/>
      <c r="I19" s="24"/>
    </row>
    <row r="20" spans="1:9" x14ac:dyDescent="0.2">
      <c r="A20" s="23"/>
      <c r="B20" s="23"/>
      <c r="C20" s="23"/>
      <c r="D20" s="23"/>
      <c r="E20" s="23"/>
      <c r="F20" s="24"/>
      <c r="G20" s="23"/>
      <c r="H20" s="23"/>
      <c r="I20" s="24"/>
    </row>
    <row r="21" spans="1:9" x14ac:dyDescent="0.2">
      <c r="A21" s="23"/>
      <c r="B21" s="23"/>
      <c r="C21" s="23"/>
      <c r="D21" s="23"/>
      <c r="E21" s="23"/>
      <c r="F21" s="24"/>
      <c r="G21" s="23"/>
      <c r="H21" s="23"/>
      <c r="I21" s="24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activeCell="J20" sqref="J20"/>
      <selection pane="bottomLeft" activeCell="G4" sqref="G4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 x14ac:dyDescent="0.2">
      <c r="A2" s="46" t="s">
        <v>2</v>
      </c>
      <c r="B2" s="46"/>
      <c r="C2" s="6">
        <f>SUM(C4:C90)</f>
        <v>21165.329978027341</v>
      </c>
      <c r="D2" s="6">
        <f>SUM(D4:D90)</f>
        <v>0</v>
      </c>
      <c r="E2" s="6">
        <f>C2-D2</f>
        <v>21165.329978027341</v>
      </c>
      <c r="F2" s="7">
        <f>IFERROR(E2/D2, 0)</f>
        <v>0</v>
      </c>
      <c r="G2" s="6">
        <f>SUM(G4:G90)</f>
        <v>12499.286</v>
      </c>
      <c r="H2" s="8">
        <f>C2-G2</f>
        <v>8666.0439780273409</v>
      </c>
      <c r="I2" s="7">
        <f>IFERROR(H2/G2, 0)</f>
        <v>0.69332312085885073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21165.329978027341</v>
      </c>
      <c r="D4" s="14">
        <f>SUM(Apr!D4, May!D4, Jun!D4)</f>
        <v>0</v>
      </c>
      <c r="E4" s="14">
        <f>IF(AND(ISNUMBER(C4),ISNUMBER(D4)), C4-D4, "")</f>
        <v>21165.329978027341</v>
      </c>
      <c r="F4" s="15" t="str">
        <f>IFERROR(E4/D4, "")</f>
        <v/>
      </c>
      <c r="G4" s="16">
        <f>SUM(Apr!G4+May!G4+Jun!G4)</f>
        <v>12499.286</v>
      </c>
      <c r="H4" s="16">
        <f>SUM(Apr!H4, May!H4, Jun!H4)</f>
        <v>8666.0439780273409</v>
      </c>
      <c r="I4" s="17">
        <f>IFERROR(H4/G4, "")</f>
        <v>0.69332312085885073</v>
      </c>
    </row>
    <row r="5" spans="1:9" ht="15.75" x14ac:dyDescent="0.2">
      <c r="A5" s="19"/>
      <c r="B5" s="11"/>
      <c r="C5" s="12"/>
      <c r="D5" s="20"/>
      <c r="E5" s="20"/>
      <c r="F5" s="21"/>
      <c r="G5" s="22"/>
      <c r="H5" s="22"/>
      <c r="I5" s="21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x14ac:dyDescent="0.2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17" sqref="E17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 x14ac:dyDescent="0.2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activeCell="J20" sqref="J20"/>
      <selection pane="bottomLeft" activeCell="E29" sqref="E29"/>
    </sheetView>
  </sheetViews>
  <sheetFormatPr defaultRowHeight="12.75" x14ac:dyDescent="0.2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 x14ac:dyDescent="0.2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 x14ac:dyDescent="0.2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 x14ac:dyDescent="0.2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 x14ac:dyDescent="0.2">
      <c r="A7" s="23"/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23"/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23"/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23"/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23"/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4"/>
      <c r="G22" s="23"/>
      <c r="H22" s="23"/>
      <c r="I22" s="24"/>
    </row>
    <row r="23" spans="1:9" x14ac:dyDescent="0.2">
      <c r="A23" s="23"/>
      <c r="B23" s="23"/>
      <c r="C23" s="23"/>
      <c r="D23" s="23"/>
      <c r="E23" s="23"/>
      <c r="F23" s="24"/>
      <c r="G23" s="23"/>
      <c r="H23" s="23"/>
      <c r="I23" s="24"/>
    </row>
    <row r="24" spans="1:9" x14ac:dyDescent="0.2">
      <c r="A24" s="23"/>
      <c r="B24" s="23"/>
      <c r="C24" s="23"/>
      <c r="D24" s="23"/>
      <c r="E24" s="23"/>
      <c r="F24" s="24"/>
      <c r="G24" s="23"/>
      <c r="H24" s="23"/>
      <c r="I24" s="24"/>
    </row>
    <row r="25" spans="1:9" x14ac:dyDescent="0.2">
      <c r="A25" s="23"/>
      <c r="B25" s="23"/>
      <c r="C25" s="23"/>
      <c r="D25" s="23"/>
      <c r="E25" s="23"/>
      <c r="F25" s="24"/>
      <c r="G25" s="23"/>
      <c r="H25" s="23"/>
      <c r="I25" s="24"/>
    </row>
    <row r="26" spans="1:9" x14ac:dyDescent="0.2">
      <c r="A26" s="23"/>
      <c r="B26" s="23"/>
      <c r="C26" s="23"/>
      <c r="D26" s="23"/>
      <c r="E26" s="23"/>
      <c r="F26" s="24"/>
      <c r="G26" s="23"/>
      <c r="H26" s="23"/>
      <c r="I26" s="24"/>
    </row>
    <row r="27" spans="1:9" x14ac:dyDescent="0.2">
      <c r="A27" s="23"/>
      <c r="B27" s="23"/>
      <c r="C27" s="23"/>
      <c r="D27" s="23"/>
      <c r="E27" s="23"/>
      <c r="F27" s="24"/>
      <c r="G27" s="23"/>
      <c r="H27" s="23"/>
      <c r="I27" s="24"/>
    </row>
    <row r="28" spans="1:9" x14ac:dyDescent="0.2">
      <c r="A28" s="23"/>
      <c r="B28" s="23"/>
      <c r="C28" s="23"/>
      <c r="D28" s="23"/>
      <c r="E28" s="23"/>
      <c r="F28" s="24"/>
      <c r="G28" s="23"/>
      <c r="H28" s="23"/>
      <c r="I28" s="24"/>
    </row>
    <row r="29" spans="1:9" x14ac:dyDescent="0.2">
      <c r="A29" s="23"/>
      <c r="B29" s="23"/>
      <c r="C29" s="23"/>
      <c r="D29" s="23"/>
      <c r="E29" s="23"/>
      <c r="F29" s="24"/>
      <c r="G29" s="23"/>
      <c r="H29" s="23"/>
      <c r="I29" s="24"/>
    </row>
    <row r="30" spans="1:9" x14ac:dyDescent="0.2">
      <c r="A30" s="23"/>
      <c r="B30" s="23"/>
      <c r="C30" s="23"/>
      <c r="D30" s="23"/>
      <c r="E30" s="23"/>
      <c r="F30" s="24"/>
      <c r="G30" s="23"/>
      <c r="H30" s="23"/>
      <c r="I30" s="24"/>
    </row>
    <row r="31" spans="1:9" x14ac:dyDescent="0.2">
      <c r="A31" s="23"/>
      <c r="B31" s="23"/>
      <c r="C31" s="23"/>
      <c r="D31" s="23"/>
      <c r="E31" s="23"/>
      <c r="F31" s="24"/>
      <c r="G31" s="23"/>
      <c r="H31" s="23"/>
      <c r="I31" s="24"/>
    </row>
    <row r="32" spans="1:9" x14ac:dyDescent="0.2">
      <c r="A32" s="23"/>
      <c r="B32" s="23"/>
      <c r="C32" s="23"/>
      <c r="D32" s="23"/>
      <c r="E32" s="23"/>
      <c r="F32" s="24"/>
      <c r="G32" s="23"/>
      <c r="H32" s="23"/>
      <c r="I32" s="24"/>
    </row>
    <row r="33" spans="1:9" x14ac:dyDescent="0.2">
      <c r="A33" s="23"/>
      <c r="B33" s="23"/>
      <c r="C33" s="23"/>
      <c r="D33" s="23"/>
      <c r="E33" s="23"/>
      <c r="F33" s="24"/>
      <c r="G33" s="23"/>
      <c r="H33" s="23"/>
      <c r="I33" s="24"/>
    </row>
    <row r="34" spans="1:9" x14ac:dyDescent="0.2">
      <c r="A34" s="23"/>
      <c r="B34" s="23"/>
      <c r="C34" s="23"/>
      <c r="D34" s="23"/>
      <c r="E34" s="23"/>
      <c r="F34" s="24"/>
      <c r="G34" s="23"/>
      <c r="H34" s="23"/>
      <c r="I34" s="24"/>
    </row>
    <row r="35" spans="1:9" x14ac:dyDescent="0.2">
      <c r="A35" s="23"/>
      <c r="B35" s="23"/>
      <c r="C35" s="23"/>
      <c r="D35" s="23"/>
      <c r="E35" s="23"/>
      <c r="F35" s="24"/>
      <c r="G35" s="23"/>
      <c r="H35" s="23"/>
      <c r="I35" s="24"/>
    </row>
    <row r="36" spans="1:9" x14ac:dyDescent="0.2">
      <c r="A36" s="23"/>
      <c r="B36" s="23"/>
      <c r="C36" s="23"/>
      <c r="D36" s="23"/>
      <c r="E36" s="23"/>
      <c r="F36" s="24"/>
      <c r="G36" s="23"/>
      <c r="H36" s="23"/>
      <c r="I36" s="24"/>
    </row>
    <row r="37" spans="1:9" x14ac:dyDescent="0.2">
      <c r="A37" s="23"/>
      <c r="B37" s="23"/>
      <c r="C37" s="23"/>
      <c r="D37" s="23"/>
      <c r="E37" s="23"/>
      <c r="F37" s="24"/>
      <c r="G37" s="23"/>
      <c r="H37" s="23"/>
      <c r="I37" s="24"/>
    </row>
    <row r="38" spans="1:9" x14ac:dyDescent="0.2">
      <c r="A38" s="23"/>
      <c r="B38" s="23"/>
      <c r="C38" s="23"/>
      <c r="D38" s="23"/>
      <c r="E38" s="23"/>
      <c r="F38" s="24"/>
      <c r="G38" s="23"/>
      <c r="H38" s="23"/>
      <c r="I38" s="24"/>
    </row>
    <row r="39" spans="1:9" x14ac:dyDescent="0.2">
      <c r="A39" s="23"/>
      <c r="B39" s="23"/>
      <c r="C39" s="23"/>
      <c r="D39" s="23"/>
      <c r="E39" s="23"/>
      <c r="F39" s="24"/>
      <c r="G39" s="23"/>
      <c r="H39" s="23"/>
      <c r="I39" s="24"/>
    </row>
    <row r="40" spans="1:9" x14ac:dyDescent="0.2">
      <c r="A40" s="23"/>
      <c r="B40" s="23"/>
      <c r="C40" s="23"/>
      <c r="D40" s="23"/>
      <c r="E40" s="23"/>
      <c r="F40" s="24"/>
      <c r="G40" s="23"/>
      <c r="H40" s="23"/>
      <c r="I40" s="24"/>
    </row>
    <row r="41" spans="1:9" x14ac:dyDescent="0.2">
      <c r="A41" s="23"/>
      <c r="B41" s="23"/>
      <c r="C41" s="23"/>
      <c r="D41" s="23"/>
      <c r="E41" s="23"/>
      <c r="F41" s="24"/>
      <c r="G41" s="23"/>
      <c r="H41" s="23"/>
      <c r="I41" s="24"/>
    </row>
    <row r="42" spans="1:9" x14ac:dyDescent="0.2">
      <c r="A42" s="23"/>
      <c r="B42" s="23"/>
      <c r="C42" s="23"/>
      <c r="D42" s="23"/>
      <c r="E42" s="23"/>
      <c r="F42" s="24"/>
      <c r="G42" s="23"/>
      <c r="H42" s="23"/>
      <c r="I42" s="24"/>
    </row>
    <row r="43" spans="1:9" x14ac:dyDescent="0.2">
      <c r="A43" s="23"/>
      <c r="B43" s="23"/>
      <c r="C43" s="23"/>
      <c r="D43" s="23"/>
      <c r="E43" s="23"/>
      <c r="F43" s="24"/>
      <c r="G43" s="23"/>
      <c r="H43" s="23"/>
      <c r="I43" s="24"/>
    </row>
    <row r="44" spans="1:9" x14ac:dyDescent="0.2">
      <c r="A44" s="23"/>
      <c r="B44" s="23"/>
      <c r="C44" s="23"/>
      <c r="D44" s="23"/>
      <c r="E44" s="23"/>
      <c r="F44" s="24"/>
      <c r="G44" s="23"/>
      <c r="H44" s="23"/>
      <c r="I44" s="24"/>
    </row>
    <row r="45" spans="1:9" x14ac:dyDescent="0.2">
      <c r="A45" s="23"/>
      <c r="B45" s="23"/>
      <c r="C45" s="23"/>
      <c r="D45" s="23"/>
      <c r="E45" s="23"/>
      <c r="F45" s="24"/>
      <c r="G45" s="23"/>
      <c r="H45" s="23"/>
      <c r="I45" s="24"/>
    </row>
    <row r="46" spans="1:9" x14ac:dyDescent="0.2">
      <c r="A46" s="23"/>
      <c r="B46" s="23"/>
      <c r="C46" s="23"/>
      <c r="D46" s="23"/>
      <c r="E46" s="23"/>
      <c r="F46" s="24"/>
      <c r="G46" s="23"/>
      <c r="H46" s="23"/>
      <c r="I46" s="24"/>
    </row>
    <row r="47" spans="1:9" x14ac:dyDescent="0.2">
      <c r="A47" s="23"/>
      <c r="B47" s="23"/>
      <c r="C47" s="23"/>
      <c r="D47" s="23"/>
      <c r="E47" s="23"/>
      <c r="F47" s="24"/>
      <c r="G47" s="23"/>
      <c r="H47" s="23"/>
      <c r="I47" s="24"/>
    </row>
    <row r="48" spans="1:9" x14ac:dyDescent="0.2">
      <c r="A48" s="23"/>
      <c r="B48" s="23"/>
      <c r="C48" s="23"/>
      <c r="D48" s="23"/>
      <c r="E48" s="23"/>
      <c r="F48" s="24"/>
      <c r="G48" s="23"/>
      <c r="H48" s="23"/>
      <c r="I48" s="24"/>
    </row>
    <row r="49" spans="1:9" x14ac:dyDescent="0.2">
      <c r="A49" s="23"/>
      <c r="B49" s="23"/>
      <c r="C49" s="23"/>
      <c r="D49" s="23"/>
      <c r="E49" s="23"/>
      <c r="F49" s="24"/>
      <c r="G49" s="23"/>
      <c r="H49" s="23"/>
      <c r="I49" s="24"/>
    </row>
    <row r="50" spans="1:9" x14ac:dyDescent="0.2">
      <c r="A50" s="23"/>
      <c r="B50" s="23"/>
      <c r="C50" s="23"/>
      <c r="D50" s="23"/>
      <c r="E50" s="23"/>
      <c r="F50" s="24"/>
      <c r="G50" s="23"/>
      <c r="H50" s="23"/>
      <c r="I50" s="24"/>
    </row>
    <row r="51" spans="1:9" x14ac:dyDescent="0.2">
      <c r="A51" s="23"/>
      <c r="B51" s="23"/>
      <c r="C51" s="23"/>
      <c r="D51" s="23"/>
      <c r="E51" s="23"/>
      <c r="F51" s="24"/>
      <c r="G51" s="23"/>
      <c r="H51" s="23"/>
      <c r="I51" s="24"/>
    </row>
    <row r="52" spans="1:9" x14ac:dyDescent="0.2">
      <c r="A52" s="23"/>
      <c r="B52" s="23"/>
      <c r="C52" s="23"/>
      <c r="D52" s="23"/>
      <c r="E52" s="23"/>
      <c r="F52" s="24"/>
      <c r="G52" s="23"/>
      <c r="H52" s="23"/>
      <c r="I52" s="24"/>
    </row>
    <row r="53" spans="1:9" x14ac:dyDescent="0.2">
      <c r="A53" s="23"/>
      <c r="B53" s="23"/>
      <c r="C53" s="23"/>
      <c r="D53" s="23"/>
      <c r="E53" s="23"/>
      <c r="F53" s="24"/>
      <c r="G53" s="23"/>
      <c r="H53" s="23"/>
      <c r="I53" s="24"/>
    </row>
    <row r="54" spans="1:9" x14ac:dyDescent="0.2">
      <c r="A54" s="23"/>
      <c r="B54" s="23"/>
      <c r="C54" s="23"/>
      <c r="D54" s="23"/>
      <c r="E54" s="23"/>
      <c r="F54" s="24"/>
      <c r="G54" s="23"/>
      <c r="H54" s="23"/>
      <c r="I54" s="24"/>
    </row>
    <row r="55" spans="1:9" x14ac:dyDescent="0.2">
      <c r="A55" s="23"/>
      <c r="B55" s="23"/>
      <c r="C55" s="23"/>
      <c r="D55" s="23"/>
      <c r="E55" s="23"/>
      <c r="F55" s="24"/>
      <c r="G55" s="23"/>
      <c r="H55" s="23"/>
      <c r="I55" s="24"/>
    </row>
    <row r="56" spans="1:9" x14ac:dyDescent="0.2">
      <c r="A56" s="23"/>
      <c r="B56" s="23"/>
      <c r="C56" s="23"/>
      <c r="D56" s="23"/>
      <c r="E56" s="23"/>
      <c r="F56" s="24"/>
      <c r="G56" s="23"/>
      <c r="H56" s="23"/>
      <c r="I56" s="24"/>
    </row>
    <row r="57" spans="1:9" x14ac:dyDescent="0.2">
      <c r="A57" s="23"/>
      <c r="B57" s="23"/>
      <c r="C57" s="23"/>
      <c r="D57" s="23"/>
      <c r="E57" s="23"/>
      <c r="F57" s="24"/>
      <c r="G57" s="23"/>
      <c r="H57" s="23"/>
      <c r="I57" s="24"/>
    </row>
    <row r="58" spans="1:9" x14ac:dyDescent="0.2">
      <c r="A58" s="23"/>
      <c r="B58" s="23"/>
      <c r="C58" s="23"/>
      <c r="D58" s="23"/>
      <c r="E58" s="23"/>
      <c r="F58" s="24"/>
      <c r="G58" s="23"/>
      <c r="H58" s="23"/>
      <c r="I58" s="24"/>
    </row>
    <row r="59" spans="1:9" x14ac:dyDescent="0.2">
      <c r="A59" s="23"/>
      <c r="B59" s="23"/>
      <c r="C59" s="23"/>
      <c r="D59" s="23"/>
      <c r="E59" s="23"/>
      <c r="F59" s="24"/>
      <c r="G59" s="23"/>
      <c r="H59" s="23"/>
      <c r="I59" s="24"/>
    </row>
    <row r="60" spans="1:9" x14ac:dyDescent="0.2">
      <c r="A60" s="23"/>
      <c r="B60" s="23"/>
      <c r="C60" s="23"/>
      <c r="D60" s="23"/>
      <c r="E60" s="23"/>
      <c r="F60" s="24"/>
      <c r="G60" s="23"/>
      <c r="H60" s="23"/>
      <c r="I60" s="24"/>
    </row>
    <row r="61" spans="1:9" x14ac:dyDescent="0.2">
      <c r="A61" s="23"/>
      <c r="B61" s="23"/>
      <c r="C61" s="23"/>
      <c r="D61" s="23"/>
      <c r="E61" s="23"/>
      <c r="F61" s="24"/>
      <c r="G61" s="23"/>
      <c r="H61" s="23"/>
      <c r="I61" s="24"/>
    </row>
    <row r="62" spans="1:9" x14ac:dyDescent="0.2">
      <c r="A62" s="23"/>
      <c r="B62" s="23"/>
      <c r="C62" s="23"/>
      <c r="D62" s="23"/>
      <c r="E62" s="23"/>
      <c r="F62" s="24"/>
      <c r="G62" s="23"/>
      <c r="H62" s="23"/>
      <c r="I62" s="24"/>
    </row>
    <row r="63" spans="1:9" x14ac:dyDescent="0.2">
      <c r="A63" s="23"/>
      <c r="B63" s="23"/>
      <c r="C63" s="23"/>
      <c r="D63" s="23"/>
      <c r="E63" s="23"/>
      <c r="F63" s="24"/>
      <c r="G63" s="23"/>
      <c r="H63" s="23"/>
      <c r="I63" s="24"/>
    </row>
    <row r="64" spans="1:9" x14ac:dyDescent="0.2">
      <c r="A64" s="23"/>
      <c r="B64" s="23"/>
      <c r="C64" s="23"/>
      <c r="D64" s="23"/>
      <c r="E64" s="23"/>
      <c r="F64" s="24"/>
      <c r="G64" s="23"/>
      <c r="H64" s="23"/>
      <c r="I64" s="24"/>
    </row>
    <row r="65" spans="1:9" x14ac:dyDescent="0.2">
      <c r="A65" s="23"/>
      <c r="B65" s="23"/>
      <c r="C65" s="23"/>
      <c r="D65" s="23"/>
      <c r="E65" s="23"/>
      <c r="F65" s="24"/>
      <c r="G65" s="23"/>
      <c r="H65" s="23"/>
      <c r="I65" s="24"/>
    </row>
    <row r="66" spans="1:9" x14ac:dyDescent="0.2">
      <c r="A66" s="23"/>
      <c r="B66" s="23"/>
      <c r="C66" s="23"/>
      <c r="D66" s="23"/>
      <c r="E66" s="23"/>
      <c r="F66" s="24"/>
      <c r="G66" s="23"/>
      <c r="H66" s="23"/>
      <c r="I66" s="24"/>
    </row>
    <row r="67" spans="1:9" x14ac:dyDescent="0.2">
      <c r="A67" s="23"/>
      <c r="B67" s="23"/>
      <c r="C67" s="23"/>
      <c r="D67" s="23"/>
      <c r="E67" s="23"/>
      <c r="F67" s="24"/>
      <c r="G67" s="23"/>
      <c r="H67" s="23"/>
      <c r="I67" s="24"/>
    </row>
    <row r="68" spans="1:9" x14ac:dyDescent="0.2">
      <c r="A68" s="23"/>
      <c r="B68" s="23"/>
      <c r="C68" s="23"/>
      <c r="D68" s="23"/>
      <c r="E68" s="23"/>
      <c r="F68" s="24"/>
      <c r="G68" s="23"/>
      <c r="H68" s="23"/>
      <c r="I68" s="24"/>
    </row>
    <row r="69" spans="1:9" x14ac:dyDescent="0.2">
      <c r="A69" s="23"/>
      <c r="B69" s="23"/>
      <c r="C69" s="23"/>
      <c r="D69" s="23"/>
      <c r="E69" s="23"/>
      <c r="F69" s="24"/>
      <c r="G69" s="23"/>
      <c r="H69" s="23"/>
      <c r="I69" s="24"/>
    </row>
    <row r="70" spans="1:9" x14ac:dyDescent="0.2">
      <c r="A70" s="23"/>
      <c r="B70" s="23"/>
      <c r="C70" s="23"/>
      <c r="D70" s="23"/>
      <c r="E70" s="23"/>
      <c r="F70" s="24"/>
      <c r="G70" s="23"/>
      <c r="H70" s="23"/>
      <c r="I70" s="24"/>
    </row>
    <row r="71" spans="1:9" x14ac:dyDescent="0.2">
      <c r="A71" s="23"/>
      <c r="B71" s="23"/>
      <c r="C71" s="23"/>
      <c r="D71" s="23"/>
      <c r="E71" s="23"/>
      <c r="F71" s="24"/>
      <c r="G71" s="23"/>
      <c r="H71" s="23"/>
      <c r="I71" s="24"/>
    </row>
    <row r="72" spans="1:9" x14ac:dyDescent="0.2">
      <c r="A72" s="23"/>
      <c r="B72" s="23"/>
      <c r="C72" s="23"/>
      <c r="D72" s="23"/>
      <c r="E72" s="23"/>
      <c r="F72" s="24"/>
      <c r="G72" s="23"/>
      <c r="H72" s="23"/>
      <c r="I72" s="24"/>
    </row>
    <row r="73" spans="1:9" x14ac:dyDescent="0.2">
      <c r="A73" s="23"/>
      <c r="B73" s="23"/>
      <c r="C73" s="23"/>
      <c r="D73" s="23"/>
      <c r="E73" s="23"/>
      <c r="F73" s="24"/>
      <c r="G73" s="23"/>
      <c r="H73" s="23"/>
      <c r="I73" s="24"/>
    </row>
    <row r="74" spans="1:9" x14ac:dyDescent="0.2">
      <c r="A74" s="23"/>
      <c r="B74" s="23"/>
      <c r="C74" s="23"/>
      <c r="D74" s="23"/>
      <c r="E74" s="23"/>
      <c r="F74" s="24"/>
      <c r="G74" s="23"/>
      <c r="H74" s="23"/>
      <c r="I74" s="24"/>
    </row>
    <row r="75" spans="1:9" x14ac:dyDescent="0.2">
      <c r="A75" s="23"/>
      <c r="B75" s="23"/>
      <c r="C75" s="23"/>
      <c r="D75" s="23"/>
      <c r="E75" s="23"/>
      <c r="F75" s="24"/>
      <c r="G75" s="23"/>
      <c r="H75" s="23"/>
      <c r="I75" s="24"/>
    </row>
    <row r="76" spans="1:9" x14ac:dyDescent="0.2">
      <c r="A76" s="23"/>
      <c r="B76" s="23"/>
      <c r="C76" s="23"/>
      <c r="D76" s="23"/>
      <c r="E76" s="23"/>
      <c r="F76" s="24"/>
      <c r="G76" s="23"/>
      <c r="H76" s="23"/>
      <c r="I76" s="24"/>
    </row>
    <row r="77" spans="1:9" x14ac:dyDescent="0.2">
      <c r="A77" s="23"/>
      <c r="B77" s="23"/>
      <c r="C77" s="23"/>
      <c r="D77" s="23"/>
      <c r="E77" s="23"/>
      <c r="F77" s="24"/>
      <c r="G77" s="23"/>
      <c r="H77" s="23"/>
      <c r="I77" s="24"/>
    </row>
    <row r="78" spans="1:9" x14ac:dyDescent="0.2">
      <c r="A78" s="23"/>
      <c r="B78" s="23"/>
      <c r="C78" s="23"/>
      <c r="D78" s="23"/>
      <c r="E78" s="23"/>
      <c r="F78" s="24"/>
      <c r="G78" s="23"/>
      <c r="H78" s="23"/>
      <c r="I78" s="24"/>
    </row>
    <row r="79" spans="1:9" x14ac:dyDescent="0.2">
      <c r="A79" s="23"/>
      <c r="B79" s="23"/>
      <c r="C79" s="23"/>
      <c r="D79" s="23"/>
      <c r="E79" s="23"/>
      <c r="F79" s="24"/>
      <c r="G79" s="23"/>
      <c r="H79" s="23"/>
      <c r="I79" s="24"/>
    </row>
    <row r="80" spans="1:9" x14ac:dyDescent="0.2">
      <c r="A80" s="23"/>
      <c r="B80" s="23"/>
      <c r="C80" s="23"/>
      <c r="D80" s="23"/>
      <c r="E80" s="23"/>
      <c r="F80" s="24"/>
      <c r="G80" s="23"/>
      <c r="H80" s="23"/>
      <c r="I80" s="24"/>
    </row>
    <row r="81" spans="1:9" x14ac:dyDescent="0.2">
      <c r="A81" s="23"/>
      <c r="B81" s="23"/>
      <c r="C81" s="23"/>
      <c r="D81" s="23"/>
      <c r="E81" s="23"/>
      <c r="F81" s="24"/>
      <c r="G81" s="23"/>
      <c r="H81" s="23"/>
      <c r="I81" s="24"/>
    </row>
    <row r="82" spans="1:9" x14ac:dyDescent="0.2">
      <c r="A82" s="23"/>
      <c r="B82" s="23"/>
      <c r="C82" s="23"/>
      <c r="D82" s="23"/>
      <c r="E82" s="23"/>
      <c r="F82" s="24"/>
      <c r="G82" s="23"/>
      <c r="H82" s="23"/>
      <c r="I82" s="24"/>
    </row>
    <row r="83" spans="1:9" x14ac:dyDescent="0.2">
      <c r="A83" s="23"/>
      <c r="B83" s="23"/>
      <c r="C83" s="23"/>
      <c r="D83" s="23"/>
      <c r="E83" s="23"/>
      <c r="F83" s="24"/>
      <c r="G83" s="23"/>
      <c r="H83" s="23"/>
      <c r="I83" s="24"/>
    </row>
    <row r="84" spans="1:9" x14ac:dyDescent="0.2">
      <c r="A84" s="23"/>
      <c r="B84" s="23"/>
      <c r="C84" s="23"/>
      <c r="D84" s="23"/>
      <c r="E84" s="23"/>
      <c r="F84" s="24"/>
      <c r="G84" s="23"/>
      <c r="H84" s="23"/>
      <c r="I84" s="24"/>
    </row>
    <row r="85" spans="1:9" x14ac:dyDescent="0.2">
      <c r="A85" s="23"/>
      <c r="B85" s="23"/>
      <c r="C85" s="23"/>
      <c r="D85" s="23"/>
      <c r="E85" s="23"/>
      <c r="F85" s="24"/>
      <c r="G85" s="23"/>
      <c r="H85" s="23"/>
      <c r="I85" s="24"/>
    </row>
    <row r="86" spans="1:9" x14ac:dyDescent="0.2">
      <c r="A86" s="23"/>
      <c r="B86" s="23"/>
      <c r="C86" s="23"/>
      <c r="D86" s="23"/>
      <c r="E86" s="23"/>
      <c r="F86" s="24"/>
      <c r="G86" s="23"/>
      <c r="H86" s="23"/>
      <c r="I86" s="24"/>
    </row>
    <row r="87" spans="1:9" x14ac:dyDescent="0.2">
      <c r="A87" s="23"/>
      <c r="B87" s="23"/>
      <c r="C87" s="23"/>
      <c r="D87" s="23"/>
      <c r="E87" s="23"/>
      <c r="F87" s="24"/>
      <c r="G87" s="23"/>
      <c r="H87" s="23"/>
      <c r="I87" s="24"/>
    </row>
    <row r="88" spans="1:9" x14ac:dyDescent="0.2">
      <c r="A88" s="23"/>
      <c r="B88" s="23"/>
      <c r="C88" s="23"/>
      <c r="D88" s="23"/>
      <c r="E88" s="23"/>
      <c r="F88" s="24"/>
      <c r="G88" s="23"/>
      <c r="H88" s="23"/>
      <c r="I88" s="24"/>
    </row>
    <row r="89" spans="1:9" x14ac:dyDescent="0.2">
      <c r="A89" s="23"/>
      <c r="B89" s="23"/>
      <c r="C89" s="23"/>
      <c r="D89" s="23"/>
      <c r="E89" s="23"/>
      <c r="F89" s="24"/>
      <c r="G89" s="23"/>
      <c r="H89" s="23"/>
      <c r="I89" s="24"/>
    </row>
    <row r="90" spans="1:9" x14ac:dyDescent="0.2">
      <c r="A90" s="23"/>
      <c r="B90" s="23"/>
      <c r="C90" s="23"/>
      <c r="D90" s="23"/>
      <c r="E90" s="23"/>
      <c r="F90" s="24"/>
      <c r="G90" s="23"/>
      <c r="H90" s="23"/>
      <c r="I90" s="24"/>
    </row>
    <row r="91" spans="1:9" x14ac:dyDescent="0.2">
      <c r="A91" s="23"/>
      <c r="B91" s="23"/>
      <c r="C91" s="23"/>
      <c r="D91" s="23"/>
      <c r="E91" s="23"/>
      <c r="F91" s="24"/>
      <c r="G91" s="23"/>
      <c r="H91" s="23"/>
      <c r="I91" s="24"/>
    </row>
    <row r="92" spans="1:9" x14ac:dyDescent="0.2">
      <c r="A92" s="23"/>
      <c r="B92" s="23"/>
      <c r="C92" s="23"/>
      <c r="D92" s="23"/>
      <c r="E92" s="23"/>
      <c r="F92" s="24"/>
      <c r="G92" s="23"/>
      <c r="H92" s="23"/>
      <c r="I92" s="24"/>
    </row>
    <row r="93" spans="1:9" x14ac:dyDescent="0.2">
      <c r="A93" s="23"/>
      <c r="B93" s="23"/>
      <c r="C93" s="23"/>
      <c r="D93" s="23"/>
      <c r="E93" s="23"/>
      <c r="F93" s="24"/>
      <c r="G93" s="23"/>
      <c r="H93" s="23"/>
      <c r="I93" s="24"/>
    </row>
    <row r="94" spans="1:9" x14ac:dyDescent="0.2">
      <c r="A94" s="23"/>
      <c r="B94" s="23"/>
      <c r="C94" s="23"/>
      <c r="D94" s="23"/>
      <c r="E94" s="23"/>
      <c r="F94" s="24"/>
      <c r="G94" s="23"/>
      <c r="H94" s="23"/>
      <c r="I94" s="24"/>
    </row>
    <row r="95" spans="1:9" x14ac:dyDescent="0.2">
      <c r="A95" s="23"/>
      <c r="B95" s="23"/>
      <c r="C95" s="23"/>
      <c r="D95" s="23"/>
      <c r="E95" s="23"/>
      <c r="F95" s="24"/>
      <c r="G95" s="23"/>
      <c r="H95" s="23"/>
      <c r="I95" s="24"/>
    </row>
    <row r="96" spans="1:9" x14ac:dyDescent="0.2">
      <c r="A96" s="23"/>
      <c r="B96" s="23"/>
      <c r="C96" s="23"/>
      <c r="D96" s="23"/>
      <c r="E96" s="23"/>
      <c r="F96" s="24"/>
      <c r="G96" s="23"/>
      <c r="H96" s="23"/>
      <c r="I96" s="24"/>
    </row>
    <row r="97" spans="1:9" x14ac:dyDescent="0.2">
      <c r="A97" s="23"/>
      <c r="B97" s="23"/>
      <c r="C97" s="23"/>
      <c r="D97" s="23"/>
      <c r="E97" s="23"/>
      <c r="F97" s="24"/>
      <c r="G97" s="23"/>
      <c r="H97" s="23"/>
      <c r="I97" s="24"/>
    </row>
    <row r="98" spans="1:9" x14ac:dyDescent="0.2">
      <c r="A98" s="23"/>
      <c r="B98" s="23"/>
      <c r="C98" s="23"/>
      <c r="D98" s="23"/>
      <c r="E98" s="23"/>
      <c r="F98" s="24"/>
      <c r="G98" s="23"/>
      <c r="H98" s="23"/>
      <c r="I98" s="24"/>
    </row>
    <row r="99" spans="1:9" x14ac:dyDescent="0.2">
      <c r="A99" s="23"/>
      <c r="B99" s="23"/>
      <c r="C99" s="23"/>
      <c r="D99" s="23"/>
      <c r="E99" s="23"/>
      <c r="F99" s="24"/>
      <c r="G99" s="23"/>
      <c r="H99" s="23"/>
      <c r="I99" s="24"/>
    </row>
    <row r="100" spans="1:9" x14ac:dyDescent="0.2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x14ac:dyDescent="0.2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x14ac:dyDescent="0.2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x14ac:dyDescent="0.2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x14ac:dyDescent="0.2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x14ac:dyDescent="0.2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x14ac:dyDescent="0.2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x14ac:dyDescent="0.2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x14ac:dyDescent="0.2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x14ac:dyDescent="0.2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x14ac:dyDescent="0.2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x14ac:dyDescent="0.2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x14ac:dyDescent="0.2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x14ac:dyDescent="0.2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x14ac:dyDescent="0.2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x14ac:dyDescent="0.2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x14ac:dyDescent="0.2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x14ac:dyDescent="0.2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x14ac:dyDescent="0.2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x14ac:dyDescent="0.2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x14ac:dyDescent="0.2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x14ac:dyDescent="0.2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x14ac:dyDescent="0.2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x14ac:dyDescent="0.2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x14ac:dyDescent="0.2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x14ac:dyDescent="0.2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x14ac:dyDescent="0.2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x14ac:dyDescent="0.2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x14ac:dyDescent="0.2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x14ac:dyDescent="0.2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x14ac:dyDescent="0.2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x14ac:dyDescent="0.2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x14ac:dyDescent="0.2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x14ac:dyDescent="0.2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x14ac:dyDescent="0.2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x14ac:dyDescent="0.2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x14ac:dyDescent="0.2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x14ac:dyDescent="0.2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x14ac:dyDescent="0.2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x14ac:dyDescent="0.2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x14ac:dyDescent="0.2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x14ac:dyDescent="0.2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x14ac:dyDescent="0.2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x14ac:dyDescent="0.2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x14ac:dyDescent="0.2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x14ac:dyDescent="0.2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x14ac:dyDescent="0.2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x14ac:dyDescent="0.2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x14ac:dyDescent="0.2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x14ac:dyDescent="0.2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x14ac:dyDescent="0.2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x14ac:dyDescent="0.2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x14ac:dyDescent="0.2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x14ac:dyDescent="0.2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x14ac:dyDescent="0.2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x14ac:dyDescent="0.2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x14ac:dyDescent="0.2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x14ac:dyDescent="0.2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x14ac:dyDescent="0.2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x14ac:dyDescent="0.2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x14ac:dyDescent="0.2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x14ac:dyDescent="0.2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x14ac:dyDescent="0.2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x14ac:dyDescent="0.2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x14ac:dyDescent="0.2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x14ac:dyDescent="0.2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x14ac:dyDescent="0.2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x14ac:dyDescent="0.2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x14ac:dyDescent="0.2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x14ac:dyDescent="0.2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x14ac:dyDescent="0.2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x14ac:dyDescent="0.2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x14ac:dyDescent="0.2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x14ac:dyDescent="0.2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x14ac:dyDescent="0.2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x14ac:dyDescent="0.2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x14ac:dyDescent="0.2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x14ac:dyDescent="0.2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x14ac:dyDescent="0.2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x14ac:dyDescent="0.2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x14ac:dyDescent="0.2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x14ac:dyDescent="0.2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x14ac:dyDescent="0.2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x14ac:dyDescent="0.2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x14ac:dyDescent="0.2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x14ac:dyDescent="0.2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x14ac:dyDescent="0.2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x14ac:dyDescent="0.2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x14ac:dyDescent="0.2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x14ac:dyDescent="0.2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x14ac:dyDescent="0.2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x14ac:dyDescent="0.2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x14ac:dyDescent="0.2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x14ac:dyDescent="0.2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x14ac:dyDescent="0.2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x14ac:dyDescent="0.2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x14ac:dyDescent="0.2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x14ac:dyDescent="0.2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x14ac:dyDescent="0.2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x14ac:dyDescent="0.2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x14ac:dyDescent="0.2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x14ac:dyDescent="0.2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x14ac:dyDescent="0.2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x14ac:dyDescent="0.2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x14ac:dyDescent="0.2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x14ac:dyDescent="0.2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x14ac:dyDescent="0.2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x14ac:dyDescent="0.2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x14ac:dyDescent="0.2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x14ac:dyDescent="0.2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x14ac:dyDescent="0.2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x14ac:dyDescent="0.2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x14ac:dyDescent="0.2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x14ac:dyDescent="0.2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x14ac:dyDescent="0.2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x14ac:dyDescent="0.2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x14ac:dyDescent="0.2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x14ac:dyDescent="0.2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x14ac:dyDescent="0.2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x14ac:dyDescent="0.2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x14ac:dyDescent="0.2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x14ac:dyDescent="0.2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x14ac:dyDescent="0.2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x14ac:dyDescent="0.2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x14ac:dyDescent="0.2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x14ac:dyDescent="0.2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x14ac:dyDescent="0.2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x14ac:dyDescent="0.2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x14ac:dyDescent="0.2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x14ac:dyDescent="0.2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x14ac:dyDescent="0.2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x14ac:dyDescent="0.2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x14ac:dyDescent="0.2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x14ac:dyDescent="0.2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x14ac:dyDescent="0.2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x14ac:dyDescent="0.2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x14ac:dyDescent="0.2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x14ac:dyDescent="0.2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x14ac:dyDescent="0.2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x14ac:dyDescent="0.2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x14ac:dyDescent="0.2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x14ac:dyDescent="0.2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x14ac:dyDescent="0.2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x14ac:dyDescent="0.2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x14ac:dyDescent="0.2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x14ac:dyDescent="0.2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x14ac:dyDescent="0.2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x14ac:dyDescent="0.2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x14ac:dyDescent="0.2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x14ac:dyDescent="0.2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x14ac:dyDescent="0.2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x14ac:dyDescent="0.2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x14ac:dyDescent="0.2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x14ac:dyDescent="0.2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x14ac:dyDescent="0.2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x14ac:dyDescent="0.2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x14ac:dyDescent="0.2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x14ac:dyDescent="0.2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x14ac:dyDescent="0.2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x14ac:dyDescent="0.2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x14ac:dyDescent="0.2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x14ac:dyDescent="0.2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x14ac:dyDescent="0.2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x14ac:dyDescent="0.2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x14ac:dyDescent="0.2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x14ac:dyDescent="0.2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x14ac:dyDescent="0.2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x14ac:dyDescent="0.2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x14ac:dyDescent="0.2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x14ac:dyDescent="0.2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x14ac:dyDescent="0.2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x14ac:dyDescent="0.2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x14ac:dyDescent="0.2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x14ac:dyDescent="0.2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x14ac:dyDescent="0.2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x14ac:dyDescent="0.2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x14ac:dyDescent="0.2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x14ac:dyDescent="0.2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x14ac:dyDescent="0.2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x14ac:dyDescent="0.2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x14ac:dyDescent="0.2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x14ac:dyDescent="0.2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x14ac:dyDescent="0.2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x14ac:dyDescent="0.2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x14ac:dyDescent="0.2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x14ac:dyDescent="0.2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x14ac:dyDescent="0.2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x14ac:dyDescent="0.2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x14ac:dyDescent="0.2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x14ac:dyDescent="0.2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x14ac:dyDescent="0.2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x14ac:dyDescent="0.2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x14ac:dyDescent="0.2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x14ac:dyDescent="0.2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x14ac:dyDescent="0.2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x14ac:dyDescent="0.2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x14ac:dyDescent="0.2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x14ac:dyDescent="0.2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x14ac:dyDescent="0.2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x14ac:dyDescent="0.2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x14ac:dyDescent="0.2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x14ac:dyDescent="0.2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x14ac:dyDescent="0.2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x14ac:dyDescent="0.2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x14ac:dyDescent="0.2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x14ac:dyDescent="0.2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x14ac:dyDescent="0.2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x14ac:dyDescent="0.2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x14ac:dyDescent="0.2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x14ac:dyDescent="0.2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x14ac:dyDescent="0.2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x14ac:dyDescent="0.2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x14ac:dyDescent="0.2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x14ac:dyDescent="0.2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x14ac:dyDescent="0.2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x14ac:dyDescent="0.2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x14ac:dyDescent="0.2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x14ac:dyDescent="0.2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x14ac:dyDescent="0.2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x14ac:dyDescent="0.2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x14ac:dyDescent="0.2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x14ac:dyDescent="0.2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x14ac:dyDescent="0.2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x14ac:dyDescent="0.2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x14ac:dyDescent="0.2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x14ac:dyDescent="0.2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x14ac:dyDescent="0.2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x14ac:dyDescent="0.2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x14ac:dyDescent="0.2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x14ac:dyDescent="0.2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x14ac:dyDescent="0.2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x14ac:dyDescent="0.2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activeCell="J20" sqref="J20"/>
      <selection pane="bottomLeft" activeCell="E18" sqref="E18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3" priority="2" stopIfTrue="1" operator="lessThanOrEqual">
      <formula>-0.1</formula>
    </cfRule>
    <cfRule type="expression" dxfId="22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activeCell="J20" sqref="J20"/>
      <selection pane="bottomLeft" activeCell="E21" sqref="E21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5" x14ac:dyDescent="0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5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 x14ac:dyDescent="0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 x14ac:dyDescent="0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 x14ac:dyDescent="0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x14ac:dyDescent="0.2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G6" sqref="G6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9" priority="1" stopIfTrue="1" operator="lessThanOrEqual">
      <formula>-0.1</formula>
    </cfRule>
    <cfRule type="expression" dxfId="1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F9" sqref="F9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7" priority="1" stopIfTrue="1" operator="lessThanOrEqual">
      <formula>-0.1</formula>
    </cfRule>
    <cfRule type="expression" dxfId="1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abSelected="1" workbookViewId="0">
      <pane ySplit="2" topLeftCell="A3" activePane="bottomLeft" state="frozen"/>
      <selection activeCell="J20" sqref="J20"/>
      <selection pane="bottomLeft" activeCell="H25" sqref="H25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5" priority="1" stopIfTrue="1" operator="lessThanOrEqual">
      <formula>-0.1</formula>
    </cfRule>
    <cfRule type="expression" dxfId="1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3" priority="1" stopIfTrue="1" operator="lessThanOrEqual">
      <formula>-0.1</formula>
    </cfRule>
    <cfRule type="expression" dxfId="1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1" priority="1" stopIfTrue="1" operator="lessThanOrEqual">
      <formula>-0.1</formula>
    </cfRule>
    <cfRule type="expression" dxfId="1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" x14ac:dyDescent="0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5" x14ac:dyDescent="0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5" x14ac:dyDescent="0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5" x14ac:dyDescent="0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5" x14ac:dyDescent="0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5" x14ac:dyDescent="0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5" x14ac:dyDescent="0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5" x14ac:dyDescent="0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5" x14ac:dyDescent="0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5" x14ac:dyDescent="0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5" x14ac:dyDescent="0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5" x14ac:dyDescent="0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5" x14ac:dyDescent="0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5" x14ac:dyDescent="0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5" x14ac:dyDescent="0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5" x14ac:dyDescent="0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5" x14ac:dyDescent="0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5" x14ac:dyDescent="0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x14ac:dyDescent="0.2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9" priority="1" stopIfTrue="1" operator="lessThanOrEqual">
      <formula>-0.1</formula>
    </cfRule>
    <cfRule type="expression" dxfId="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7" priority="1" stopIfTrue="1" operator="lessThanOrEqual">
      <formula>-0.1</formula>
    </cfRule>
    <cfRule type="expression" dxfId="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5" priority="1" stopIfTrue="1" operator="lessThanOrEqual">
      <formula>-0.1</formula>
    </cfRule>
    <cfRule type="expression" dxfId="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3" priority="1" stopIfTrue="1" operator="lessThanOrEqual">
      <formula>-0.1</formula>
    </cfRule>
    <cfRule type="expression" dxfId="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activeCell="J20" sqref="J20"/>
      <selection pane="bottomLeft" activeCell="J20" sqref="J20"/>
    </sheetView>
  </sheetViews>
  <sheetFormatPr defaultRowHeight="14.25" x14ac:dyDescent="0.2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 x14ac:dyDescent="0.2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 x14ac:dyDescent="0.2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 x14ac:dyDescent="0.2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 x14ac:dyDescent="0.2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 x14ac:dyDescent="0.2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5" x14ac:dyDescent="0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5" x14ac:dyDescent="0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 x14ac:dyDescent="0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5" x14ac:dyDescent="0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5" x14ac:dyDescent="0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5" x14ac:dyDescent="0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5" x14ac:dyDescent="0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5" x14ac:dyDescent="0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" x14ac:dyDescent="0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5" x14ac:dyDescent="0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5" x14ac:dyDescent="0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5" x14ac:dyDescent="0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5" x14ac:dyDescent="0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5" x14ac:dyDescent="0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5" x14ac:dyDescent="0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5" x14ac:dyDescent="0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5" x14ac:dyDescent="0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5" x14ac:dyDescent="0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5" x14ac:dyDescent="0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5" x14ac:dyDescent="0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5" x14ac:dyDescent="0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5" x14ac:dyDescent="0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5" x14ac:dyDescent="0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5" x14ac:dyDescent="0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5" x14ac:dyDescent="0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5" x14ac:dyDescent="0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5" x14ac:dyDescent="0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5" x14ac:dyDescent="0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5" x14ac:dyDescent="0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5" x14ac:dyDescent="0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5" x14ac:dyDescent="0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5" x14ac:dyDescent="0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5" x14ac:dyDescent="0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5" x14ac:dyDescent="0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5" x14ac:dyDescent="0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5" x14ac:dyDescent="0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5" x14ac:dyDescent="0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5" x14ac:dyDescent="0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5" x14ac:dyDescent="0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5" x14ac:dyDescent="0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5" x14ac:dyDescent="0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5" x14ac:dyDescent="0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5" x14ac:dyDescent="0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5" x14ac:dyDescent="0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5" x14ac:dyDescent="0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5" x14ac:dyDescent="0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5" x14ac:dyDescent="0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5" x14ac:dyDescent="0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5" x14ac:dyDescent="0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5" x14ac:dyDescent="0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5" x14ac:dyDescent="0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5" x14ac:dyDescent="0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5" x14ac:dyDescent="0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5" x14ac:dyDescent="0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5" x14ac:dyDescent="0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5" x14ac:dyDescent="0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5" x14ac:dyDescent="0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5" x14ac:dyDescent="0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5" x14ac:dyDescent="0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5" x14ac:dyDescent="0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5" x14ac:dyDescent="0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5" x14ac:dyDescent="0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5" x14ac:dyDescent="0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5" x14ac:dyDescent="0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5" x14ac:dyDescent="0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5" x14ac:dyDescent="0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5" x14ac:dyDescent="0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5" x14ac:dyDescent="0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5" x14ac:dyDescent="0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5" x14ac:dyDescent="0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5" x14ac:dyDescent="0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5" x14ac:dyDescent="0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5" x14ac:dyDescent="0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5" x14ac:dyDescent="0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5" x14ac:dyDescent="0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5" x14ac:dyDescent="0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5" x14ac:dyDescent="0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5" x14ac:dyDescent="0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5" x14ac:dyDescent="0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5" x14ac:dyDescent="0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5" x14ac:dyDescent="0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5" x14ac:dyDescent="0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5" x14ac:dyDescent="0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5" x14ac:dyDescent="0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5" x14ac:dyDescent="0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5" x14ac:dyDescent="0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5" x14ac:dyDescent="0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5" x14ac:dyDescent="0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5" x14ac:dyDescent="0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5" x14ac:dyDescent="0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5" x14ac:dyDescent="0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5" x14ac:dyDescent="0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5" x14ac:dyDescent="0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5" x14ac:dyDescent="0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5" x14ac:dyDescent="0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5" x14ac:dyDescent="0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5" x14ac:dyDescent="0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5" x14ac:dyDescent="0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5" x14ac:dyDescent="0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5" x14ac:dyDescent="0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5" x14ac:dyDescent="0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5" x14ac:dyDescent="0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5" x14ac:dyDescent="0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5" x14ac:dyDescent="0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5" x14ac:dyDescent="0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5" x14ac:dyDescent="0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5" x14ac:dyDescent="0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5" x14ac:dyDescent="0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5" x14ac:dyDescent="0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5" x14ac:dyDescent="0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5" x14ac:dyDescent="0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5" x14ac:dyDescent="0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5" x14ac:dyDescent="0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5" x14ac:dyDescent="0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5" x14ac:dyDescent="0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5" x14ac:dyDescent="0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5" x14ac:dyDescent="0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5" x14ac:dyDescent="0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5" x14ac:dyDescent="0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5" x14ac:dyDescent="0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5" x14ac:dyDescent="0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5" x14ac:dyDescent="0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5" x14ac:dyDescent="0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5" x14ac:dyDescent="0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5" x14ac:dyDescent="0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5" x14ac:dyDescent="0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5" x14ac:dyDescent="0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5" x14ac:dyDescent="0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5" x14ac:dyDescent="0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5" x14ac:dyDescent="0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5" x14ac:dyDescent="0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5" x14ac:dyDescent="0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5" x14ac:dyDescent="0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5" x14ac:dyDescent="0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5" x14ac:dyDescent="0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5" x14ac:dyDescent="0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5" x14ac:dyDescent="0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5" x14ac:dyDescent="0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5" x14ac:dyDescent="0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5" x14ac:dyDescent="0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5" x14ac:dyDescent="0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5" x14ac:dyDescent="0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5" x14ac:dyDescent="0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5" x14ac:dyDescent="0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5" x14ac:dyDescent="0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5" x14ac:dyDescent="0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5" x14ac:dyDescent="0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5" x14ac:dyDescent="0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5" x14ac:dyDescent="0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5" x14ac:dyDescent="0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5" x14ac:dyDescent="0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5" x14ac:dyDescent="0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5" x14ac:dyDescent="0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5" x14ac:dyDescent="0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5" x14ac:dyDescent="0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5" x14ac:dyDescent="0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5" x14ac:dyDescent="0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5" x14ac:dyDescent="0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5" x14ac:dyDescent="0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5" x14ac:dyDescent="0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5" x14ac:dyDescent="0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5" x14ac:dyDescent="0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5" x14ac:dyDescent="0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5" x14ac:dyDescent="0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5" x14ac:dyDescent="0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5" x14ac:dyDescent="0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5" x14ac:dyDescent="0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5" x14ac:dyDescent="0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5" x14ac:dyDescent="0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5" x14ac:dyDescent="0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5" x14ac:dyDescent="0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5" x14ac:dyDescent="0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5" x14ac:dyDescent="0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5" x14ac:dyDescent="0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5" x14ac:dyDescent="0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5" x14ac:dyDescent="0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5" x14ac:dyDescent="0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5" x14ac:dyDescent="0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5" x14ac:dyDescent="0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5" x14ac:dyDescent="0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5" x14ac:dyDescent="0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5" x14ac:dyDescent="0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5" x14ac:dyDescent="0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5" x14ac:dyDescent="0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5" x14ac:dyDescent="0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5" x14ac:dyDescent="0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5" x14ac:dyDescent="0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5" x14ac:dyDescent="0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5" x14ac:dyDescent="0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5" x14ac:dyDescent="0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5" x14ac:dyDescent="0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5" x14ac:dyDescent="0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5" x14ac:dyDescent="0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5" x14ac:dyDescent="0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5" x14ac:dyDescent="0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5" x14ac:dyDescent="0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5" x14ac:dyDescent="0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5" x14ac:dyDescent="0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5" x14ac:dyDescent="0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5" x14ac:dyDescent="0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5" x14ac:dyDescent="0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5" x14ac:dyDescent="0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5" x14ac:dyDescent="0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5" x14ac:dyDescent="0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5" x14ac:dyDescent="0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5" x14ac:dyDescent="0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5" x14ac:dyDescent="0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5" x14ac:dyDescent="0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5" x14ac:dyDescent="0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5" x14ac:dyDescent="0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5" x14ac:dyDescent="0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5" x14ac:dyDescent="0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5" x14ac:dyDescent="0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5" x14ac:dyDescent="0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5" x14ac:dyDescent="0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5" x14ac:dyDescent="0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5" x14ac:dyDescent="0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5" x14ac:dyDescent="0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5" x14ac:dyDescent="0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5" x14ac:dyDescent="0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5" x14ac:dyDescent="0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5" x14ac:dyDescent="0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5" x14ac:dyDescent="0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5" x14ac:dyDescent="0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5" x14ac:dyDescent="0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5" x14ac:dyDescent="0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5" x14ac:dyDescent="0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5" x14ac:dyDescent="0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5" x14ac:dyDescent="0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5" x14ac:dyDescent="0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5" x14ac:dyDescent="0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5" x14ac:dyDescent="0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5" x14ac:dyDescent="0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5" x14ac:dyDescent="0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5" x14ac:dyDescent="0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5" x14ac:dyDescent="0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5" x14ac:dyDescent="0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5" x14ac:dyDescent="0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5" x14ac:dyDescent="0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5" x14ac:dyDescent="0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5" x14ac:dyDescent="0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5" x14ac:dyDescent="0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5" x14ac:dyDescent="0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5" x14ac:dyDescent="0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5" x14ac:dyDescent="0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5" x14ac:dyDescent="0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5" x14ac:dyDescent="0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5" x14ac:dyDescent="0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5" x14ac:dyDescent="0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5" x14ac:dyDescent="0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5" x14ac:dyDescent="0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5" x14ac:dyDescent="0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5" x14ac:dyDescent="0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5" x14ac:dyDescent="0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5" x14ac:dyDescent="0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5" x14ac:dyDescent="0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5" x14ac:dyDescent="0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5" x14ac:dyDescent="0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5" x14ac:dyDescent="0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5" x14ac:dyDescent="0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5" x14ac:dyDescent="0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5" x14ac:dyDescent="0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5" x14ac:dyDescent="0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5" x14ac:dyDescent="0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5" x14ac:dyDescent="0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5" x14ac:dyDescent="0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5" x14ac:dyDescent="0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5" x14ac:dyDescent="0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5" x14ac:dyDescent="0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5" x14ac:dyDescent="0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5" x14ac:dyDescent="0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5" x14ac:dyDescent="0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5" x14ac:dyDescent="0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5" x14ac:dyDescent="0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5" x14ac:dyDescent="0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5" x14ac:dyDescent="0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5" x14ac:dyDescent="0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5" x14ac:dyDescent="0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5" x14ac:dyDescent="0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5" x14ac:dyDescent="0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5" x14ac:dyDescent="0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5" x14ac:dyDescent="0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5" x14ac:dyDescent="0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5" x14ac:dyDescent="0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5" x14ac:dyDescent="0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5" x14ac:dyDescent="0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5" x14ac:dyDescent="0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5" x14ac:dyDescent="0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5" x14ac:dyDescent="0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5" x14ac:dyDescent="0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5" x14ac:dyDescent="0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5" x14ac:dyDescent="0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5" x14ac:dyDescent="0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5" x14ac:dyDescent="0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5" x14ac:dyDescent="0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5" x14ac:dyDescent="0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5" x14ac:dyDescent="0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5" x14ac:dyDescent="0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5" x14ac:dyDescent="0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5" x14ac:dyDescent="0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5" x14ac:dyDescent="0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5" x14ac:dyDescent="0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5" x14ac:dyDescent="0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5" x14ac:dyDescent="0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5" x14ac:dyDescent="0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5" x14ac:dyDescent="0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5" x14ac:dyDescent="0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5" x14ac:dyDescent="0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5" x14ac:dyDescent="0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5" x14ac:dyDescent="0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5" x14ac:dyDescent="0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5" x14ac:dyDescent="0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5" x14ac:dyDescent="0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5" x14ac:dyDescent="0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5" x14ac:dyDescent="0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5" x14ac:dyDescent="0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5" x14ac:dyDescent="0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5" x14ac:dyDescent="0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5" x14ac:dyDescent="0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5" x14ac:dyDescent="0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5" x14ac:dyDescent="0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5" x14ac:dyDescent="0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5" x14ac:dyDescent="0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5" x14ac:dyDescent="0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5" x14ac:dyDescent="0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5" x14ac:dyDescent="0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x14ac:dyDescent="0.2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" priority="1" stopIfTrue="1" operator="lessThanOrEqual">
      <formula>-0.1</formula>
    </cfRule>
    <cfRule type="expression" dxfId="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activeCell="A16" sqref="A16:XFD24"/>
      <selection pane="bottomLeft" activeCell="B20" sqref="B20"/>
    </sheetView>
  </sheetViews>
  <sheetFormatPr defaultRowHeight="12.75" customHeight="1" x14ac:dyDescent="0.2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 x14ac:dyDescent="0.2">
      <c r="A1" t="s">
        <v>44</v>
      </c>
      <c r="B1" t="s">
        <v>45</v>
      </c>
    </row>
    <row r="3" spans="1:7" x14ac:dyDescent="0.2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5" x14ac:dyDescent="0.2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4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5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6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7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8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9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0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1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12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14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5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8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9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20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 [AGS]</cp:lastModifiedBy>
  <cp:revision/>
  <dcterms:created xsi:type="dcterms:W3CDTF">2021-01-01T16:39:53Z</dcterms:created>
  <dcterms:modified xsi:type="dcterms:W3CDTF">2024-06-14T08:27:55Z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