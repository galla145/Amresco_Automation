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BA676EF4-3B4F-4070-A0C7-F6B71F22FCC0}" xr6:coauthVersionLast="47" xr6:coauthVersionMax="47" xr10:uidLastSave="{A761FC1B-1F49-41AC-834E-BB47C31608E8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<sst xmlns="http://schemas.openxmlformats.org/spreadsheetml/2006/main" count="247" uniqueCount="56">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</sst>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SUM(C4:C77)</f>
        <v>346280</v>
      </c>
      <c r="D2" s="5">
        <f>SUM(D4:D77)</f>
        <v>0</v>
      </c>
      <c r="E2" s="5">
        <f>C2-D2</f>
        <v>346280</v>
      </c>
      <c r="F2" s="6">
        <f>IFERROR(E2/D2, 0)</f>
        <v>0</v>
      </c>
      <c r="G2" s="5">
        <f>SUM(G4:G77)</f>
        <v>0</v>
      </c>
      <c r="H2" s="7">
        <f>C2-G2</f>
        <v>346280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304935</v>
      </c>
      <c r="D4" s="12">
        <f>SUM('1st Qtr'!D4, '2nd Qtr'!D4, '3rd Qtr'!D4, '4th Qtr'!D4)</f>
        <v>0</v>
      </c>
      <c r="E4" s="12">
        <f>IF(AND(ISNUMBER(C4),ISNUMBER(D4)), C4-D4, "")</f>
        <v>304935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304935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SUM(C4:C77)</f>
        <v>194142</v>
      </c>
      <c r="D2" s="5">
        <f>SUM(D4:D77)</f>
        <v>0</v>
      </c>
      <c r="E2" s="5">
        <f>C2-D2</f>
        <v>194142</v>
      </c>
      <c r="F2" s="6">
        <f>IFERROR(E2/D2, 0)</f>
        <v>0</v>
      </c>
      <c r="G2" s="5">
        <f>SUM(G4:G77)</f>
        <v>0</v>
      </c>
      <c r="H2" s="7">
        <f>C2-G2</f>
        <v>194142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152797</v>
      </c>
      <c r="D4" s="12">
        <f>SUM(Jan!D4, Feb!D4, Mar!D4)</f>
        <v>0</v>
      </c>
      <c r="E4" s="12">
        <f>IF(AND(ISNUMBER(C4),ISNUMBER(D4)), C4-D4, "")</f>
        <v>152797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152797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J10" sqref="J10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SUM(C4:C77)</f>
        <v>205965</v>
      </c>
      <c r="D2" s="5">
        <f>SUM(D4:D77)</f>
        <v>0</v>
      </c>
      <c r="E2" s="5">
        <f>C2-D2</f>
        <v>205965</v>
      </c>
      <c r="F2" s="6">
        <f>IFERROR(E2/D2, 0)</f>
        <v>0</v>
      </c>
      <c r="G2" s="5">
        <f>SUM(G4:G77)</f>
        <v>0</v>
      </c>
      <c r="H2" s="7">
        <f>C2-G2</f>
        <v>205965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152138</v>
      </c>
      <c r="D4" s="12">
        <f>SUM(Apr!D4, May!D4, Jun!D4)</f>
        <v>0</v>
      </c>
      <c r="E4" s="12">
        <f>IF(AND(ISNUMBER(C4),ISNUMBER(D4)), C4-D4, "")</f>
        <v>152138</v>
      </c>
      <c r="F4" s="13" t="str">
        <f>IFERROR(E4/D4, "")</f>
        <v/>
      </c>
      <c r="G4" s="14">
        <f>SUM(Apr!G4, May!G4, Jun!G4)</f>
        <v>0</v>
      </c>
      <c r="H4" s="14">
        <f>SUM(Apr!H4, May!H4, Jun!H4)</f>
        <v>152138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53827</v>
      </c>
      <c r="D5" s="17">
        <f>SUM(Apr!D5, May!D5, Jun!D5)</f>
        <v>0</v>
      </c>
      <c r="E5" s="17">
        <f t="shared" ref="E5" si="0">IF(AND(ISNUMBER(C5),ISNUMBER(D5)), C5-D5, "")</f>
        <v>53827</v>
      </c>
      <c r="F5" s="18" t="str">
        <f>IFERROR(E5/D5, "")</f>
        <v/>
      </c>
      <c r="G5" s="19">
        <f>SUM(Apr!G5, May!G5, Jun!G5)</f>
        <v>0</v>
      </c>
      <c r="H5" s="19">
        <f>SUM(Apr!H5, May!H5, Jun!H5)</f>
        <v>53827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B17" sqref="B17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41" sqref="J4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SUM(C4:C76)</f>
        <v>39051</v>
      </c>
      <c r="D2" s="5">
        <f>SUM(D4:D76)</f>
        <v>0</v>
      </c>
      <c r="E2" s="5">
        <f>C2-D2</f>
        <v>39051</v>
      </c>
      <c r="F2" s="6">
        <f>IFERROR(E2/D2, 0)</f>
        <v>0</v>
      </c>
      <c r="G2" s="5">
        <f>SUM(G4:G76)</f>
        <v>0</v>
      </c>
      <c r="H2" s="7">
        <f>C2-G2</f>
        <v>39051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34113</v>
      </c>
      <c r="D4" s="12">
        <v>0</v>
      </c>
      <c r="E4" s="12">
        <f>IF(AND(ISNUMBER(C4),ISNUMBER(D4)), C4-D4, "")</f>
        <v>34113</v>
      </c>
      <c r="F4" s="12" t="str">
        <f>IFERROR(E4/D4, "")</f>
        <v/>
      </c>
      <c r="G4" s="14">
        <v>0</v>
      </c>
      <c r="H4" s="14">
        <f>IF(AND(ISNUMBER(C4),ISNUMBER(G4)), C4-G4, "")</f>
        <v>34113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46" t="str">
        <v>Walden Liberty</v>
      </c>
      <c r="B5" s="29" t="str">
        <v>MA</v>
      </c>
      <c r="C5" s="11">
        <v>4938</v>
      </c>
      <c r="D5" s="17">
        <v>0</v>
      </c>
      <c r="E5" s="17">
        <f t="shared" ref="E5" si="0">IF(AND(ISNUMBER(C5),ISNUMBER(D5)), C5-D5, "")</f>
        <v>4938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4938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H8" sqref="H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23</v>
      </c>
      <c r="E1" s="53"/>
      <c r="F1" s="53"/>
      <c r="G1" s="51" t="s">
        <v>24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68716</v>
      </c>
      <c r="D2" s="5">
        <f>SUM(D4:D77)</f>
        <v>0</v>
      </c>
      <c r="E2" s="5">
        <f>C2-D2</f>
        <v>68716</v>
      </c>
      <c r="F2" s="6">
        <f>IFERROR(E2/D2, 0)</f>
        <v>0</v>
      </c>
      <c r="G2" s="5">
        <f>SUM(G4:G77)</f>
        <v>0</v>
      </c>
      <c r="H2" s="7">
        <f>C2-G2</f>
        <v>68716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53834</v>
      </c>
      <c r="D4" s="12">
        <v>0</v>
      </c>
      <c r="E4" s="12">
        <f>IF(AND(ISNUMBER(C4),ISNUMBER(D4)), C4-D4, "")</f>
        <v>53834</v>
      </c>
      <c r="F4" s="12" t="str">
        <f>IFERROR(E4/D4, "")</f>
        <v/>
      </c>
      <c r="G4" s="14">
        <v>0</v>
      </c>
      <c r="H4" s="14">
        <f>IF(AND(ISNUMBER(C4),ISNUMBER(G4)), C4-G4, "")</f>
        <v>53834</v>
      </c>
      <c r="I4" s="15" t="str">
        <f>IFERROR(H4/G4, "")</f>
        <v/>
      </c>
      <c r="J4" s="39"/>
      <c r="K4" s="39"/>
    </row>
    <row r="5" spans="1:11" ht="15.6">
      <c r="A5" s="46" t="str">
        <v>Walden Liberty</v>
      </c>
      <c r="B5" s="29" t="str">
        <v>MA</v>
      </c>
      <c r="C5" s="11">
        <v>14882</v>
      </c>
      <c r="D5" s="17">
        <v>0</v>
      </c>
      <c r="E5" s="17">
        <f t="shared" ref="E5" si="0">IF(AND(ISNUMBER(C5),ISNUMBER(D5)), C5-D5, "")</f>
        <v>14882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14882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H23" sqref="H23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25</v>
      </c>
      <c r="E1" s="53"/>
      <c r="F1" s="53"/>
      <c r="G1" s="51" t="s">
        <v>26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86375</v>
      </c>
      <c r="D2" s="5">
        <f>SUM(D4:D77)</f>
        <v>0</v>
      </c>
      <c r="E2" s="5">
        <f>C2-D2</f>
        <v>86375</v>
      </c>
      <c r="F2" s="6">
        <f>IFERROR(E2/D2, 0)</f>
        <v>0</v>
      </c>
      <c r="G2" s="5">
        <f>SUM(G4:G77)</f>
        <v>0</v>
      </c>
      <c r="H2" s="7">
        <f>C2-G2</f>
        <v>86375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64850</v>
      </c>
      <c r="D4" s="12">
        <v>0</v>
      </c>
      <c r="E4" s="12">
        <f t="shared" ref="E4:E5" si="0">IF(AND(ISNUMBER(C4),ISNUMBER(D4)), C4-D4, "")</f>
        <v>64850</v>
      </c>
      <c r="F4" s="12" t="str">
        <f>IFERROR(E4/D4, "")</f>
        <v/>
      </c>
      <c r="G4" s="14">
        <v>0</v>
      </c>
      <c r="H4" s="14">
        <f>IF(AND(ISNUMBER(C4),ISNUMBER(G4)), C4-G4, "")</f>
        <v>64850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21525</v>
      </c>
      <c r="D5" s="17">
        <v>0</v>
      </c>
      <c r="E5" s="17">
        <f t="shared" si="0"/>
        <v>21525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21525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G5" activePane="bottomRight" state="frozen"/>
      <selection pane="bottomRight" activeCell="G5" sqref="G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91941</v>
      </c>
      <c r="D2" s="5">
        <f>SUM(D4:D77)</f>
        <v>0</v>
      </c>
      <c r="E2" s="5">
        <f>C2-D2</f>
        <v>91941</v>
      </c>
      <c r="F2" s="6">
        <f>IFERROR(E2/D2, 0)</f>
        <v>0</v>
      </c>
      <c r="G2" s="5">
        <f>SUM(G4:G77)</f>
        <v>0</v>
      </c>
      <c r="H2" s="7">
        <f>C2-G2</f>
        <v>91941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67078</v>
      </c>
      <c r="D4" s="12">
        <v>0</v>
      </c>
      <c r="E4" s="12">
        <f>IF(AND(ISNUMBER(C4),ISNUMBER(D4)), C4-D4, "")</f>
        <v>67078</v>
      </c>
      <c r="F4" s="13" t="str">
        <f>IFERROR(E4/D4, "")</f>
        <v/>
      </c>
      <c r="G4" s="14">
        <v>0</v>
      </c>
      <c r="H4" s="14">
        <f>IF(AND(ISNUMBER(C4),ISNUMBER(G4)), C4-G4, "")</f>
        <v>67078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24863</v>
      </c>
      <c r="D5" s="17">
        <v>0</v>
      </c>
      <c r="E5" s="17">
        <f t="shared" ref="E5" si="0">IF(AND(ISNUMBER(C5),ISNUMBER(D5)), C5-D5, "")</f>
        <v>24863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24863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8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29</v>
      </c>
      <c r="E1" s="53"/>
      <c r="F1" s="53"/>
      <c r="G1" s="51" t="s">
        <v>30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114024</v>
      </c>
      <c r="D2" s="5">
        <f>SUM(D4:D77)</f>
        <v>0</v>
      </c>
      <c r="E2" s="5">
        <f>C2-D2</f>
        <v>114024</v>
      </c>
      <c r="F2" s="6">
        <f>IFERROR(E2/D2, 0)</f>
        <v>0</v>
      </c>
      <c r="G2" s="5">
        <f>SUM(G4:G77)</f>
        <v>0</v>
      </c>
      <c r="H2" s="7">
        <f>C2-G2</f>
        <v>114024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85060</v>
      </c>
      <c r="D4" s="12">
        <v>0</v>
      </c>
      <c r="E4" s="12">
        <f>IF(AND(ISNUMBER(C4),ISNUMBER(D4)), C4-D4, "")</f>
        <v>85060</v>
      </c>
      <c r="F4" s="13" t="str">
        <f>IFERROR(E4/D4, "")</f>
        <v/>
      </c>
      <c r="G4" s="14">
        <v>0</v>
      </c>
      <c r="H4" s="14">
        <f>IF(AND(ISNUMBER(C4),ISNUMBER(G4)), C4-G4, "")</f>
        <v>85060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28964</v>
      </c>
      <c r="D5" s="17">
        <v>0</v>
      </c>
      <c r="E5" s="17">
        <f t="shared" ref="E5" si="0">IF(AND(ISNUMBER(C5),ISNUMBER(D5)), C5-D5, "")</f>
        <v>28964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28964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31</v>
      </c>
      <c r="E1" s="53"/>
      <c r="F1" s="53"/>
      <c r="G1" s="51" t="s">
        <v>32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33</v>
      </c>
      <c r="E1" s="53"/>
      <c r="F1" s="53"/>
      <c r="G1" s="51" t="s">
        <v>34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35</v>
      </c>
      <c r="E1" s="53"/>
      <c r="F1" s="53"/>
      <c r="G1" s="51" t="s">
        <v>36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37</v>
      </c>
      <c r="E1" s="53"/>
      <c r="F1" s="53"/>
      <c r="G1" s="51" t="s">
        <v>38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41</v>
      </c>
      <c r="E1" s="53"/>
      <c r="F1" s="53"/>
      <c r="G1" s="51" t="s">
        <v>42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43</v>
      </c>
      <c r="E1" s="53"/>
      <c r="F1" s="53"/>
      <c r="G1" s="51" t="s">
        <v>44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G19" sqref="G1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4.45">
      <c r="A4" s="47" t="s">
        <v>50</v>
      </c>
      <c r="B4" s="47" t="s">
        <v>51</v>
      </c>
      <c r="C4" s="47" t="s">
        <v>52</v>
      </c>
      <c r="D4" s="49" t="s">
        <v>53</v>
      </c>
      <c r="E4" s="47" t="s">
        <v>54</v>
      </c>
      <c r="G4" s="3"/>
    </row>
    <row r="5" spans="1:12" ht="14.45">
      <c r="A5" s="48" t="s">
        <v>55</v>
      </c>
      <c r="B5" s="48" t="s">
        <v>46</v>
      </c>
      <c r="C5" s="48" t="s">
        <v>52</v>
      </c>
      <c r="D5" s="50" t="s">
        <v>53</v>
      </c>
      <c r="E5" s="48" t="s">
        <v>54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2024-07-14T11:02:33Z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