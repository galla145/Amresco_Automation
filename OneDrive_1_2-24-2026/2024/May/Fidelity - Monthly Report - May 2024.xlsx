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F62E39CC-C683-4E3D-870B-A92699CB4D63}" xr6:coauthVersionLast="47" xr6:coauthVersionMax="47" xr10:uidLastSave="{00000000-0000-0000-0000-000000000000}"/>
  <bookViews>
    <workbookView xWindow="-120" yWindow="-120" windowWidth="29040" windowHeight="15720" tabRatio="713" activeTab="3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8" l="1"/>
  <c r="J8" i="18"/>
  <c r="J8" i="12"/>
  <c r="J6" i="12"/>
  <c r="J8" i="36"/>
  <c r="J6" i="36"/>
  <c r="J13" i="36"/>
  <c r="J10" i="36"/>
  <c r="J7" i="36"/>
  <c r="J13" i="12"/>
  <c r="J10" i="12"/>
  <c r="J7" i="12"/>
  <c r="J13" i="18"/>
  <c r="J10" i="18"/>
  <c r="J7" i="18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F50" i="32" l="1"/>
  <c r="J14" i="36" s="1"/>
  <c r="E50" i="32"/>
  <c r="J14" i="18" s="1"/>
  <c r="D50" i="32"/>
  <c r="J14" i="12" s="1"/>
  <c r="K91" i="33"/>
  <c r="J91" i="33"/>
  <c r="H91" i="33"/>
  <c r="E91" i="33"/>
  <c r="D91" i="33"/>
  <c r="N90" i="33"/>
  <c r="M90" i="33"/>
  <c r="N89" i="33"/>
  <c r="M89" i="33"/>
  <c r="N88" i="33"/>
  <c r="M88" i="33"/>
  <c r="N87" i="33"/>
  <c r="M87" i="33"/>
  <c r="N86" i="33"/>
  <c r="M86" i="33"/>
  <c r="N85" i="33"/>
  <c r="M85" i="33"/>
  <c r="N84" i="33"/>
  <c r="M84" i="33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O71" i="33"/>
  <c r="M71" i="33"/>
  <c r="I71" i="33"/>
  <c r="L71" i="33"/>
  <c r="N70" i="33"/>
  <c r="O68" i="33"/>
  <c r="O69" i="33"/>
  <c r="N69" i="33"/>
  <c r="M69" i="33"/>
  <c r="M70" i="33"/>
  <c r="L69" i="33"/>
  <c r="L70" i="33"/>
  <c r="F69" i="33"/>
  <c r="F70" i="33"/>
  <c r="I69" i="33"/>
  <c r="I70" i="33"/>
  <c r="L68" i="33"/>
  <c r="N68" i="33"/>
  <c r="M68" i="33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O67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91" i="33" l="1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<sst xmlns="http://schemas.openxmlformats.org/spreadsheetml/2006/main" count="505" uniqueCount="92">
  <si>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</si>
  <si>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</si>
  <si>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</si>
  <si>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</si>
  <si>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</si>
  <si>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</si>
  <si>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</si>
  <si>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</si>
  <si>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</si>
  <si>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</si>
  <si>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</si>
  <si>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</si>
  <si>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</si>
  <si>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</si>
  <si>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</si>
  <si>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</si>
  <si>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</si>
  <si>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</si>
  <si>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</si>
  <si>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</si>
  <si>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</si>
  <si>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</si>
  <si>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</si>
  <si>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</si>
  <si>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May' 2024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</si>
  <si>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</si>
  <si>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</si>
  <si>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</si>
  <si>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</si>
  <si>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</si>
  <si>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</si>
  <si>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</si>
  <si>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</si>
  <si>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</si>
  <si>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</si>
  <si>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Smithfield</t>
  </si>
  <si>
    <t>Westlake</t>
  </si>
  <si>
    <t>May 2024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</si>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</sst>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4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 vertical="center"/>
    </xf>
    <xf numFmtId="166" fontId="0" fillId="0" borderId="18" xfId="0" applyNumberFormat="1" applyBorder="1" applyAlignment="1">
      <alignment horizontal="right"/>
    </xf>
    <xf numFmtId="166" fontId="0" fillId="0" borderId="20" xfId="0" applyNumberFormat="1" applyBorder="1" applyAlignment="1">
      <alignment horizontal="right"/>
    </xf>
    <xf numFmtId="3" fontId="0" fillId="0" borderId="1" xfId="0" applyNumberFormat="1" applyBorder="1"/>
    <xf numFmtId="3" fontId="0" fillId="0" borderId="14" xfId="0" applyNumberFormat="1" applyBorder="1"/>
    <xf numFmtId="3" fontId="0" fillId="0" borderId="22" xfId="0" applyNumberFormat="1" applyBorder="1" applyAlignment="1">
      <alignment horizontal="right"/>
    </xf>
    <xf numFmtId="3" fontId="0" fillId="0" borderId="20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3" fontId="0" fillId="0" borderId="23" xfId="0" applyNumberFormat="1" applyBorder="1" applyAlignment="1">
      <alignment horizontal="right"/>
    </xf>
    <xf numFmtId="3" fontId="0" fillId="0" borderId="24" xfId="0" applyNumberFormat="1" applyBorder="1" applyAlignment="1">
      <alignment horizontal="right"/>
    </xf>
    <xf numFmtId="3" fontId="0" fillId="0" borderId="21" xfId="0" applyNumberFormat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1" fillId="0" borderId="5" xfId="6" applyFont="1" applyBorder="1" applyAlignment="1">
      <alignment horizontal="right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Merrimack!$G$32:$G$62</c:f>
              <c:numCache>
                <c:formatCode>#,##0</c:formatCode>
                <c:ptCount val="31"/>
                <c:pt idx="0">
                  <c:v>4090.875</c:v>
                </c:pt>
                <c:pt idx="1">
                  <c:v>11769.5</c:v>
                </c:pt>
                <c:pt idx="2">
                  <c:v>7960</c:v>
                </c:pt>
                <c:pt idx="3">
                  <c:v>12411.375</c:v>
                </c:pt>
                <c:pt idx="4">
                  <c:v>4113</c:v>
                </c:pt>
                <c:pt idx="5">
                  <c:v>13358.875</c:v>
                </c:pt>
                <c:pt idx="6">
                  <c:v>18225.75</c:v>
                </c:pt>
                <c:pt idx="7">
                  <c:v>3269.5</c:v>
                </c:pt>
                <c:pt idx="8">
                  <c:v>11421</c:v>
                </c:pt>
                <c:pt idx="9">
                  <c:v>14772.125</c:v>
                </c:pt>
                <c:pt idx="10">
                  <c:v>12508.5</c:v>
                </c:pt>
                <c:pt idx="11">
                  <c:v>11251.375</c:v>
                </c:pt>
                <c:pt idx="12">
                  <c:v>15288.375</c:v>
                </c:pt>
                <c:pt idx="13">
                  <c:v>16888.125</c:v>
                </c:pt>
                <c:pt idx="14">
                  <c:v>7660.375</c:v>
                </c:pt>
                <c:pt idx="15">
                  <c:v>10559.25</c:v>
                </c:pt>
                <c:pt idx="16">
                  <c:v>14675.25</c:v>
                </c:pt>
                <c:pt idx="17">
                  <c:v>4456</c:v>
                </c:pt>
                <c:pt idx="18">
                  <c:v>7227.75</c:v>
                </c:pt>
                <c:pt idx="19">
                  <c:v>14306.375</c:v>
                </c:pt>
                <c:pt idx="20">
                  <c:v>14449.75</c:v>
                </c:pt>
                <c:pt idx="21">
                  <c:v>17202.25</c:v>
                </c:pt>
                <c:pt idx="22">
                  <c:v>9522.375</c:v>
                </c:pt>
                <c:pt idx="23">
                  <c:v>17849.875</c:v>
                </c:pt>
                <c:pt idx="24">
                  <c:v>18182.125</c:v>
                </c:pt>
                <c:pt idx="25">
                  <c:v>13961.75</c:v>
                </c:pt>
                <c:pt idx="26">
                  <c:v>2834.125</c:v>
                </c:pt>
                <c:pt idx="27">
                  <c:v>15412.25</c:v>
                </c:pt>
                <c:pt idx="28">
                  <c:v>14599.25</c:v>
                </c:pt>
                <c:pt idx="29">
                  <c:v>6866.875</c:v>
                </c:pt>
                <c:pt idx="30">
                  <c:v>17239.375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Merrimack!$F$32:$F$61</c:f>
              <c:numCache>
                <c:formatCode>mm/dd/yy;@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</c:numCache>
            </c:numRef>
          </c:cat>
          <c:val>
            <c:numRef>
              <c:f>Merrimack!$H$32:$H$62</c:f>
              <c:numCache>
                <c:formatCode>#,##0</c:formatCode>
                <c:ptCount val="31"/>
                <c:pt idx="0">
                  <c:v>3893.759</c:v>
                </c:pt>
                <c:pt idx="1">
                  <c:v>5144.6660000000002</c:v>
                </c:pt>
                <c:pt idx="2">
                  <c:v>4607.8969999999999</c:v>
                </c:pt>
                <c:pt idx="3">
                  <c:v>2930.616</c:v>
                </c:pt>
                <c:pt idx="4">
                  <c:v>5892.99</c:v>
                </c:pt>
                <c:pt idx="5">
                  <c:v>3211.0419999999999</c:v>
                </c:pt>
                <c:pt idx="6">
                  <c:v>10133.040000000001</c:v>
                </c:pt>
                <c:pt idx="7">
                  <c:v>9067.5220000000008</c:v>
                </c:pt>
                <c:pt idx="8">
                  <c:v>1999.7139999999999</c:v>
                </c:pt>
                <c:pt idx="9">
                  <c:v>9311.4490000000005</c:v>
                </c:pt>
                <c:pt idx="10">
                  <c:v>4060.04</c:v>
                </c:pt>
                <c:pt idx="11">
                  <c:v>127.6593</c:v>
                </c:pt>
                <c:pt idx="12">
                  <c:v>5598.2960000000003</c:v>
                </c:pt>
                <c:pt idx="13">
                  <c:v>10203.07</c:v>
                </c:pt>
                <c:pt idx="14">
                  <c:v>8721.4529999999995</c:v>
                </c:pt>
                <c:pt idx="15">
                  <c:v>226.1174</c:v>
                </c:pt>
                <c:pt idx="16">
                  <c:v>9455.5249999999996</c:v>
                </c:pt>
                <c:pt idx="17">
                  <c:v>10151.040000000001</c:v>
                </c:pt>
                <c:pt idx="18">
                  <c:v>9501.9689999999991</c:v>
                </c:pt>
                <c:pt idx="19">
                  <c:v>9936.3989999999994</c:v>
                </c:pt>
                <c:pt idx="20">
                  <c:v>5956.8990000000003</c:v>
                </c:pt>
                <c:pt idx="21">
                  <c:v>1814.2260000000001</c:v>
                </c:pt>
                <c:pt idx="22">
                  <c:v>6457.7730000000001</c:v>
                </c:pt>
                <c:pt idx="23">
                  <c:v>4434.915</c:v>
                </c:pt>
                <c:pt idx="24">
                  <c:v>4046.152</c:v>
                </c:pt>
                <c:pt idx="25">
                  <c:v>9726.3060000000005</c:v>
                </c:pt>
                <c:pt idx="26">
                  <c:v>7962.0050000000001</c:v>
                </c:pt>
                <c:pt idx="27">
                  <c:v>4705.2979999999998</c:v>
                </c:pt>
                <c:pt idx="28">
                  <c:v>9423.1710000000003</c:v>
                </c:pt>
                <c:pt idx="29">
                  <c:v>488.76330000000002</c:v>
                </c:pt>
                <c:pt idx="30">
                  <c:v>7965.8220000000001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Smithfield!$G$32:$G$62</c:f>
              <c:numCache>
                <c:formatCode>#,##0</c:formatCode>
                <c:ptCount val="31"/>
                <c:pt idx="0">
                  <c:v>12046</c:v>
                </c:pt>
                <c:pt idx="1">
                  <c:v>16761.5</c:v>
                </c:pt>
                <c:pt idx="2">
                  <c:v>12136.5</c:v>
                </c:pt>
                <c:pt idx="3">
                  <c:v>19720.5</c:v>
                </c:pt>
                <c:pt idx="4">
                  <c:v>4608.7500000009313</c:v>
                </c:pt>
                <c:pt idx="5">
                  <c:v>13064.499999999069</c:v>
                </c:pt>
                <c:pt idx="6">
                  <c:v>22540.25</c:v>
                </c:pt>
                <c:pt idx="7">
                  <c:v>4867.25</c:v>
                </c:pt>
                <c:pt idx="8">
                  <c:v>19572.5</c:v>
                </c:pt>
                <c:pt idx="9">
                  <c:v>15068</c:v>
                </c:pt>
                <c:pt idx="10">
                  <c:v>17399</c:v>
                </c:pt>
                <c:pt idx="11">
                  <c:v>13559.25</c:v>
                </c:pt>
                <c:pt idx="12">
                  <c:v>20236</c:v>
                </c:pt>
                <c:pt idx="13">
                  <c:v>22038.25</c:v>
                </c:pt>
                <c:pt idx="14">
                  <c:v>9027.25</c:v>
                </c:pt>
                <c:pt idx="15">
                  <c:v>5631.5</c:v>
                </c:pt>
                <c:pt idx="16">
                  <c:v>20966</c:v>
                </c:pt>
                <c:pt idx="17">
                  <c:v>7403.5</c:v>
                </c:pt>
                <c:pt idx="18">
                  <c:v>10944.75</c:v>
                </c:pt>
                <c:pt idx="19">
                  <c:v>20754</c:v>
                </c:pt>
                <c:pt idx="20">
                  <c:v>22220</c:v>
                </c:pt>
                <c:pt idx="21">
                  <c:v>22665.5</c:v>
                </c:pt>
                <c:pt idx="22">
                  <c:v>10437.5</c:v>
                </c:pt>
                <c:pt idx="23">
                  <c:v>22874.75</c:v>
                </c:pt>
                <c:pt idx="24">
                  <c:v>22167</c:v>
                </c:pt>
                <c:pt idx="25">
                  <c:v>17287.25</c:v>
                </c:pt>
                <c:pt idx="26">
                  <c:v>6523</c:v>
                </c:pt>
                <c:pt idx="27">
                  <c:v>16458</c:v>
                </c:pt>
                <c:pt idx="28">
                  <c:v>17672</c:v>
                </c:pt>
                <c:pt idx="29">
                  <c:v>7863.25</c:v>
                </c:pt>
                <c:pt idx="30">
                  <c:v>21187.25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Smithfield!$H$32:$H$62</c:f>
              <c:numCache>
                <c:formatCode>#,##0</c:formatCode>
                <c:ptCount val="31"/>
                <c:pt idx="0">
                  <c:v>3508.0920000000001</c:v>
                </c:pt>
                <c:pt idx="1">
                  <c:v>5555.9480000000003</c:v>
                </c:pt>
                <c:pt idx="2">
                  <c:v>3749.1179999999999</c:v>
                </c:pt>
                <c:pt idx="3">
                  <c:v>6475.0640000000003</c:v>
                </c:pt>
                <c:pt idx="4">
                  <c:v>1272.037</c:v>
                </c:pt>
                <c:pt idx="5">
                  <c:v>4020.4490000000001</c:v>
                </c:pt>
                <c:pt idx="6">
                  <c:v>7569.402</c:v>
                </c:pt>
                <c:pt idx="7">
                  <c:v>1417.248</c:v>
                </c:pt>
                <c:pt idx="8">
                  <c:v>6100.2809999999999</c:v>
                </c:pt>
                <c:pt idx="9">
                  <c:v>4901.7259999999997</c:v>
                </c:pt>
                <c:pt idx="10">
                  <c:v>5754.23</c:v>
                </c:pt>
                <c:pt idx="11">
                  <c:v>4148.7449999999999</c:v>
                </c:pt>
                <c:pt idx="12">
                  <c:v>6800.6940000000004</c:v>
                </c:pt>
                <c:pt idx="13">
                  <c:v>7196.2910000000002</c:v>
                </c:pt>
                <c:pt idx="14">
                  <c:v>2673.489</c:v>
                </c:pt>
                <c:pt idx="15">
                  <c:v>1602.5940000000001</c:v>
                </c:pt>
                <c:pt idx="16">
                  <c:v>6747.482</c:v>
                </c:pt>
                <c:pt idx="17">
                  <c:v>2116.6439999999998</c:v>
                </c:pt>
                <c:pt idx="18">
                  <c:v>3200.252</c:v>
                </c:pt>
                <c:pt idx="19">
                  <c:v>6945.8050000000003</c:v>
                </c:pt>
                <c:pt idx="20">
                  <c:v>7331.125</c:v>
                </c:pt>
                <c:pt idx="21">
                  <c:v>7652.0709999999999</c:v>
                </c:pt>
                <c:pt idx="22">
                  <c:v>3211.3040000000001</c:v>
                </c:pt>
                <c:pt idx="23">
                  <c:v>7730.58</c:v>
                </c:pt>
                <c:pt idx="24">
                  <c:v>7320.5770000000002</c:v>
                </c:pt>
                <c:pt idx="25">
                  <c:v>5751.2179999999998</c:v>
                </c:pt>
                <c:pt idx="26">
                  <c:v>1930.8240000000001</c:v>
                </c:pt>
                <c:pt idx="27">
                  <c:v>5519.0060000000003</c:v>
                </c:pt>
                <c:pt idx="28">
                  <c:v>5909.2629999999999</c:v>
                </c:pt>
                <c:pt idx="29">
                  <c:v>2305.335</c:v>
                </c:pt>
                <c:pt idx="30">
                  <c:v>7343.5969999999998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Westlake!$G$32:$G$62</c:f>
              <c:numCache>
                <c:formatCode>#,##0</c:formatCode>
                <c:ptCount val="31"/>
                <c:pt idx="0">
                  <c:v>11883</c:v>
                </c:pt>
                <c:pt idx="1">
                  <c:v>14710.5</c:v>
                </c:pt>
                <c:pt idx="2">
                  <c:v>12153</c:v>
                </c:pt>
                <c:pt idx="3">
                  <c:v>9195</c:v>
                </c:pt>
                <c:pt idx="4">
                  <c:v>14657.5</c:v>
                </c:pt>
                <c:pt idx="5">
                  <c:v>9582.5</c:v>
                </c:pt>
                <c:pt idx="6">
                  <c:v>24816.5</c:v>
                </c:pt>
                <c:pt idx="7">
                  <c:v>22097.5</c:v>
                </c:pt>
                <c:pt idx="8">
                  <c:v>6775.5000000009313</c:v>
                </c:pt>
                <c:pt idx="9">
                  <c:v>23573.999999999069</c:v>
                </c:pt>
                <c:pt idx="10">
                  <c:v>12621</c:v>
                </c:pt>
                <c:pt idx="11">
                  <c:v>1722.5</c:v>
                </c:pt>
                <c:pt idx="12">
                  <c:v>14959.5</c:v>
                </c:pt>
                <c:pt idx="13">
                  <c:v>25330</c:v>
                </c:pt>
                <c:pt idx="14">
                  <c:v>22499.5</c:v>
                </c:pt>
                <c:pt idx="15">
                  <c:v>1678</c:v>
                </c:pt>
                <c:pt idx="16">
                  <c:v>23242</c:v>
                </c:pt>
                <c:pt idx="17">
                  <c:v>25318.5</c:v>
                </c:pt>
                <c:pt idx="18">
                  <c:v>24300.5</c:v>
                </c:pt>
                <c:pt idx="19">
                  <c:v>23103.5</c:v>
                </c:pt>
                <c:pt idx="20">
                  <c:v>14600.5</c:v>
                </c:pt>
                <c:pt idx="21">
                  <c:v>6050</c:v>
                </c:pt>
                <c:pt idx="22">
                  <c:v>15169</c:v>
                </c:pt>
                <c:pt idx="23">
                  <c:v>10789</c:v>
                </c:pt>
                <c:pt idx="24">
                  <c:v>10439.5</c:v>
                </c:pt>
                <c:pt idx="25">
                  <c:v>24245</c:v>
                </c:pt>
                <c:pt idx="26">
                  <c:v>20673.5</c:v>
                </c:pt>
                <c:pt idx="27">
                  <c:v>12836.000000000931</c:v>
                </c:pt>
                <c:pt idx="28">
                  <c:v>23661.499999999069</c:v>
                </c:pt>
                <c:pt idx="29">
                  <c:v>2461.5</c:v>
                </c:pt>
                <c:pt idx="30">
                  <c:v>19943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Westlake!$F$32:$F$61</c:f>
              <c:numCache>
                <c:formatCode>mm/dd/yy;@</c:formatCode>
                <c:ptCount val="30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</c:numCache>
            </c:numRef>
          </c:cat>
          <c:val>
            <c:numRef>
              <c:f>Westlake!$H$32:$H$62</c:f>
              <c:numCache>
                <c:formatCode>#,##0</c:formatCode>
                <c:ptCount val="31"/>
                <c:pt idx="0">
                  <c:v>3893.759</c:v>
                </c:pt>
                <c:pt idx="1">
                  <c:v>5144.6660000000002</c:v>
                </c:pt>
                <c:pt idx="2">
                  <c:v>4607.8969999999999</c:v>
                </c:pt>
                <c:pt idx="3">
                  <c:v>2930.616</c:v>
                </c:pt>
                <c:pt idx="4">
                  <c:v>5892.99</c:v>
                </c:pt>
                <c:pt idx="5">
                  <c:v>3211.0419999999999</c:v>
                </c:pt>
                <c:pt idx="6">
                  <c:v>10133.040000000001</c:v>
                </c:pt>
                <c:pt idx="7">
                  <c:v>9067.5220000000008</c:v>
                </c:pt>
                <c:pt idx="8">
                  <c:v>1999.7139999999999</c:v>
                </c:pt>
                <c:pt idx="9">
                  <c:v>9311.4490000000005</c:v>
                </c:pt>
                <c:pt idx="10">
                  <c:v>4060.04</c:v>
                </c:pt>
                <c:pt idx="11">
                  <c:v>127.6593</c:v>
                </c:pt>
                <c:pt idx="12">
                  <c:v>5598.2960000000003</c:v>
                </c:pt>
                <c:pt idx="13">
                  <c:v>10203.07</c:v>
                </c:pt>
                <c:pt idx="14">
                  <c:v>8721.4529999999995</c:v>
                </c:pt>
                <c:pt idx="15">
                  <c:v>226.1174</c:v>
                </c:pt>
                <c:pt idx="16">
                  <c:v>9455.5249999999996</c:v>
                </c:pt>
                <c:pt idx="17">
                  <c:v>10151.040000000001</c:v>
                </c:pt>
                <c:pt idx="18">
                  <c:v>9501.9689999999991</c:v>
                </c:pt>
                <c:pt idx="19">
                  <c:v>9936.3989999999994</c:v>
                </c:pt>
                <c:pt idx="20">
                  <c:v>5956.8990000000003</c:v>
                </c:pt>
                <c:pt idx="21">
                  <c:v>1814.2260000000001</c:v>
                </c:pt>
                <c:pt idx="22">
                  <c:v>6457.7730000000001</c:v>
                </c:pt>
                <c:pt idx="23">
                  <c:v>4434.915</c:v>
                </c:pt>
                <c:pt idx="24">
                  <c:v>4046.152</c:v>
                </c:pt>
                <c:pt idx="25">
                  <c:v>9726.3060000000005</c:v>
                </c:pt>
                <c:pt idx="26">
                  <c:v>7962.0050000000001</c:v>
                </c:pt>
                <c:pt idx="27">
                  <c:v>4705.2979999999998</c:v>
                </c:pt>
                <c:pt idx="28">
                  <c:v>9423.1710000000003</c:v>
                </c:pt>
                <c:pt idx="29">
                  <c:v>488.76330000000002</c:v>
                </c:pt>
                <c:pt idx="30">
                  <c:v>7965.8220000000001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38522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275161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2</xdr:row>
      <xdr:rowOff>172895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143933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7714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144991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27309</xdr:colOff>
      <xdr:row>2</xdr:row>
      <xdr:rowOff>144877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>
    <tabColor rgb="FF9933FF"/>
  </sheetPr>
  <dimension ref="A1:AE13"/>
  <sheetViews>
    <sheetView workbookViewId="0">
      <selection activeCell="E17" sqref="E17"/>
    </sheetView>
  </sheetViews>
  <sheetFormatPr defaultRowHeight="15" x14ac:dyDescent="0.25"/>
  <cols>
    <col min="23" max="23" width="12.5703125" customWidth="1"/>
  </cols>
  <sheetData>
    <row r="1" spans="1:31" x14ac:dyDescent="0.25">
      <c r="A1" s="173" t="s">
        <v>0</v>
      </c>
      <c r="B1" s="174"/>
      <c r="C1" s="174"/>
      <c r="D1" s="174"/>
      <c r="E1" s="175"/>
      <c r="F1" s="167" t="s">
        <v>1</v>
      </c>
      <c r="G1" s="168"/>
      <c r="H1" s="168"/>
      <c r="I1" s="168"/>
      <c r="J1" s="168"/>
      <c r="K1" s="16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 x14ac:dyDescent="0.25">
      <c r="A2" s="176" t="s">
        <v>2</v>
      </c>
      <c r="B2" s="177"/>
      <c r="C2" s="177"/>
      <c r="D2" s="177"/>
      <c r="E2" s="177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 x14ac:dyDescent="0.25">
      <c r="A3" s="169" t="s">
        <v>4</v>
      </c>
      <c r="B3" s="170"/>
      <c r="C3" s="170"/>
      <c r="D3" s="170"/>
      <c r="E3" s="170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7.25" x14ac:dyDescent="0.25">
      <c r="A4" s="169" t="s">
        <v>6</v>
      </c>
      <c r="B4" s="170"/>
      <c r="C4" s="170"/>
      <c r="D4" s="170"/>
      <c r="E4" s="170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7.25" x14ac:dyDescent="0.25">
      <c r="A5" s="169" t="s">
        <v>8</v>
      </c>
      <c r="B5" s="170"/>
      <c r="C5" s="170"/>
      <c r="D5" s="170"/>
      <c r="E5" s="170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 x14ac:dyDescent="0.25">
      <c r="A6" s="169" t="s">
        <v>10</v>
      </c>
      <c r="B6" s="170"/>
      <c r="C6" s="170"/>
      <c r="D6" s="170"/>
      <c r="E6" s="170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 x14ac:dyDescent="0.25">
      <c r="A7" s="169" t="s">
        <v>12</v>
      </c>
      <c r="B7" s="170"/>
      <c r="C7" s="170"/>
      <c r="D7" s="170"/>
      <c r="E7" s="170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 x14ac:dyDescent="0.25">
      <c r="A8" s="169" t="s">
        <v>14</v>
      </c>
      <c r="B8" s="170"/>
      <c r="C8" s="170"/>
      <c r="D8" s="170"/>
      <c r="E8" s="170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 x14ac:dyDescent="0.25">
      <c r="A9" s="169" t="s">
        <v>16</v>
      </c>
      <c r="B9" s="170"/>
      <c r="C9" s="170"/>
      <c r="D9" s="170"/>
      <c r="E9" s="170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 x14ac:dyDescent="0.25">
      <c r="A10" s="169" t="s">
        <v>18</v>
      </c>
      <c r="B10" s="170"/>
      <c r="C10" s="170"/>
      <c r="D10" s="170"/>
      <c r="E10" s="170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 x14ac:dyDescent="0.25">
      <c r="A11" s="171" t="s">
        <v>20</v>
      </c>
      <c r="B11" s="172"/>
      <c r="C11" s="172"/>
      <c r="D11" s="172"/>
      <c r="E11" s="172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 x14ac:dyDescent="0.25"/>
    <row r="13" spans="1:31" ht="16.350000000000001" customHeight="1" x14ac:dyDescent="0.25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C1:O72"/>
  <sheetViews>
    <sheetView zoomScale="90" zoomScaleNormal="90" workbookViewId="0">
      <selection activeCell="J7" sqref="J7"/>
    </sheetView>
  </sheetViews>
  <sheetFormatPr defaultRowHeight="15" x14ac:dyDescent="0.2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</cols>
  <sheetData>
    <row r="1" spans="3:13" ht="18.75" x14ac:dyDescent="0.3">
      <c r="E1" s="179" t="s">
        <v>22</v>
      </c>
      <c r="F1" s="179"/>
      <c r="G1" s="179"/>
      <c r="H1" s="179"/>
      <c r="I1" s="179"/>
      <c r="J1" s="179"/>
    </row>
    <row r="2" spans="3:13" x14ac:dyDescent="0.25">
      <c r="E2" s="180" t="s">
        <v>23</v>
      </c>
      <c r="F2" s="180"/>
      <c r="G2" s="180"/>
      <c r="H2" s="180"/>
      <c r="I2" s="180"/>
      <c r="J2" s="180"/>
    </row>
    <row r="3" spans="3:13" x14ac:dyDescent="0.25">
      <c r="E3" s="181" t="s">
        <v>24</v>
      </c>
      <c r="F3" s="182"/>
      <c r="G3" s="182"/>
      <c r="H3" s="182"/>
      <c r="I3" s="182"/>
      <c r="J3" s="182"/>
    </row>
    <row r="5" spans="3:13" x14ac:dyDescent="0.25">
      <c r="C5" s="183" t="s">
        <v>25</v>
      </c>
      <c r="D5" s="184"/>
      <c r="E5" s="184"/>
      <c r="F5" s="184"/>
      <c r="G5" s="184"/>
      <c r="H5" s="184"/>
      <c r="I5" s="184"/>
      <c r="J5" s="184"/>
      <c r="K5" s="184"/>
      <c r="L5" s="185"/>
    </row>
    <row r="6" spans="3:13" x14ac:dyDescent="0.25">
      <c r="C6" s="20"/>
      <c r="D6" s="21"/>
      <c r="E6" s="174" t="s">
        <v>2</v>
      </c>
      <c r="F6" s="174"/>
      <c r="G6" s="174"/>
      <c r="H6" s="174"/>
      <c r="I6" s="174"/>
      <c r="J6" s="22">
        <f>SUM(G32:G62)</f>
        <v>364333.375</v>
      </c>
      <c r="K6" s="21" t="s">
        <v>26</v>
      </c>
      <c r="L6" s="23"/>
    </row>
    <row r="7" spans="3:13" x14ac:dyDescent="0.25">
      <c r="C7" s="3"/>
      <c r="D7" s="2"/>
      <c r="E7" s="178" t="s">
        <v>4</v>
      </c>
      <c r="F7" s="178"/>
      <c r="G7" s="178"/>
      <c r="H7" s="178"/>
      <c r="I7" s="178"/>
      <c r="J7" s="8">
        <f>'Predicted Data'!D21</f>
        <v>412289</v>
      </c>
      <c r="K7" s="69"/>
      <c r="L7" s="4"/>
    </row>
    <row r="8" spans="3:13" ht="17.25" x14ac:dyDescent="0.25">
      <c r="C8" s="3"/>
      <c r="D8" s="2"/>
      <c r="E8" s="178" t="s">
        <v>6</v>
      </c>
      <c r="F8" s="178"/>
      <c r="G8" s="178"/>
      <c r="H8" s="178"/>
      <c r="I8" s="178"/>
      <c r="J8" s="8">
        <f>SUM(H32:H62)</f>
        <v>187155.59400000004</v>
      </c>
      <c r="K8" s="2" t="s">
        <v>26</v>
      </c>
      <c r="L8" s="4"/>
    </row>
    <row r="9" spans="3:13" ht="17.25" x14ac:dyDescent="0.25">
      <c r="C9" s="3"/>
      <c r="D9" s="2"/>
      <c r="E9" s="178" t="s">
        <v>8</v>
      </c>
      <c r="F9" s="178"/>
      <c r="G9" s="178"/>
      <c r="H9" s="178"/>
      <c r="I9" s="178"/>
      <c r="J9" s="79"/>
      <c r="K9" s="69"/>
      <c r="L9" s="4"/>
    </row>
    <row r="10" spans="3:13" x14ac:dyDescent="0.25">
      <c r="C10" s="3"/>
      <c r="D10" s="2"/>
      <c r="E10" s="178" t="s">
        <v>10</v>
      </c>
      <c r="F10" s="178"/>
      <c r="G10" s="178"/>
      <c r="H10" s="178"/>
      <c r="I10" s="178"/>
      <c r="J10" s="85">
        <f>'Plant Health'!H83</f>
        <v>345125</v>
      </c>
      <c r="K10" s="2" t="s">
        <v>26</v>
      </c>
      <c r="L10" s="4"/>
    </row>
    <row r="11" spans="3:13" x14ac:dyDescent="0.25">
      <c r="C11" s="3"/>
      <c r="D11" s="2"/>
      <c r="E11" s="178" t="s">
        <v>12</v>
      </c>
      <c r="F11" s="178"/>
      <c r="G11" s="178"/>
      <c r="H11" s="178"/>
      <c r="I11" s="178"/>
      <c r="J11" s="31">
        <f>J6/J10</f>
        <v>1.0556562839550887</v>
      </c>
      <c r="K11" s="2"/>
      <c r="L11" s="4"/>
      <c r="M11" s="61"/>
    </row>
    <row r="12" spans="3:13" x14ac:dyDescent="0.25">
      <c r="C12" s="3"/>
      <c r="D12" s="2"/>
      <c r="E12" s="178" t="s">
        <v>16</v>
      </c>
      <c r="F12" s="178"/>
      <c r="G12" s="178"/>
      <c r="H12" s="178"/>
      <c r="I12" s="178"/>
      <c r="J12" s="31">
        <f>J6/J7</f>
        <v>0.88368444222377995</v>
      </c>
      <c r="K12" s="2"/>
      <c r="L12" s="4"/>
    </row>
    <row r="13" spans="3:13" x14ac:dyDescent="0.25">
      <c r="C13" s="3"/>
      <c r="D13" s="2"/>
      <c r="E13" s="178" t="s">
        <v>18</v>
      </c>
      <c r="F13" s="178"/>
      <c r="G13" s="178"/>
      <c r="H13" s="178"/>
      <c r="I13" s="178"/>
      <c r="J13" s="31">
        <f>Availability!E42</f>
        <v>1</v>
      </c>
      <c r="K13" s="2"/>
      <c r="L13" s="4"/>
    </row>
    <row r="14" spans="3:13" x14ac:dyDescent="0.25">
      <c r="C14" s="5"/>
      <c r="D14" s="6"/>
      <c r="E14" s="187" t="s">
        <v>20</v>
      </c>
      <c r="F14" s="187"/>
      <c r="G14" s="187"/>
      <c r="H14" s="187"/>
      <c r="I14" s="187"/>
      <c r="J14" s="9">
        <f>Availability!E50</f>
        <v>0.99731999999999998</v>
      </c>
      <c r="K14" s="6"/>
      <c r="L14" s="7"/>
    </row>
    <row r="16" spans="3:13" x14ac:dyDescent="0.25">
      <c r="C16" s="186" t="s">
        <v>27</v>
      </c>
      <c r="D16" s="186"/>
      <c r="E16" s="186"/>
      <c r="F16" s="186"/>
      <c r="G16" s="186"/>
      <c r="H16" s="186"/>
      <c r="I16" s="186"/>
      <c r="J16" s="186"/>
      <c r="K16" s="186"/>
      <c r="L16" s="186"/>
    </row>
    <row r="17" spans="3:12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 x14ac:dyDescent="0.25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 x14ac:dyDescent="0.25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 x14ac:dyDescent="0.25">
      <c r="E30" s="11"/>
      <c r="F30" s="186" t="s">
        <v>28</v>
      </c>
      <c r="G30" s="186"/>
      <c r="H30" s="186"/>
      <c r="I30" s="186"/>
      <c r="J30" s="11"/>
      <c r="K30" s="11"/>
      <c r="L30" s="11"/>
    </row>
    <row r="31" spans="3:12" s="10" customFormat="1" ht="44.1" customHeight="1" x14ac:dyDescent="0.25">
      <c r="E31" s="13"/>
      <c r="F31" s="148" t="s">
        <v>29</v>
      </c>
      <c r="G31" s="139" t="s">
        <v>30</v>
      </c>
      <c r="H31" s="139" t="s">
        <v>31</v>
      </c>
      <c r="I31" s="139" t="s">
        <v>32</v>
      </c>
      <c r="J31" s="12"/>
      <c r="K31" s="13"/>
    </row>
    <row r="32" spans="3:12" x14ac:dyDescent="0.25">
      <c r="E32" s="2"/>
      <c r="F32" s="157">
        <v>45413</v>
      </c>
      <c r="G32" s="161">
        <v>4090.875</v>
      </c>
      <c r="H32" s="162">
        <v>3893.759</v>
      </c>
      <c r="I32" s="163">
        <v>78.025400000000005</v>
      </c>
      <c r="J32" s="2"/>
      <c r="K32" s="14"/>
    </row>
    <row r="33" spans="5:15" x14ac:dyDescent="0.25">
      <c r="E33" s="2"/>
      <c r="F33" s="157">
        <v>45414</v>
      </c>
      <c r="G33" s="161">
        <v>11769.5</v>
      </c>
      <c r="H33" s="162">
        <v>5144.6660000000002</v>
      </c>
      <c r="I33" s="163">
        <v>74.804270000000002</v>
      </c>
      <c r="J33" s="2"/>
      <c r="K33" s="14"/>
    </row>
    <row r="34" spans="5:15" x14ac:dyDescent="0.25">
      <c r="E34" s="2"/>
      <c r="F34" s="157">
        <v>45415</v>
      </c>
      <c r="G34" s="161">
        <v>7960</v>
      </c>
      <c r="H34" s="162">
        <v>4607.8969999999999</v>
      </c>
      <c r="I34" s="163">
        <v>75.961460000000002</v>
      </c>
      <c r="J34" s="2"/>
      <c r="K34" s="14"/>
    </row>
    <row r="35" spans="5:15" x14ac:dyDescent="0.25">
      <c r="E35" s="2"/>
      <c r="F35" s="157">
        <v>45416</v>
      </c>
      <c r="G35" s="161">
        <v>12411.375</v>
      </c>
      <c r="H35" s="162">
        <v>2930.616</v>
      </c>
      <c r="I35" s="163">
        <v>74.593270000000004</v>
      </c>
      <c r="J35" s="2"/>
      <c r="K35" s="14"/>
    </row>
    <row r="36" spans="5:15" x14ac:dyDescent="0.25">
      <c r="E36" s="2"/>
      <c r="F36" s="157">
        <v>45417</v>
      </c>
      <c r="G36" s="161">
        <v>4113</v>
      </c>
      <c r="H36" s="162">
        <v>5892.99</v>
      </c>
      <c r="I36" s="163">
        <v>75.245890000000003</v>
      </c>
      <c r="J36" s="2"/>
      <c r="K36" s="14"/>
    </row>
    <row r="37" spans="5:15" x14ac:dyDescent="0.25">
      <c r="E37" s="2"/>
      <c r="F37" s="157">
        <v>45418</v>
      </c>
      <c r="G37" s="161">
        <v>13358.875</v>
      </c>
      <c r="H37" s="162">
        <v>3211.0419999999999</v>
      </c>
      <c r="I37" s="163">
        <v>78.519630000000006</v>
      </c>
      <c r="J37" s="2"/>
      <c r="K37" s="14"/>
    </row>
    <row r="38" spans="5:15" x14ac:dyDescent="0.25">
      <c r="E38" s="2"/>
      <c r="F38" s="157">
        <v>45419</v>
      </c>
      <c r="G38" s="161">
        <v>18225.75</v>
      </c>
      <c r="H38" s="162">
        <v>10133.040000000001</v>
      </c>
      <c r="I38" s="163">
        <v>83.592039999999997</v>
      </c>
      <c r="J38" s="2"/>
      <c r="K38" s="14"/>
    </row>
    <row r="39" spans="5:15" x14ac:dyDescent="0.25">
      <c r="E39" s="2"/>
      <c r="F39" s="157">
        <v>45420</v>
      </c>
      <c r="G39" s="161">
        <v>3269.5</v>
      </c>
      <c r="H39" s="162">
        <v>9067.5220000000008</v>
      </c>
      <c r="I39" s="163">
        <v>85.188500000000005</v>
      </c>
      <c r="J39" s="2"/>
      <c r="K39" s="14"/>
    </row>
    <row r="40" spans="5:15" x14ac:dyDescent="0.25">
      <c r="E40" s="2"/>
      <c r="F40" s="157">
        <v>45421</v>
      </c>
      <c r="G40" s="161">
        <v>11421</v>
      </c>
      <c r="H40" s="162">
        <v>1999.7139999999999</v>
      </c>
      <c r="I40" s="163">
        <v>73.225399999999993</v>
      </c>
      <c r="J40" s="2"/>
      <c r="K40" s="14"/>
    </row>
    <row r="41" spans="5:15" x14ac:dyDescent="0.25">
      <c r="E41" s="2"/>
      <c r="F41" s="157">
        <v>45422</v>
      </c>
      <c r="G41" s="161">
        <v>14772.125</v>
      </c>
      <c r="H41" s="162">
        <v>9311.4490000000005</v>
      </c>
      <c r="I41" s="163">
        <v>74.125770000000003</v>
      </c>
      <c r="J41" s="2"/>
      <c r="K41" s="14"/>
    </row>
    <row r="42" spans="5:15" x14ac:dyDescent="0.25">
      <c r="E42" s="2"/>
      <c r="F42" s="157">
        <v>45423</v>
      </c>
      <c r="G42" s="161">
        <v>12508.5</v>
      </c>
      <c r="H42" s="162">
        <v>4060.04</v>
      </c>
      <c r="I42" s="163">
        <v>72.730909999999994</v>
      </c>
      <c r="J42" s="2"/>
      <c r="K42" s="14"/>
    </row>
    <row r="43" spans="5:15" x14ac:dyDescent="0.25">
      <c r="E43" s="2"/>
      <c r="F43" s="157">
        <v>45424</v>
      </c>
      <c r="G43" s="161">
        <v>11251.375</v>
      </c>
      <c r="H43" s="162">
        <v>127.6593</v>
      </c>
      <c r="I43" s="163">
        <v>65.708370000000002</v>
      </c>
      <c r="J43" s="2"/>
      <c r="K43" s="14"/>
    </row>
    <row r="44" spans="5:15" x14ac:dyDescent="0.25">
      <c r="E44" s="2"/>
      <c r="F44" s="157">
        <v>45425</v>
      </c>
      <c r="G44" s="161">
        <v>15288.375</v>
      </c>
      <c r="H44" s="162">
        <v>5598.2960000000003</v>
      </c>
      <c r="I44" s="163">
        <v>73.797650000000004</v>
      </c>
      <c r="J44" s="2"/>
      <c r="K44" s="14"/>
    </row>
    <row r="45" spans="5:15" x14ac:dyDescent="0.25">
      <c r="E45" s="2"/>
      <c r="F45" s="157">
        <v>45426</v>
      </c>
      <c r="G45" s="161">
        <v>16888.125</v>
      </c>
      <c r="H45" s="162">
        <v>10203.07</v>
      </c>
      <c r="I45" s="163">
        <v>73.868830000000003</v>
      </c>
      <c r="J45" s="2"/>
      <c r="K45" s="14"/>
    </row>
    <row r="46" spans="5:15" x14ac:dyDescent="0.25">
      <c r="E46" s="2"/>
      <c r="F46" s="157">
        <v>45427</v>
      </c>
      <c r="G46" s="161">
        <v>7660.375</v>
      </c>
      <c r="H46" s="162">
        <v>8721.4529999999995</v>
      </c>
      <c r="I46" s="163">
        <v>80.468699999999998</v>
      </c>
      <c r="J46" s="2"/>
      <c r="K46" s="14"/>
    </row>
    <row r="47" spans="5:15" x14ac:dyDescent="0.25">
      <c r="E47" s="2"/>
      <c r="F47" s="157">
        <v>45428</v>
      </c>
      <c r="G47" s="161">
        <v>10559.25</v>
      </c>
      <c r="H47" s="162">
        <v>226.1174</v>
      </c>
      <c r="I47" s="163">
        <v>69.134979999999999</v>
      </c>
      <c r="J47" s="2"/>
      <c r="K47" s="14"/>
    </row>
    <row r="48" spans="5:15" x14ac:dyDescent="0.25">
      <c r="E48" s="2"/>
      <c r="F48" s="157">
        <v>45429</v>
      </c>
      <c r="G48" s="161">
        <v>14675.25</v>
      </c>
      <c r="H48" s="162">
        <v>9455.5249999999996</v>
      </c>
      <c r="I48" s="163">
        <v>74.560929999999999</v>
      </c>
      <c r="J48" s="2"/>
      <c r="K48" s="14"/>
      <c r="M48" s="2"/>
      <c r="N48" s="2"/>
      <c r="O48" s="2"/>
    </row>
    <row r="49" spans="3:15" x14ac:dyDescent="0.25">
      <c r="E49" s="2"/>
      <c r="F49" s="157">
        <v>45430</v>
      </c>
      <c r="G49" s="161">
        <v>4456</v>
      </c>
      <c r="H49" s="162">
        <v>10151.040000000001</v>
      </c>
      <c r="I49" s="163">
        <v>82.376400000000004</v>
      </c>
      <c r="J49" s="2"/>
      <c r="K49" s="14"/>
      <c r="M49" s="2"/>
      <c r="N49" s="2"/>
      <c r="O49" s="2"/>
    </row>
    <row r="50" spans="3:15" x14ac:dyDescent="0.25">
      <c r="E50" s="2"/>
      <c r="F50" s="157">
        <v>45431</v>
      </c>
      <c r="G50" s="161">
        <v>7227.75</v>
      </c>
      <c r="H50" s="162">
        <v>9501.9689999999991</v>
      </c>
      <c r="I50" s="163">
        <v>85.467680000000001</v>
      </c>
      <c r="J50" s="2"/>
      <c r="K50" s="14"/>
    </row>
    <row r="51" spans="3:15" x14ac:dyDescent="0.25">
      <c r="E51" s="2"/>
      <c r="F51" s="157">
        <v>45432</v>
      </c>
      <c r="G51" s="161">
        <v>14306.375</v>
      </c>
      <c r="H51" s="162">
        <v>9936.3989999999994</v>
      </c>
      <c r="I51" s="163">
        <v>85.474459999999993</v>
      </c>
      <c r="J51" s="2"/>
      <c r="K51" s="14"/>
    </row>
    <row r="52" spans="3:15" x14ac:dyDescent="0.25">
      <c r="E52" s="2"/>
      <c r="F52" s="157">
        <v>45433</v>
      </c>
      <c r="G52" s="161">
        <v>14449.75</v>
      </c>
      <c r="H52" s="162">
        <v>5956.8990000000003</v>
      </c>
      <c r="I52" s="163">
        <v>84.703090000000003</v>
      </c>
      <c r="J52" s="2"/>
      <c r="K52" s="14"/>
    </row>
    <row r="53" spans="3:15" x14ac:dyDescent="0.25">
      <c r="E53" s="2"/>
      <c r="F53" s="157">
        <v>45434</v>
      </c>
      <c r="G53" s="161">
        <v>17202.25</v>
      </c>
      <c r="H53" s="162">
        <v>1814.2260000000001</v>
      </c>
      <c r="I53" s="163">
        <v>78.263369999999995</v>
      </c>
      <c r="J53" s="2"/>
      <c r="K53" s="14"/>
    </row>
    <row r="54" spans="3:15" x14ac:dyDescent="0.25">
      <c r="E54" s="2"/>
      <c r="F54" s="157">
        <v>45435</v>
      </c>
      <c r="G54" s="161">
        <v>9522.375</v>
      </c>
      <c r="H54" s="162">
        <v>6457.7730000000001</v>
      </c>
      <c r="I54" s="163">
        <v>80.900120000000001</v>
      </c>
      <c r="J54" s="2"/>
      <c r="K54" s="14"/>
    </row>
    <row r="55" spans="3:15" x14ac:dyDescent="0.25">
      <c r="E55" s="2"/>
      <c r="F55" s="157">
        <v>45436</v>
      </c>
      <c r="G55" s="161">
        <v>17849.875</v>
      </c>
      <c r="H55" s="162">
        <v>4434.915</v>
      </c>
      <c r="I55" s="163">
        <v>82.612719999999996</v>
      </c>
      <c r="J55" s="2"/>
      <c r="K55" s="14"/>
    </row>
    <row r="56" spans="3:15" x14ac:dyDescent="0.25">
      <c r="E56" s="2"/>
      <c r="F56" s="157">
        <v>45437</v>
      </c>
      <c r="G56" s="161">
        <v>18182.125</v>
      </c>
      <c r="H56" s="162">
        <v>4046.152</v>
      </c>
      <c r="I56" s="163">
        <v>82.028670000000005</v>
      </c>
      <c r="J56" s="2"/>
      <c r="K56" s="14"/>
    </row>
    <row r="57" spans="3:15" x14ac:dyDescent="0.25">
      <c r="E57" s="2"/>
      <c r="F57" s="157">
        <v>45438</v>
      </c>
      <c r="G57" s="161">
        <v>13961.75</v>
      </c>
      <c r="H57" s="162">
        <v>9726.3060000000005</v>
      </c>
      <c r="I57" s="163">
        <v>88.703190000000006</v>
      </c>
      <c r="J57" s="2"/>
      <c r="K57" s="14"/>
    </row>
    <row r="58" spans="3:15" x14ac:dyDescent="0.25">
      <c r="E58" s="2"/>
      <c r="F58" s="157">
        <v>45439</v>
      </c>
      <c r="G58" s="161">
        <v>2834.125</v>
      </c>
      <c r="H58" s="162">
        <v>7962.0050000000001</v>
      </c>
      <c r="I58" s="163">
        <v>83.251840000000001</v>
      </c>
      <c r="J58" s="2"/>
      <c r="K58" s="14"/>
    </row>
    <row r="59" spans="3:15" x14ac:dyDescent="0.25">
      <c r="E59" s="2"/>
      <c r="F59" s="157">
        <v>45440</v>
      </c>
      <c r="G59" s="161">
        <v>15412.25</v>
      </c>
      <c r="H59" s="162">
        <v>4705.2979999999998</v>
      </c>
      <c r="I59" s="163">
        <v>74.365260000000006</v>
      </c>
      <c r="J59" s="2"/>
      <c r="K59" s="14"/>
    </row>
    <row r="60" spans="3:15" x14ac:dyDescent="0.25">
      <c r="E60" s="2"/>
      <c r="F60" s="157">
        <v>45441</v>
      </c>
      <c r="G60" s="161">
        <v>14599.25</v>
      </c>
      <c r="H60" s="162">
        <v>9423.1710000000003</v>
      </c>
      <c r="I60" s="163">
        <v>81.177260000000004</v>
      </c>
      <c r="J60" s="2"/>
      <c r="K60" s="14"/>
    </row>
    <row r="61" spans="3:15" x14ac:dyDescent="0.25">
      <c r="E61" s="2"/>
      <c r="F61" s="157">
        <v>45442</v>
      </c>
      <c r="G61" s="164">
        <v>6866.875</v>
      </c>
      <c r="H61" s="165">
        <v>488.76330000000002</v>
      </c>
      <c r="I61" s="166">
        <v>71.865260000000006</v>
      </c>
      <c r="J61" s="2"/>
      <c r="K61" s="14"/>
    </row>
    <row r="62" spans="3:15" x14ac:dyDescent="0.25">
      <c r="E62" s="2"/>
      <c r="F62" s="158">
        <v>45443</v>
      </c>
      <c r="G62" s="159">
        <v>17239.375</v>
      </c>
      <c r="H62" s="159">
        <v>7965.8220000000001</v>
      </c>
      <c r="I62" s="160">
        <v>76.580839999999995</v>
      </c>
    </row>
    <row r="63" spans="3:15" x14ac:dyDescent="0.25">
      <c r="F63" s="149"/>
      <c r="G63" s="140"/>
      <c r="H63" s="2"/>
      <c r="I63" s="2"/>
    </row>
    <row r="64" spans="3:15" x14ac:dyDescent="0.25">
      <c r="C64" s="183" t="s">
        <v>33</v>
      </c>
      <c r="D64" s="184"/>
      <c r="E64" s="184"/>
      <c r="F64" s="184"/>
      <c r="G64" s="184"/>
      <c r="H64" s="184"/>
      <c r="I64" s="184"/>
      <c r="J64" s="184"/>
      <c r="K64" s="184"/>
      <c r="L64" s="185"/>
    </row>
    <row r="65" spans="3:12" ht="15" customHeight="1" x14ac:dyDescent="0.25">
      <c r="C65" s="191"/>
      <c r="D65" s="192"/>
      <c r="E65" s="192"/>
      <c r="F65" s="192"/>
      <c r="G65" s="192"/>
      <c r="H65" s="192"/>
      <c r="I65" s="192"/>
      <c r="J65" s="192"/>
      <c r="K65" s="192"/>
      <c r="L65" s="193"/>
    </row>
    <row r="66" spans="3:12" x14ac:dyDescent="0.25">
      <c r="C66" s="194"/>
      <c r="D66" s="195"/>
      <c r="E66" s="195"/>
      <c r="F66" s="195"/>
      <c r="G66" s="195"/>
      <c r="H66" s="195"/>
      <c r="I66" s="195"/>
      <c r="J66" s="195"/>
      <c r="K66" s="195"/>
      <c r="L66" s="196"/>
    </row>
    <row r="67" spans="3:12" x14ac:dyDescent="0.25">
      <c r="C67" s="197"/>
      <c r="D67" s="198"/>
      <c r="E67" s="198"/>
      <c r="F67" s="198"/>
      <c r="G67" s="198"/>
      <c r="H67" s="198"/>
      <c r="I67" s="198"/>
      <c r="J67" s="198"/>
      <c r="K67" s="198"/>
      <c r="L67" s="199"/>
    </row>
    <row r="69" spans="3:12" x14ac:dyDescent="0.25">
      <c r="C69" s="188" t="s">
        <v>34</v>
      </c>
      <c r="D69" s="189"/>
      <c r="E69" s="189"/>
      <c r="F69" s="189"/>
      <c r="G69" s="189"/>
      <c r="H69" s="189"/>
      <c r="I69" s="189"/>
      <c r="J69" s="189"/>
      <c r="K69" s="189"/>
      <c r="L69" s="190"/>
    </row>
    <row r="70" spans="3:12" ht="14.85" customHeight="1" x14ac:dyDescent="0.25">
      <c r="C70" s="191"/>
      <c r="D70" s="192"/>
      <c r="E70" s="192"/>
      <c r="F70" s="192"/>
      <c r="G70" s="192"/>
      <c r="H70" s="192"/>
      <c r="I70" s="192"/>
      <c r="J70" s="192"/>
      <c r="K70" s="192"/>
      <c r="L70" s="193"/>
    </row>
    <row r="71" spans="3:12" x14ac:dyDescent="0.25">
      <c r="C71" s="194"/>
      <c r="D71" s="195"/>
      <c r="E71" s="195"/>
      <c r="F71" s="195"/>
      <c r="G71" s="195"/>
      <c r="H71" s="195"/>
      <c r="I71" s="195"/>
      <c r="J71" s="195"/>
      <c r="K71" s="195"/>
      <c r="L71" s="196"/>
    </row>
    <row r="72" spans="3:12" x14ac:dyDescent="0.25">
      <c r="C72" s="197"/>
      <c r="D72" s="198"/>
      <c r="E72" s="198"/>
      <c r="F72" s="198"/>
      <c r="G72" s="198"/>
      <c r="H72" s="198"/>
      <c r="I72" s="198"/>
      <c r="J72" s="198"/>
      <c r="K72" s="198"/>
      <c r="L72" s="199"/>
    </row>
  </sheetData>
  <mergeCells count="19">
    <mergeCell ref="C69:L69"/>
    <mergeCell ref="C64:L64"/>
    <mergeCell ref="E13:I13"/>
    <mergeCell ref="F30:I30"/>
    <mergeCell ref="C70:L72"/>
    <mergeCell ref="C65:L67"/>
    <mergeCell ref="E8:I8"/>
    <mergeCell ref="E9:I9"/>
    <mergeCell ref="E10:I10"/>
    <mergeCell ref="E11:I11"/>
    <mergeCell ref="C16:L16"/>
    <mergeCell ref="E14:I14"/>
    <mergeCell ref="E12:I12"/>
    <mergeCell ref="E7:I7"/>
    <mergeCell ref="E1:J1"/>
    <mergeCell ref="E2:J2"/>
    <mergeCell ref="E3:J3"/>
    <mergeCell ref="C5:L5"/>
    <mergeCell ref="E6:I6"/>
  </mergeCells>
  <pageMargins left="0.7" right="0.7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C1:X73"/>
  <sheetViews>
    <sheetView zoomScale="85" zoomScaleNormal="85" workbookViewId="0">
      <selection activeCell="J7" sqref="J7"/>
    </sheetView>
  </sheetViews>
  <sheetFormatPr defaultRowHeight="15" x14ac:dyDescent="0.2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.75" x14ac:dyDescent="0.3">
      <c r="E1" s="179" t="s">
        <v>35</v>
      </c>
      <c r="F1" s="179"/>
      <c r="G1" s="179"/>
      <c r="H1" s="179"/>
      <c r="I1" s="179"/>
      <c r="J1" s="179"/>
    </row>
    <row r="2" spans="3:18" x14ac:dyDescent="0.25">
      <c r="E2" s="180" t="s">
        <v>23</v>
      </c>
      <c r="F2" s="180"/>
      <c r="G2" s="180"/>
      <c r="H2" s="180"/>
      <c r="I2" s="180"/>
      <c r="J2" s="180"/>
    </row>
    <row r="3" spans="3:18" ht="14.25" customHeight="1" x14ac:dyDescent="0.25">
      <c r="E3" s="181" t="s">
        <v>24</v>
      </c>
      <c r="F3" s="182"/>
      <c r="G3" s="182"/>
      <c r="H3" s="182"/>
      <c r="I3" s="182"/>
      <c r="J3" s="182"/>
    </row>
    <row r="5" spans="3:18" x14ac:dyDescent="0.25">
      <c r="C5" s="183" t="s">
        <v>25</v>
      </c>
      <c r="D5" s="184"/>
      <c r="E5" s="184"/>
      <c r="F5" s="184"/>
      <c r="G5" s="184"/>
      <c r="H5" s="184"/>
      <c r="I5" s="184"/>
      <c r="J5" s="184"/>
      <c r="K5" s="184"/>
      <c r="L5" s="185"/>
      <c r="R5" s="26"/>
    </row>
    <row r="6" spans="3:18" x14ac:dyDescent="0.25">
      <c r="C6" s="20"/>
      <c r="D6" s="21"/>
      <c r="E6" s="174" t="s">
        <v>2</v>
      </c>
      <c r="F6" s="174"/>
      <c r="G6" s="174"/>
      <c r="H6" s="174"/>
      <c r="I6" s="174"/>
      <c r="J6" s="22">
        <f>SUM(G32:G62)</f>
        <v>475700.75</v>
      </c>
      <c r="K6" s="2"/>
      <c r="L6" s="23"/>
      <c r="R6" s="26"/>
    </row>
    <row r="7" spans="3:18" x14ac:dyDescent="0.25">
      <c r="C7" s="3"/>
      <c r="D7" s="2"/>
      <c r="E7" s="178" t="s">
        <v>4</v>
      </c>
      <c r="F7" s="178"/>
      <c r="G7" s="178"/>
      <c r="H7" s="178"/>
      <c r="I7" s="178"/>
      <c r="J7" s="8">
        <f>'Predicted Data'!D9</f>
        <v>455091.20000000001</v>
      </c>
      <c r="K7" s="69"/>
      <c r="L7" s="4"/>
      <c r="R7" s="26"/>
    </row>
    <row r="8" spans="3:18" ht="17.25" x14ac:dyDescent="0.25">
      <c r="C8" s="3"/>
      <c r="D8" s="2"/>
      <c r="E8" s="178" t="s">
        <v>6</v>
      </c>
      <c r="F8" s="178"/>
      <c r="G8" s="178"/>
      <c r="H8" s="178"/>
      <c r="I8" s="178"/>
      <c r="J8" s="8">
        <f>SUM(H32:H62)</f>
        <v>153760.49100000001</v>
      </c>
      <c r="K8" s="2"/>
      <c r="L8" s="4"/>
      <c r="R8" s="26"/>
    </row>
    <row r="9" spans="3:18" ht="17.25" x14ac:dyDescent="0.25">
      <c r="C9" s="3"/>
      <c r="D9" s="2"/>
      <c r="E9" s="178" t="s">
        <v>8</v>
      </c>
      <c r="F9" s="178"/>
      <c r="G9" s="178"/>
      <c r="H9" s="178"/>
      <c r="I9" s="178"/>
      <c r="J9" s="79"/>
      <c r="K9" s="69"/>
      <c r="L9" s="4"/>
      <c r="R9" s="44"/>
    </row>
    <row r="10" spans="3:18" x14ac:dyDescent="0.25">
      <c r="C10" s="3"/>
      <c r="D10" s="2"/>
      <c r="E10" s="178" t="s">
        <v>10</v>
      </c>
      <c r="F10" s="178"/>
      <c r="G10" s="178"/>
      <c r="H10" s="178"/>
      <c r="I10" s="178"/>
      <c r="J10" s="84">
        <f>'Plant Health'!E83</f>
        <v>439660</v>
      </c>
      <c r="K10" s="2"/>
      <c r="L10" s="4"/>
      <c r="R10" s="26"/>
    </row>
    <row r="11" spans="3:18" x14ac:dyDescent="0.25">
      <c r="C11" s="3"/>
      <c r="D11" s="2"/>
      <c r="E11" s="178" t="s">
        <v>12</v>
      </c>
      <c r="F11" s="178"/>
      <c r="G11" s="178"/>
      <c r="H11" s="178"/>
      <c r="I11" s="178"/>
      <c r="J11" s="31">
        <f>J6/J10</f>
        <v>1.0819741391074922</v>
      </c>
      <c r="K11" s="2"/>
      <c r="L11" s="4"/>
      <c r="R11" s="26"/>
    </row>
    <row r="12" spans="3:18" x14ac:dyDescent="0.25">
      <c r="C12" s="3"/>
      <c r="D12" s="2"/>
      <c r="E12" s="178" t="s">
        <v>16</v>
      </c>
      <c r="F12" s="178"/>
      <c r="G12" s="178"/>
      <c r="H12" s="178"/>
      <c r="I12" s="178"/>
      <c r="J12" s="31">
        <f>J6/J7</f>
        <v>1.0452866370520897</v>
      </c>
      <c r="K12" s="2"/>
      <c r="L12" s="4"/>
      <c r="R12" s="26"/>
    </row>
    <row r="13" spans="3:18" x14ac:dyDescent="0.25">
      <c r="C13" s="3"/>
      <c r="D13" s="2"/>
      <c r="E13" s="178" t="s">
        <v>18</v>
      </c>
      <c r="F13" s="178"/>
      <c r="G13" s="178"/>
      <c r="H13" s="178"/>
      <c r="I13" s="178"/>
      <c r="J13" s="31">
        <f>Availability!D42</f>
        <v>1</v>
      </c>
      <c r="K13" s="2"/>
      <c r="L13" s="4"/>
      <c r="R13" s="26"/>
    </row>
    <row r="14" spans="3:18" x14ac:dyDescent="0.25">
      <c r="C14" s="5"/>
      <c r="D14" s="6"/>
      <c r="E14" s="187" t="s">
        <v>20</v>
      </c>
      <c r="F14" s="187"/>
      <c r="G14" s="187"/>
      <c r="H14" s="187"/>
      <c r="I14" s="187"/>
      <c r="J14" s="9">
        <f>Availability!D50</f>
        <v>0.99993999999999994</v>
      </c>
      <c r="K14" s="6"/>
      <c r="L14" s="7"/>
      <c r="R14" s="26"/>
    </row>
    <row r="15" spans="3:18" x14ac:dyDescent="0.25">
      <c r="R15" s="26"/>
    </row>
    <row r="16" spans="3:18" x14ac:dyDescent="0.25">
      <c r="C16" s="183" t="s">
        <v>27</v>
      </c>
      <c r="D16" s="184"/>
      <c r="E16" s="184"/>
      <c r="F16" s="184"/>
      <c r="G16" s="184"/>
      <c r="H16" s="184"/>
      <c r="I16" s="184"/>
      <c r="J16" s="184"/>
      <c r="K16" s="184"/>
      <c r="L16" s="185"/>
      <c r="R16" s="26"/>
    </row>
    <row r="17" spans="5:24" x14ac:dyDescent="0.25">
      <c r="R17" s="26"/>
    </row>
    <row r="18" spans="5:24" x14ac:dyDescent="0.25">
      <c r="R18" s="26"/>
    </row>
    <row r="19" spans="5:24" x14ac:dyDescent="0.25">
      <c r="R19" s="26"/>
    </row>
    <row r="20" spans="5:24" x14ac:dyDescent="0.25">
      <c r="R20" s="26"/>
    </row>
    <row r="21" spans="5:24" x14ac:dyDescent="0.25">
      <c r="R21" s="26"/>
    </row>
    <row r="22" spans="5:24" x14ac:dyDescent="0.25">
      <c r="R22" s="26"/>
    </row>
    <row r="23" spans="5:24" x14ac:dyDescent="0.25">
      <c r="R23" s="26"/>
    </row>
    <row r="24" spans="5:24" x14ac:dyDescent="0.25">
      <c r="R24" s="26"/>
    </row>
    <row r="25" spans="5:24" x14ac:dyDescent="0.25">
      <c r="R25" s="26"/>
    </row>
    <row r="26" spans="5:24" x14ac:dyDescent="0.25">
      <c r="R26" s="26"/>
    </row>
    <row r="27" spans="5:24" x14ac:dyDescent="0.25">
      <c r="R27" s="26"/>
    </row>
    <row r="28" spans="5:24" x14ac:dyDescent="0.25">
      <c r="R28" s="26"/>
    </row>
    <row r="29" spans="5:24" x14ac:dyDescent="0.25">
      <c r="F29" s="2"/>
      <c r="G29" s="2"/>
      <c r="H29" s="2"/>
      <c r="I29" s="2"/>
      <c r="R29" s="26"/>
    </row>
    <row r="30" spans="5:24" x14ac:dyDescent="0.25">
      <c r="E30" s="11"/>
      <c r="F30" s="200" t="s">
        <v>28</v>
      </c>
      <c r="G30" s="200"/>
      <c r="H30" s="200"/>
      <c r="I30" s="201"/>
      <c r="J30" s="11"/>
      <c r="K30" s="11"/>
      <c r="L30" s="11"/>
      <c r="R30" s="26"/>
    </row>
    <row r="31" spans="5:24" s="10" customFormat="1" ht="44.1" customHeight="1" x14ac:dyDescent="0.25">
      <c r="E31" s="13"/>
      <c r="F31" s="141" t="s">
        <v>29</v>
      </c>
      <c r="G31" s="142" t="s">
        <v>30</v>
      </c>
      <c r="H31" s="146" t="s">
        <v>31</v>
      </c>
      <c r="I31" s="142" t="s">
        <v>32</v>
      </c>
      <c r="J31" s="12"/>
      <c r="K31" s="13"/>
      <c r="R31" s="45"/>
      <c r="X31"/>
    </row>
    <row r="32" spans="5:24" x14ac:dyDescent="0.25">
      <c r="E32" s="2"/>
      <c r="F32" s="156">
        <v>45413</v>
      </c>
      <c r="G32" s="163">
        <v>12046</v>
      </c>
      <c r="H32" s="162">
        <v>3508.0920000000001</v>
      </c>
      <c r="I32" s="163">
        <v>54.852760000000004</v>
      </c>
      <c r="J32" s="14"/>
      <c r="K32" s="14"/>
      <c r="R32" s="26"/>
    </row>
    <row r="33" spans="5:18" x14ac:dyDescent="0.25">
      <c r="E33" s="2"/>
      <c r="F33" s="156">
        <v>45414</v>
      </c>
      <c r="G33" s="163">
        <v>16761.5</v>
      </c>
      <c r="H33" s="162">
        <v>5555.9480000000003</v>
      </c>
      <c r="I33" s="163">
        <v>58.089799999999997</v>
      </c>
      <c r="J33" s="14"/>
      <c r="K33" s="14"/>
      <c r="R33" s="26"/>
    </row>
    <row r="34" spans="5:18" x14ac:dyDescent="0.25">
      <c r="E34" s="2"/>
      <c r="F34" s="156">
        <v>45415</v>
      </c>
      <c r="G34" s="163">
        <v>12136.5</v>
      </c>
      <c r="H34" s="162">
        <v>3749.1179999999999</v>
      </c>
      <c r="I34" s="163">
        <v>53.621540000000003</v>
      </c>
      <c r="J34" s="14"/>
      <c r="K34" s="14"/>
      <c r="R34" s="26"/>
    </row>
    <row r="35" spans="5:18" x14ac:dyDescent="0.25">
      <c r="E35" s="2"/>
      <c r="F35" s="156">
        <v>45416</v>
      </c>
      <c r="G35" s="163">
        <v>19720.5</v>
      </c>
      <c r="H35" s="162">
        <v>6475.0640000000003</v>
      </c>
      <c r="I35" s="163">
        <v>54.02205</v>
      </c>
      <c r="J35" s="14"/>
      <c r="K35" s="14"/>
      <c r="R35" s="26"/>
    </row>
    <row r="36" spans="5:18" x14ac:dyDescent="0.25">
      <c r="E36" s="2"/>
      <c r="F36" s="156">
        <v>45417</v>
      </c>
      <c r="G36" s="163">
        <v>4608.7500000009313</v>
      </c>
      <c r="H36" s="162">
        <v>1272.037</v>
      </c>
      <c r="I36" s="163">
        <v>48.506129999999999</v>
      </c>
      <c r="J36" s="14"/>
      <c r="K36" s="14"/>
      <c r="R36" s="26"/>
    </row>
    <row r="37" spans="5:18" x14ac:dyDescent="0.25">
      <c r="E37" s="2"/>
      <c r="F37" s="156">
        <v>45418</v>
      </c>
      <c r="G37" s="163">
        <v>13064.499999999069</v>
      </c>
      <c r="H37" s="162">
        <v>4020.4490000000001</v>
      </c>
      <c r="I37" s="163">
        <v>63.76708</v>
      </c>
      <c r="J37" s="14"/>
      <c r="K37" s="14"/>
      <c r="R37" s="26"/>
    </row>
    <row r="38" spans="5:18" x14ac:dyDescent="0.25">
      <c r="E38" s="2"/>
      <c r="F38" s="156">
        <v>45419</v>
      </c>
      <c r="G38" s="163">
        <v>22540.25</v>
      </c>
      <c r="H38" s="162">
        <v>7569.402</v>
      </c>
      <c r="I38" s="163">
        <v>68.699219999999997</v>
      </c>
      <c r="J38" s="14"/>
      <c r="K38" s="14"/>
    </row>
    <row r="39" spans="5:18" x14ac:dyDescent="0.25">
      <c r="E39" s="2"/>
      <c r="F39" s="156">
        <v>45420</v>
      </c>
      <c r="G39" s="163">
        <v>4867.25</v>
      </c>
      <c r="H39" s="162">
        <v>1417.248</v>
      </c>
      <c r="I39" s="163">
        <v>58.415500000000002</v>
      </c>
      <c r="J39" s="14"/>
      <c r="K39" s="14"/>
    </row>
    <row r="40" spans="5:18" x14ac:dyDescent="0.25">
      <c r="E40" s="2"/>
      <c r="F40" s="156">
        <v>45421</v>
      </c>
      <c r="G40" s="163">
        <v>19572.5</v>
      </c>
      <c r="H40" s="162">
        <v>6100.2809999999999</v>
      </c>
      <c r="I40" s="163">
        <v>60.603920000000002</v>
      </c>
      <c r="J40" s="14"/>
      <c r="K40" s="14"/>
    </row>
    <row r="41" spans="5:18" x14ac:dyDescent="0.25">
      <c r="E41" s="2"/>
      <c r="F41" s="156">
        <v>45422</v>
      </c>
      <c r="G41" s="163">
        <v>15068</v>
      </c>
      <c r="H41" s="162">
        <v>4901.7259999999997</v>
      </c>
      <c r="I41" s="163">
        <v>52.625889999999998</v>
      </c>
      <c r="J41" s="14"/>
      <c r="K41" s="14"/>
    </row>
    <row r="42" spans="5:18" x14ac:dyDescent="0.25">
      <c r="E42" s="2"/>
      <c r="F42" s="156">
        <v>45423</v>
      </c>
      <c r="G42" s="163">
        <v>17399</v>
      </c>
      <c r="H42" s="162">
        <v>5754.23</v>
      </c>
      <c r="I42" s="163">
        <v>50.371670000000002</v>
      </c>
      <c r="J42" s="14"/>
      <c r="K42" s="14"/>
    </row>
    <row r="43" spans="5:18" x14ac:dyDescent="0.25">
      <c r="E43" s="2"/>
      <c r="F43" s="156">
        <v>45424</v>
      </c>
      <c r="G43" s="163">
        <v>13559.25</v>
      </c>
      <c r="H43" s="162">
        <v>4148.7449999999999</v>
      </c>
      <c r="I43" s="163">
        <v>53.50347</v>
      </c>
      <c r="J43" s="14"/>
      <c r="K43" s="14"/>
    </row>
    <row r="44" spans="5:18" x14ac:dyDescent="0.25">
      <c r="E44" s="2"/>
      <c r="F44" s="156">
        <v>45425</v>
      </c>
      <c r="G44" s="163">
        <v>20236</v>
      </c>
      <c r="H44" s="162">
        <v>6800.6940000000004</v>
      </c>
      <c r="I44" s="163">
        <v>61.328470000000003</v>
      </c>
      <c r="J44" s="14"/>
      <c r="K44" s="14"/>
    </row>
    <row r="45" spans="5:18" x14ac:dyDescent="0.25">
      <c r="E45" s="2"/>
      <c r="F45" s="156">
        <v>45426</v>
      </c>
      <c r="G45" s="163">
        <v>22038.25</v>
      </c>
      <c r="H45" s="162">
        <v>7196.2910000000002</v>
      </c>
      <c r="I45" s="163">
        <v>65.955609999999993</v>
      </c>
      <c r="J45" s="14"/>
      <c r="K45" s="14"/>
    </row>
    <row r="46" spans="5:18" x14ac:dyDescent="0.25">
      <c r="E46" s="2"/>
      <c r="F46" s="156">
        <v>45427</v>
      </c>
      <c r="G46" s="163">
        <v>9027.25</v>
      </c>
      <c r="H46" s="162">
        <v>2673.489</v>
      </c>
      <c r="I46" s="163">
        <v>64.85951</v>
      </c>
      <c r="J46" s="14"/>
      <c r="K46" s="14"/>
    </row>
    <row r="47" spans="5:18" x14ac:dyDescent="0.25">
      <c r="E47" s="2"/>
      <c r="F47" s="156">
        <v>45428</v>
      </c>
      <c r="G47" s="163">
        <v>5631.5</v>
      </c>
      <c r="H47" s="162">
        <v>1602.5940000000001</v>
      </c>
      <c r="I47" s="163">
        <v>56.455060000000003</v>
      </c>
      <c r="J47" s="14"/>
      <c r="K47" s="14"/>
    </row>
    <row r="48" spans="5:18" x14ac:dyDescent="0.25">
      <c r="E48" s="2"/>
      <c r="F48" s="156">
        <v>45429</v>
      </c>
      <c r="G48" s="163">
        <v>20966</v>
      </c>
      <c r="H48" s="162">
        <v>6747.482</v>
      </c>
      <c r="I48" s="163">
        <v>62.063429999999997</v>
      </c>
      <c r="J48" s="14"/>
      <c r="K48" s="14"/>
    </row>
    <row r="49" spans="3:14" x14ac:dyDescent="0.25">
      <c r="E49" s="2"/>
      <c r="F49" s="156">
        <v>45430</v>
      </c>
      <c r="G49" s="163">
        <v>7403.5</v>
      </c>
      <c r="H49" s="162">
        <v>2116.6439999999998</v>
      </c>
      <c r="I49" s="163">
        <v>56.722839999999998</v>
      </c>
      <c r="J49" s="14"/>
      <c r="K49" s="14"/>
    </row>
    <row r="50" spans="3:14" x14ac:dyDescent="0.25">
      <c r="E50" s="2"/>
      <c r="F50" s="156">
        <v>45431</v>
      </c>
      <c r="G50" s="163">
        <v>10944.75</v>
      </c>
      <c r="H50" s="162">
        <v>3200.252</v>
      </c>
      <c r="I50" s="163">
        <v>57.454520000000002</v>
      </c>
      <c r="J50" s="14"/>
      <c r="K50" s="14"/>
    </row>
    <row r="51" spans="3:14" x14ac:dyDescent="0.25">
      <c r="E51" s="2"/>
      <c r="F51" s="156">
        <v>45432</v>
      </c>
      <c r="G51" s="163">
        <v>20754</v>
      </c>
      <c r="H51" s="162">
        <v>6945.8050000000003</v>
      </c>
      <c r="I51" s="163">
        <v>64.87961</v>
      </c>
      <c r="J51" s="14"/>
      <c r="K51" s="14"/>
    </row>
    <row r="52" spans="3:14" x14ac:dyDescent="0.25">
      <c r="E52" s="2"/>
      <c r="F52" s="156">
        <v>45433</v>
      </c>
      <c r="G52" s="163">
        <v>22220</v>
      </c>
      <c r="H52" s="162">
        <v>7331.125</v>
      </c>
      <c r="I52" s="163">
        <v>70.077690000000004</v>
      </c>
      <c r="J52" s="14"/>
      <c r="K52" s="14"/>
    </row>
    <row r="53" spans="3:14" x14ac:dyDescent="0.25">
      <c r="E53" s="2"/>
      <c r="F53" s="156">
        <v>45434</v>
      </c>
      <c r="G53" s="163">
        <v>22665.5</v>
      </c>
      <c r="H53" s="162">
        <v>7652.0709999999999</v>
      </c>
      <c r="I53" s="163">
        <v>74.955110000000005</v>
      </c>
      <c r="J53" s="14"/>
      <c r="K53" s="14"/>
    </row>
    <row r="54" spans="3:14" x14ac:dyDescent="0.25">
      <c r="E54" s="2"/>
      <c r="F54" s="156">
        <v>45435</v>
      </c>
      <c r="G54" s="163">
        <v>10437.5</v>
      </c>
      <c r="H54" s="162">
        <v>3211.3040000000001</v>
      </c>
      <c r="I54" s="163">
        <v>71.02176</v>
      </c>
      <c r="J54" s="14"/>
      <c r="K54" s="14"/>
    </row>
    <row r="55" spans="3:14" x14ac:dyDescent="0.25">
      <c r="E55" s="2"/>
      <c r="F55" s="156">
        <v>45436</v>
      </c>
      <c r="G55" s="163">
        <v>22874.75</v>
      </c>
      <c r="H55" s="162">
        <v>7730.58</v>
      </c>
      <c r="I55" s="163">
        <v>73.225269999999995</v>
      </c>
      <c r="J55" s="14"/>
      <c r="K55" s="14"/>
    </row>
    <row r="56" spans="3:14" x14ac:dyDescent="0.25">
      <c r="E56" s="2"/>
      <c r="F56" s="156">
        <v>45437</v>
      </c>
      <c r="G56" s="163">
        <v>22167</v>
      </c>
      <c r="H56" s="162">
        <v>7320.5770000000002</v>
      </c>
      <c r="I56" s="163">
        <v>69.173119999999997</v>
      </c>
      <c r="J56" s="14"/>
      <c r="K56" s="14"/>
    </row>
    <row r="57" spans="3:14" x14ac:dyDescent="0.25">
      <c r="E57" s="2"/>
      <c r="F57" s="156">
        <v>45438</v>
      </c>
      <c r="G57" s="163">
        <v>17287.25</v>
      </c>
      <c r="H57" s="162">
        <v>5751.2179999999998</v>
      </c>
      <c r="I57" s="163">
        <v>72.918019999999999</v>
      </c>
      <c r="J57" s="14"/>
      <c r="K57" s="14"/>
    </row>
    <row r="58" spans="3:14" x14ac:dyDescent="0.25">
      <c r="E58" s="2"/>
      <c r="F58" s="156">
        <v>45439</v>
      </c>
      <c r="G58" s="163">
        <v>6523</v>
      </c>
      <c r="H58" s="162">
        <v>1930.8240000000001</v>
      </c>
      <c r="I58" s="163">
        <v>68.561580000000006</v>
      </c>
      <c r="J58" s="14"/>
      <c r="K58" s="14"/>
    </row>
    <row r="59" spans="3:14" x14ac:dyDescent="0.25">
      <c r="E59" s="2"/>
      <c r="F59" s="156">
        <v>45440</v>
      </c>
      <c r="G59" s="163">
        <v>16458</v>
      </c>
      <c r="H59" s="162">
        <v>5519.0060000000003</v>
      </c>
      <c r="I59" s="163">
        <v>75.018420000000006</v>
      </c>
      <c r="J59" s="14"/>
      <c r="K59" s="14"/>
    </row>
    <row r="60" spans="3:14" x14ac:dyDescent="0.25">
      <c r="E60" s="2"/>
      <c r="F60" s="156">
        <v>45441</v>
      </c>
      <c r="G60" s="163">
        <v>17672</v>
      </c>
      <c r="H60" s="162">
        <v>5909.2629999999999</v>
      </c>
      <c r="I60" s="163">
        <v>70.223050000000001</v>
      </c>
      <c r="J60" s="14"/>
      <c r="K60" s="14"/>
    </row>
    <row r="61" spans="3:14" x14ac:dyDescent="0.25">
      <c r="E61" s="2"/>
      <c r="F61" s="156">
        <v>45442</v>
      </c>
      <c r="G61" s="163">
        <v>7863.25</v>
      </c>
      <c r="H61" s="162">
        <v>2305.335</v>
      </c>
      <c r="I61" s="163">
        <v>57.360129999999998</v>
      </c>
      <c r="J61" s="14"/>
      <c r="K61" s="14"/>
    </row>
    <row r="62" spans="3:14" x14ac:dyDescent="0.25">
      <c r="E62" s="2"/>
      <c r="F62" s="156">
        <v>45443</v>
      </c>
      <c r="G62" s="163">
        <v>21187.25</v>
      </c>
      <c r="H62" s="162">
        <v>7343.5969999999998</v>
      </c>
      <c r="I62" s="163">
        <v>64.75009</v>
      </c>
      <c r="L62" s="8"/>
      <c r="M62" s="74"/>
      <c r="N62" s="74"/>
    </row>
    <row r="63" spans="3:14" x14ac:dyDescent="0.25">
      <c r="F63" s="143"/>
      <c r="G63" s="2"/>
      <c r="H63" s="2"/>
      <c r="I63" s="2"/>
    </row>
    <row r="64" spans="3:14" x14ac:dyDescent="0.25">
      <c r="C64" s="188" t="s">
        <v>33</v>
      </c>
      <c r="D64" s="189"/>
      <c r="E64" s="189"/>
      <c r="F64" s="189"/>
      <c r="G64" s="189"/>
      <c r="H64" s="189"/>
      <c r="I64" s="189"/>
      <c r="J64" s="189"/>
      <c r="K64" s="189"/>
      <c r="L64" s="190"/>
    </row>
    <row r="65" spans="3:12" ht="15" customHeight="1" x14ac:dyDescent="0.25">
      <c r="C65" s="191"/>
      <c r="D65" s="192"/>
      <c r="E65" s="192"/>
      <c r="F65" s="192"/>
      <c r="G65" s="192"/>
      <c r="H65" s="192"/>
      <c r="I65" s="192"/>
      <c r="J65" s="192"/>
      <c r="K65" s="192"/>
      <c r="L65" s="193"/>
    </row>
    <row r="66" spans="3:12" x14ac:dyDescent="0.25">
      <c r="C66" s="194"/>
      <c r="D66" s="195"/>
      <c r="E66" s="195"/>
      <c r="F66" s="195"/>
      <c r="G66" s="195"/>
      <c r="H66" s="195"/>
      <c r="I66" s="195"/>
      <c r="J66" s="195"/>
      <c r="K66" s="195"/>
      <c r="L66" s="196"/>
    </row>
    <row r="67" spans="3:12" x14ac:dyDescent="0.25">
      <c r="C67" s="197"/>
      <c r="D67" s="198"/>
      <c r="E67" s="198"/>
      <c r="F67" s="198"/>
      <c r="G67" s="198"/>
      <c r="H67" s="198"/>
      <c r="I67" s="198"/>
      <c r="J67" s="198"/>
      <c r="K67" s="198"/>
      <c r="L67" s="199"/>
    </row>
    <row r="68" spans="3:12" x14ac:dyDescent="0.25"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3:12" x14ac:dyDescent="0.25">
      <c r="C69" s="188" t="s">
        <v>34</v>
      </c>
      <c r="D69" s="189"/>
      <c r="E69" s="189"/>
      <c r="F69" s="189"/>
      <c r="G69" s="189"/>
      <c r="H69" s="189"/>
      <c r="I69" s="189"/>
      <c r="J69" s="189"/>
      <c r="K69" s="189"/>
      <c r="L69" s="190"/>
    </row>
    <row r="70" spans="3:12" ht="14.85" customHeight="1" x14ac:dyDescent="0.25">
      <c r="C70" s="191"/>
      <c r="D70" s="192"/>
      <c r="E70" s="192"/>
      <c r="F70" s="192"/>
      <c r="G70" s="192"/>
      <c r="H70" s="192"/>
      <c r="I70" s="192"/>
      <c r="J70" s="192"/>
      <c r="K70" s="192"/>
      <c r="L70" s="193"/>
    </row>
    <row r="71" spans="3:12" x14ac:dyDescent="0.25">
      <c r="C71" s="194"/>
      <c r="D71" s="195"/>
      <c r="E71" s="195"/>
      <c r="F71" s="195"/>
      <c r="G71" s="195"/>
      <c r="H71" s="195"/>
      <c r="I71" s="195"/>
      <c r="J71" s="195"/>
      <c r="K71" s="195"/>
      <c r="L71" s="196"/>
    </row>
    <row r="72" spans="3:12" x14ac:dyDescent="0.25">
      <c r="C72" s="197"/>
      <c r="D72" s="198"/>
      <c r="E72" s="198"/>
      <c r="F72" s="198"/>
      <c r="G72" s="198"/>
      <c r="H72" s="198"/>
      <c r="I72" s="198"/>
      <c r="J72" s="198"/>
      <c r="K72" s="198"/>
      <c r="L72" s="199"/>
    </row>
    <row r="73" spans="3:12" x14ac:dyDescent="0.25">
      <c r="C73" s="57"/>
      <c r="D73" s="57"/>
      <c r="E73" s="57"/>
      <c r="F73" s="57"/>
      <c r="G73" s="57"/>
      <c r="H73" s="57"/>
      <c r="I73" s="57"/>
      <c r="J73" s="57"/>
      <c r="K73" s="57"/>
      <c r="L73" s="57"/>
    </row>
  </sheetData>
  <mergeCells count="19">
    <mergeCell ref="C70:L72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4:L64"/>
    <mergeCell ref="C69:L69"/>
    <mergeCell ref="C65:L67"/>
    <mergeCell ref="E1:J1"/>
    <mergeCell ref="E2:J2"/>
    <mergeCell ref="E3:J3"/>
    <mergeCell ref="E8:I8"/>
    <mergeCell ref="E9:I9"/>
    <mergeCell ref="E6:I6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>
    <tabColor rgb="FF00B050"/>
    <pageSetUpPr fitToPage="1"/>
  </sheetPr>
  <dimension ref="C1:T72"/>
  <sheetViews>
    <sheetView tabSelected="1" zoomScale="80" zoomScaleNormal="80" workbookViewId="0">
      <selection activeCell="Q16" sqref="Q16"/>
    </sheetView>
  </sheetViews>
  <sheetFormatPr defaultColWidth="9" defaultRowHeight="15" x14ac:dyDescent="0.2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.75" x14ac:dyDescent="0.3">
      <c r="E1" s="203" t="s">
        <v>36</v>
      </c>
      <c r="F1" s="203"/>
      <c r="G1" s="203"/>
      <c r="H1" s="203"/>
      <c r="I1" s="203"/>
      <c r="J1" s="203"/>
    </row>
    <row r="2" spans="3:13" x14ac:dyDescent="0.25">
      <c r="E2" s="204" t="s">
        <v>23</v>
      </c>
      <c r="F2" s="204"/>
      <c r="G2" s="204"/>
      <c r="H2" s="204"/>
      <c r="I2" s="204"/>
      <c r="J2" s="204"/>
    </row>
    <row r="3" spans="3:13" ht="14.25" customHeight="1" x14ac:dyDescent="0.25">
      <c r="E3" s="181" t="s">
        <v>37</v>
      </c>
      <c r="F3" s="182"/>
      <c r="G3" s="182"/>
      <c r="H3" s="182"/>
      <c r="I3" s="182"/>
      <c r="J3" s="182"/>
    </row>
    <row r="5" spans="3:13" x14ac:dyDescent="0.25">
      <c r="C5" s="205" t="s">
        <v>25</v>
      </c>
      <c r="D5" s="206"/>
      <c r="E5" s="206"/>
      <c r="F5" s="206"/>
      <c r="G5" s="206"/>
      <c r="H5" s="206"/>
      <c r="I5" s="206"/>
      <c r="J5" s="206"/>
      <c r="K5" s="206"/>
      <c r="L5" s="207"/>
    </row>
    <row r="6" spans="3:13" x14ac:dyDescent="0.25">
      <c r="C6" s="107"/>
      <c r="D6" s="108"/>
      <c r="E6" s="208" t="s">
        <v>2</v>
      </c>
      <c r="F6" s="208"/>
      <c r="G6" s="208"/>
      <c r="H6" s="208"/>
      <c r="I6" s="208"/>
      <c r="J6" s="109">
        <f>SUM(G32:G62)</f>
        <v>485088.5</v>
      </c>
      <c r="K6" s="108"/>
      <c r="L6" s="110"/>
    </row>
    <row r="7" spans="3:13" x14ac:dyDescent="0.25">
      <c r="C7" s="111"/>
      <c r="E7" s="202" t="s">
        <v>4</v>
      </c>
      <c r="F7" s="202"/>
      <c r="G7" s="202"/>
      <c r="H7" s="202"/>
      <c r="I7" s="202"/>
      <c r="J7" s="112">
        <f>'Predicted Data'!D33</f>
        <v>491560</v>
      </c>
      <c r="K7" s="113"/>
      <c r="L7" s="114"/>
    </row>
    <row r="8" spans="3:13" ht="17.25" x14ac:dyDescent="0.25">
      <c r="C8" s="111"/>
      <c r="E8" s="202" t="s">
        <v>6</v>
      </c>
      <c r="F8" s="202"/>
      <c r="G8" s="202"/>
      <c r="H8" s="202"/>
      <c r="I8" s="202"/>
      <c r="J8" s="112">
        <f>SUM(H32:H62)</f>
        <v>187155.59400000004</v>
      </c>
      <c r="L8" s="114"/>
    </row>
    <row r="9" spans="3:13" ht="17.25" x14ac:dyDescent="0.25">
      <c r="C9" s="111"/>
      <c r="E9" s="202" t="s">
        <v>8</v>
      </c>
      <c r="F9" s="202"/>
      <c r="G9" s="202"/>
      <c r="H9" s="202"/>
      <c r="I9" s="202"/>
      <c r="J9" s="115"/>
      <c r="K9" s="113"/>
      <c r="L9" s="114"/>
    </row>
    <row r="10" spans="3:13" x14ac:dyDescent="0.25">
      <c r="C10" s="111"/>
      <c r="E10" s="202" t="s">
        <v>10</v>
      </c>
      <c r="F10" s="202"/>
      <c r="G10" s="202"/>
      <c r="H10" s="202"/>
      <c r="I10" s="202"/>
      <c r="J10" s="116">
        <f>'Plant Health'!K83</f>
        <v>456660.9</v>
      </c>
      <c r="L10" s="114"/>
    </row>
    <row r="11" spans="3:13" x14ac:dyDescent="0.25">
      <c r="C11" s="111"/>
      <c r="E11" s="202" t="s">
        <v>12</v>
      </c>
      <c r="F11" s="202"/>
      <c r="G11" s="202"/>
      <c r="H11" s="202"/>
      <c r="I11" s="202"/>
      <c r="J11" s="117">
        <f>J6/J10</f>
        <v>1.0622510050674363</v>
      </c>
      <c r="L11" s="114"/>
      <c r="M11" s="118"/>
    </row>
    <row r="12" spans="3:13" x14ac:dyDescent="0.25">
      <c r="C12" s="111"/>
      <c r="E12" s="202" t="s">
        <v>16</v>
      </c>
      <c r="F12" s="202"/>
      <c r="G12" s="202"/>
      <c r="H12" s="202"/>
      <c r="I12" s="202"/>
      <c r="J12" s="117">
        <f>J6/J7</f>
        <v>0.98683477093335503</v>
      </c>
      <c r="L12" s="114"/>
    </row>
    <row r="13" spans="3:13" x14ac:dyDescent="0.25">
      <c r="C13" s="111"/>
      <c r="E13" s="202" t="s">
        <v>18</v>
      </c>
      <c r="F13" s="202"/>
      <c r="G13" s="202"/>
      <c r="H13" s="202"/>
      <c r="I13" s="202"/>
      <c r="J13" s="117">
        <f>Availability!F42</f>
        <v>1</v>
      </c>
      <c r="L13" s="114"/>
    </row>
    <row r="14" spans="3:13" x14ac:dyDescent="0.25">
      <c r="C14" s="119"/>
      <c r="D14" s="120"/>
      <c r="E14" s="218" t="s">
        <v>20</v>
      </c>
      <c r="F14" s="218"/>
      <c r="G14" s="218"/>
      <c r="H14" s="218"/>
      <c r="I14" s="218"/>
      <c r="J14" s="121">
        <f>Availability!F50</f>
        <v>0.9991199999999999</v>
      </c>
      <c r="K14" s="120"/>
      <c r="L14" s="122"/>
    </row>
    <row r="16" spans="3:13" x14ac:dyDescent="0.25">
      <c r="C16" s="205" t="s">
        <v>27</v>
      </c>
      <c r="D16" s="206"/>
      <c r="E16" s="206"/>
      <c r="F16" s="206"/>
      <c r="G16" s="206"/>
      <c r="H16" s="206"/>
      <c r="I16" s="206"/>
      <c r="J16" s="206"/>
      <c r="K16" s="206"/>
      <c r="L16" s="207"/>
    </row>
    <row r="30" spans="5:12" x14ac:dyDescent="0.25">
      <c r="E30" s="123"/>
      <c r="F30" s="219" t="s">
        <v>28</v>
      </c>
      <c r="G30" s="219"/>
      <c r="H30" s="219"/>
      <c r="I30" s="219"/>
      <c r="J30" s="123"/>
      <c r="K30" s="123"/>
      <c r="L30" s="123"/>
    </row>
    <row r="31" spans="5:12" s="127" customFormat="1" ht="44.1" customHeight="1" x14ac:dyDescent="0.25">
      <c r="E31" s="124"/>
      <c r="F31" s="125" t="s">
        <v>29</v>
      </c>
      <c r="G31" s="145" t="s">
        <v>30</v>
      </c>
      <c r="H31" s="145" t="s">
        <v>31</v>
      </c>
      <c r="I31" s="126" t="s">
        <v>32</v>
      </c>
      <c r="K31" s="124"/>
    </row>
    <row r="32" spans="5:12" x14ac:dyDescent="0.25">
      <c r="F32" s="144">
        <v>45413</v>
      </c>
      <c r="G32" s="162">
        <v>11883</v>
      </c>
      <c r="H32" s="163">
        <v>3893.759</v>
      </c>
      <c r="I32" s="163">
        <v>78.025400000000005</v>
      </c>
      <c r="K32" s="128"/>
    </row>
    <row r="33" spans="6:11" x14ac:dyDescent="0.25">
      <c r="F33" s="144">
        <v>45414</v>
      </c>
      <c r="G33" s="162">
        <v>14710.5</v>
      </c>
      <c r="H33" s="163">
        <v>5144.6660000000002</v>
      </c>
      <c r="I33" s="163">
        <v>74.804270000000002</v>
      </c>
      <c r="K33" s="128"/>
    </row>
    <row r="34" spans="6:11" x14ac:dyDescent="0.25">
      <c r="F34" s="144">
        <v>45415</v>
      </c>
      <c r="G34" s="162">
        <v>12153</v>
      </c>
      <c r="H34" s="163">
        <v>4607.8969999999999</v>
      </c>
      <c r="I34" s="163">
        <v>75.961460000000002</v>
      </c>
      <c r="K34" s="128"/>
    </row>
    <row r="35" spans="6:11" x14ac:dyDescent="0.25">
      <c r="F35" s="144">
        <v>45416</v>
      </c>
      <c r="G35" s="162">
        <v>9195</v>
      </c>
      <c r="H35" s="163">
        <v>2930.616</v>
      </c>
      <c r="I35" s="163">
        <v>74.593270000000004</v>
      </c>
      <c r="K35" s="128"/>
    </row>
    <row r="36" spans="6:11" x14ac:dyDescent="0.25">
      <c r="F36" s="144">
        <v>45417</v>
      </c>
      <c r="G36" s="162">
        <v>14657.5</v>
      </c>
      <c r="H36" s="163">
        <v>5892.99</v>
      </c>
      <c r="I36" s="163">
        <v>75.245890000000003</v>
      </c>
      <c r="K36" s="128"/>
    </row>
    <row r="37" spans="6:11" x14ac:dyDescent="0.25">
      <c r="F37" s="144">
        <v>45418</v>
      </c>
      <c r="G37" s="162">
        <v>9582.5</v>
      </c>
      <c r="H37" s="163">
        <v>3211.0419999999999</v>
      </c>
      <c r="I37" s="163">
        <v>78.519630000000006</v>
      </c>
      <c r="K37" s="128"/>
    </row>
    <row r="38" spans="6:11" x14ac:dyDescent="0.25">
      <c r="F38" s="144">
        <v>45419</v>
      </c>
      <c r="G38" s="162">
        <v>24816.5</v>
      </c>
      <c r="H38" s="163">
        <v>10133.040000000001</v>
      </c>
      <c r="I38" s="163">
        <v>83.592039999999997</v>
      </c>
      <c r="K38" s="128"/>
    </row>
    <row r="39" spans="6:11" x14ac:dyDescent="0.25">
      <c r="F39" s="144">
        <v>45420</v>
      </c>
      <c r="G39" s="162">
        <v>22097.5</v>
      </c>
      <c r="H39" s="163">
        <v>9067.5220000000008</v>
      </c>
      <c r="I39" s="163">
        <v>85.188500000000005</v>
      </c>
      <c r="K39" s="128"/>
    </row>
    <row r="40" spans="6:11" x14ac:dyDescent="0.25">
      <c r="F40" s="144">
        <v>45421</v>
      </c>
      <c r="G40" s="162">
        <v>6775.5000000009313</v>
      </c>
      <c r="H40" s="163">
        <v>1999.7139999999999</v>
      </c>
      <c r="I40" s="163">
        <v>73.225399999999993</v>
      </c>
      <c r="K40" s="128"/>
    </row>
    <row r="41" spans="6:11" x14ac:dyDescent="0.25">
      <c r="F41" s="144">
        <v>45422</v>
      </c>
      <c r="G41" s="162">
        <v>23573.999999999069</v>
      </c>
      <c r="H41" s="163">
        <v>9311.4490000000005</v>
      </c>
      <c r="I41" s="163">
        <v>74.125770000000003</v>
      </c>
      <c r="K41" s="128"/>
    </row>
    <row r="42" spans="6:11" x14ac:dyDescent="0.25">
      <c r="F42" s="144">
        <v>45423</v>
      </c>
      <c r="G42" s="162">
        <v>12621</v>
      </c>
      <c r="H42" s="163">
        <v>4060.04</v>
      </c>
      <c r="I42" s="163">
        <v>72.730909999999994</v>
      </c>
      <c r="K42" s="128"/>
    </row>
    <row r="43" spans="6:11" x14ac:dyDescent="0.25">
      <c r="F43" s="144">
        <v>45424</v>
      </c>
      <c r="G43" s="162">
        <v>1722.5</v>
      </c>
      <c r="H43" s="163">
        <v>127.6593</v>
      </c>
      <c r="I43" s="163">
        <v>65.708370000000002</v>
      </c>
      <c r="K43" s="128"/>
    </row>
    <row r="44" spans="6:11" x14ac:dyDescent="0.25">
      <c r="F44" s="144">
        <v>45425</v>
      </c>
      <c r="G44" s="162">
        <v>14959.5</v>
      </c>
      <c r="H44" s="163">
        <v>5598.2960000000003</v>
      </c>
      <c r="I44" s="163">
        <v>73.797650000000004</v>
      </c>
      <c r="K44" s="128"/>
    </row>
    <row r="45" spans="6:11" x14ac:dyDescent="0.25">
      <c r="F45" s="144">
        <v>45426</v>
      </c>
      <c r="G45" s="162">
        <v>25330</v>
      </c>
      <c r="H45" s="163">
        <v>10203.07</v>
      </c>
      <c r="I45" s="163">
        <v>73.868830000000003</v>
      </c>
      <c r="K45" s="128"/>
    </row>
    <row r="46" spans="6:11" x14ac:dyDescent="0.25">
      <c r="F46" s="144">
        <v>45427</v>
      </c>
      <c r="G46" s="162">
        <v>22499.5</v>
      </c>
      <c r="H46" s="163">
        <v>8721.4529999999995</v>
      </c>
      <c r="I46" s="163">
        <v>80.468699999999998</v>
      </c>
      <c r="K46" s="128"/>
    </row>
    <row r="47" spans="6:11" x14ac:dyDescent="0.25">
      <c r="F47" s="144">
        <v>45428</v>
      </c>
      <c r="G47" s="162">
        <v>1678</v>
      </c>
      <c r="H47" s="163">
        <v>226.1174</v>
      </c>
      <c r="I47" s="163">
        <v>69.134979999999999</v>
      </c>
      <c r="K47" s="128"/>
    </row>
    <row r="48" spans="6:11" x14ac:dyDescent="0.25">
      <c r="F48" s="144">
        <v>45429</v>
      </c>
      <c r="G48" s="162">
        <v>23242</v>
      </c>
      <c r="H48" s="163">
        <v>9455.5249999999996</v>
      </c>
      <c r="I48" s="163">
        <v>74.560929999999999</v>
      </c>
      <c r="K48" s="128"/>
    </row>
    <row r="49" spans="3:20" x14ac:dyDescent="0.25">
      <c r="F49" s="144">
        <v>45430</v>
      </c>
      <c r="G49" s="162">
        <v>25318.5</v>
      </c>
      <c r="H49" s="163">
        <v>10151.040000000001</v>
      </c>
      <c r="I49" s="163">
        <v>82.376400000000004</v>
      </c>
      <c r="K49" s="128"/>
    </row>
    <row r="50" spans="3:20" x14ac:dyDescent="0.25">
      <c r="F50" s="144">
        <v>45431</v>
      </c>
      <c r="G50" s="162">
        <v>24300.5</v>
      </c>
      <c r="H50" s="163">
        <v>9501.9689999999991</v>
      </c>
      <c r="I50" s="163">
        <v>85.467680000000001</v>
      </c>
      <c r="K50" s="128"/>
    </row>
    <row r="51" spans="3:20" x14ac:dyDescent="0.25">
      <c r="F51" s="144">
        <v>45432</v>
      </c>
      <c r="G51" s="162">
        <v>23103.5</v>
      </c>
      <c r="H51" s="163">
        <v>9936.3989999999994</v>
      </c>
      <c r="I51" s="163">
        <v>85.474459999999993</v>
      </c>
      <c r="K51" s="128"/>
    </row>
    <row r="52" spans="3:20" x14ac:dyDescent="0.25">
      <c r="F52" s="144">
        <v>45433</v>
      </c>
      <c r="G52" s="162">
        <v>14600.5</v>
      </c>
      <c r="H52" s="163">
        <v>5956.8990000000003</v>
      </c>
      <c r="I52" s="163">
        <v>84.703090000000003</v>
      </c>
      <c r="K52" s="128"/>
    </row>
    <row r="53" spans="3:20" x14ac:dyDescent="0.25">
      <c r="F53" s="144">
        <v>45434</v>
      </c>
      <c r="G53" s="162">
        <v>6050</v>
      </c>
      <c r="H53" s="163">
        <v>1814.2260000000001</v>
      </c>
      <c r="I53" s="163">
        <v>78.263369999999995</v>
      </c>
      <c r="K53" s="128"/>
    </row>
    <row r="54" spans="3:20" x14ac:dyDescent="0.25">
      <c r="F54" s="144">
        <v>45435</v>
      </c>
      <c r="G54" s="162">
        <v>15169</v>
      </c>
      <c r="H54" s="163">
        <v>6457.7730000000001</v>
      </c>
      <c r="I54" s="163">
        <v>80.900120000000001</v>
      </c>
      <c r="K54" s="128"/>
    </row>
    <row r="55" spans="3:20" x14ac:dyDescent="0.25">
      <c r="F55" s="144">
        <v>45436</v>
      </c>
      <c r="G55" s="162">
        <v>10789</v>
      </c>
      <c r="H55" s="163">
        <v>4434.915</v>
      </c>
      <c r="I55" s="163">
        <v>82.612719999999996</v>
      </c>
      <c r="K55" s="128"/>
    </row>
    <row r="56" spans="3:20" x14ac:dyDescent="0.25">
      <c r="F56" s="144">
        <v>45437</v>
      </c>
      <c r="G56" s="162">
        <v>10439.5</v>
      </c>
      <c r="H56" s="163">
        <v>4046.152</v>
      </c>
      <c r="I56" s="163">
        <v>82.028670000000005</v>
      </c>
      <c r="K56" s="128"/>
    </row>
    <row r="57" spans="3:20" x14ac:dyDescent="0.25">
      <c r="F57" s="144">
        <v>45438</v>
      </c>
      <c r="G57" s="162">
        <v>24245</v>
      </c>
      <c r="H57" s="163">
        <v>9726.3060000000005</v>
      </c>
      <c r="I57" s="163">
        <v>88.703190000000006</v>
      </c>
      <c r="K57" s="128"/>
      <c r="R57" s="112"/>
      <c r="S57" s="112"/>
      <c r="T57" s="112"/>
    </row>
    <row r="58" spans="3:20" x14ac:dyDescent="0.25">
      <c r="F58" s="144">
        <v>45439</v>
      </c>
      <c r="G58" s="162">
        <v>20673.5</v>
      </c>
      <c r="H58" s="163">
        <v>7962.0050000000001</v>
      </c>
      <c r="I58" s="163">
        <v>83.251840000000001</v>
      </c>
      <c r="K58" s="128"/>
    </row>
    <row r="59" spans="3:20" x14ac:dyDescent="0.25">
      <c r="F59" s="144">
        <v>45440</v>
      </c>
      <c r="G59" s="162">
        <v>12836.000000000931</v>
      </c>
      <c r="H59" s="163">
        <v>4705.2979999999998</v>
      </c>
      <c r="I59" s="163">
        <v>74.365260000000006</v>
      </c>
      <c r="K59" s="128"/>
      <c r="R59" s="112"/>
      <c r="S59" s="112"/>
      <c r="T59" s="112"/>
    </row>
    <row r="60" spans="3:20" x14ac:dyDescent="0.25">
      <c r="F60" s="144">
        <v>45441</v>
      </c>
      <c r="G60" s="162">
        <v>23661.499999999069</v>
      </c>
      <c r="H60" s="163">
        <v>9423.1710000000003</v>
      </c>
      <c r="I60" s="163">
        <v>81.177260000000004</v>
      </c>
      <c r="K60" s="128"/>
    </row>
    <row r="61" spans="3:20" x14ac:dyDescent="0.25">
      <c r="F61" s="144">
        <v>45442</v>
      </c>
      <c r="G61" s="162">
        <v>2461.5</v>
      </c>
      <c r="H61" s="163">
        <v>488.76330000000002</v>
      </c>
      <c r="I61" s="163">
        <v>71.865260000000006</v>
      </c>
      <c r="K61" s="128"/>
    </row>
    <row r="62" spans="3:20" x14ac:dyDescent="0.25">
      <c r="F62" s="144">
        <v>45443</v>
      </c>
      <c r="G62" s="162">
        <v>19943</v>
      </c>
      <c r="H62" s="163">
        <v>7965.8220000000001</v>
      </c>
      <c r="I62" s="163">
        <v>76.580839999999995</v>
      </c>
    </row>
    <row r="63" spans="3:20" x14ac:dyDescent="0.25">
      <c r="F63" s="138"/>
      <c r="G63" s="129"/>
    </row>
    <row r="64" spans="3:20" x14ac:dyDescent="0.25">
      <c r="C64" s="205" t="s">
        <v>33</v>
      </c>
      <c r="D64" s="206"/>
      <c r="E64" s="206"/>
      <c r="F64" s="206"/>
      <c r="G64" s="206"/>
      <c r="H64" s="206"/>
      <c r="I64" s="206"/>
      <c r="J64" s="206"/>
      <c r="K64" s="206"/>
      <c r="L64" s="207"/>
    </row>
    <row r="65" spans="3:12" ht="15" customHeight="1" x14ac:dyDescent="0.25">
      <c r="C65" s="209"/>
      <c r="D65" s="210"/>
      <c r="E65" s="210"/>
      <c r="F65" s="210"/>
      <c r="G65" s="210"/>
      <c r="H65" s="210"/>
      <c r="I65" s="210"/>
      <c r="J65" s="210"/>
      <c r="K65" s="210"/>
      <c r="L65" s="211"/>
    </row>
    <row r="66" spans="3:12" x14ac:dyDescent="0.25">
      <c r="C66" s="212"/>
      <c r="D66" s="213"/>
      <c r="E66" s="213"/>
      <c r="F66" s="213"/>
      <c r="G66" s="213"/>
      <c r="H66" s="213"/>
      <c r="I66" s="213"/>
      <c r="J66" s="213"/>
      <c r="K66" s="213"/>
      <c r="L66" s="214"/>
    </row>
    <row r="67" spans="3:12" x14ac:dyDescent="0.25">
      <c r="C67" s="215"/>
      <c r="D67" s="216"/>
      <c r="E67" s="216"/>
      <c r="F67" s="216"/>
      <c r="G67" s="216"/>
      <c r="H67" s="216"/>
      <c r="I67" s="216"/>
      <c r="J67" s="216"/>
      <c r="K67" s="216"/>
      <c r="L67" s="217"/>
    </row>
    <row r="69" spans="3:12" x14ac:dyDescent="0.25">
      <c r="C69" s="220" t="s">
        <v>34</v>
      </c>
      <c r="D69" s="221"/>
      <c r="E69" s="221"/>
      <c r="F69" s="221"/>
      <c r="G69" s="221"/>
      <c r="H69" s="221"/>
      <c r="I69" s="221"/>
      <c r="J69" s="221"/>
      <c r="K69" s="221"/>
      <c r="L69" s="222"/>
    </row>
    <row r="70" spans="3:12" ht="14.85" customHeight="1" x14ac:dyDescent="0.25">
      <c r="C70" s="209"/>
      <c r="D70" s="210"/>
      <c r="E70" s="210"/>
      <c r="F70" s="210"/>
      <c r="G70" s="210"/>
      <c r="H70" s="210"/>
      <c r="I70" s="210"/>
      <c r="J70" s="210"/>
      <c r="K70" s="210"/>
      <c r="L70" s="211"/>
    </row>
    <row r="71" spans="3:12" x14ac:dyDescent="0.25">
      <c r="C71" s="212"/>
      <c r="D71" s="213"/>
      <c r="E71" s="213"/>
      <c r="F71" s="213"/>
      <c r="G71" s="213"/>
      <c r="H71" s="213"/>
      <c r="I71" s="213"/>
      <c r="J71" s="213"/>
      <c r="K71" s="213"/>
      <c r="L71" s="214"/>
    </row>
    <row r="72" spans="3:12" x14ac:dyDescent="0.25">
      <c r="C72" s="215"/>
      <c r="D72" s="216"/>
      <c r="E72" s="216"/>
      <c r="F72" s="216"/>
      <c r="G72" s="216"/>
      <c r="H72" s="216"/>
      <c r="I72" s="216"/>
      <c r="J72" s="216"/>
      <c r="K72" s="216"/>
      <c r="L72" s="217"/>
    </row>
  </sheetData>
  <mergeCells count="19">
    <mergeCell ref="C70:L72"/>
    <mergeCell ref="E14:I14"/>
    <mergeCell ref="C16:L16"/>
    <mergeCell ref="F30:I30"/>
    <mergeCell ref="C64:L64"/>
    <mergeCell ref="C65:L67"/>
    <mergeCell ref="C69:L69"/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C4:L50"/>
  <sheetViews>
    <sheetView zoomScaleNormal="100" workbookViewId="0">
      <selection activeCell="Q40" sqref="Q40"/>
    </sheetView>
  </sheetViews>
  <sheetFormatPr defaultRowHeight="15" x14ac:dyDescent="0.2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 x14ac:dyDescent="0.25">
      <c r="C4" s="226" t="s">
        <v>38</v>
      </c>
      <c r="D4" s="227"/>
      <c r="E4" s="228"/>
      <c r="G4" s="226" t="s">
        <v>39</v>
      </c>
      <c r="H4" s="227"/>
      <c r="I4" s="228"/>
    </row>
    <row r="5" spans="3:9" x14ac:dyDescent="0.25">
      <c r="C5" s="1"/>
      <c r="D5" s="42" t="s">
        <v>35</v>
      </c>
      <c r="E5" s="42" t="s">
        <v>22</v>
      </c>
      <c r="G5" s="1"/>
      <c r="H5" s="42" t="s">
        <v>35</v>
      </c>
      <c r="I5" s="42" t="s">
        <v>22</v>
      </c>
    </row>
    <row r="6" spans="3:9" x14ac:dyDescent="0.25">
      <c r="C6" s="43" t="s">
        <v>40</v>
      </c>
      <c r="D6" s="46"/>
      <c r="E6" s="46"/>
      <c r="G6" s="43" t="s">
        <v>40</v>
      </c>
      <c r="H6" s="62">
        <v>0.99899000000000004</v>
      </c>
      <c r="I6" s="62">
        <v>0.99677000000000004</v>
      </c>
    </row>
    <row r="7" spans="3:9" x14ac:dyDescent="0.25">
      <c r="C7" s="43" t="s">
        <v>41</v>
      </c>
      <c r="D7" s="46"/>
      <c r="E7" s="46"/>
      <c r="G7" s="43" t="s">
        <v>41</v>
      </c>
      <c r="H7" s="62">
        <v>0.99977000000000005</v>
      </c>
      <c r="I7" s="62">
        <v>0.96015000000000006</v>
      </c>
    </row>
    <row r="8" spans="3:9" x14ac:dyDescent="0.25">
      <c r="C8" s="43" t="s">
        <v>42</v>
      </c>
      <c r="D8" s="46"/>
      <c r="E8" s="46"/>
      <c r="G8" s="43" t="s">
        <v>42</v>
      </c>
      <c r="H8" s="62">
        <v>0.99834999999999996</v>
      </c>
      <c r="I8" s="62">
        <v>0.99973000000000001</v>
      </c>
    </row>
    <row r="9" spans="3:9" x14ac:dyDescent="0.25">
      <c r="C9" s="43" t="s">
        <v>43</v>
      </c>
      <c r="D9" s="46"/>
      <c r="E9" s="46"/>
      <c r="G9" s="43" t="s">
        <v>43</v>
      </c>
      <c r="H9" s="62">
        <v>1</v>
      </c>
      <c r="I9" s="62">
        <v>1</v>
      </c>
    </row>
    <row r="10" spans="3:9" x14ac:dyDescent="0.25">
      <c r="C10" s="43" t="s">
        <v>44</v>
      </c>
      <c r="D10" s="46"/>
      <c r="E10" s="46"/>
      <c r="G10" s="43" t="s">
        <v>44</v>
      </c>
      <c r="H10" s="62">
        <v>1</v>
      </c>
      <c r="I10" s="62">
        <v>1</v>
      </c>
    </row>
    <row r="11" spans="3:9" x14ac:dyDescent="0.25">
      <c r="C11" s="43" t="s">
        <v>45</v>
      </c>
      <c r="D11" s="46"/>
      <c r="E11" s="46"/>
      <c r="G11" s="43" t="s">
        <v>45</v>
      </c>
      <c r="H11" s="62">
        <v>1</v>
      </c>
      <c r="I11" s="62">
        <v>0.99909999999999999</v>
      </c>
    </row>
    <row r="12" spans="3:9" x14ac:dyDescent="0.25">
      <c r="C12" s="43" t="s">
        <v>46</v>
      </c>
      <c r="D12" s="46">
        <v>0.98024</v>
      </c>
      <c r="E12" s="46">
        <v>1</v>
      </c>
      <c r="G12" s="43" t="s">
        <v>46</v>
      </c>
      <c r="H12" s="62">
        <v>1</v>
      </c>
      <c r="I12" s="62">
        <v>1</v>
      </c>
    </row>
    <row r="13" spans="3:9" x14ac:dyDescent="0.25">
      <c r="C13" s="43" t="s">
        <v>47</v>
      </c>
      <c r="D13" s="46">
        <v>0.98093999999999992</v>
      </c>
      <c r="E13" s="46">
        <v>1</v>
      </c>
      <c r="G13" s="43" t="s">
        <v>47</v>
      </c>
      <c r="H13" s="90">
        <v>0.998</v>
      </c>
      <c r="I13" s="91">
        <v>1</v>
      </c>
    </row>
    <row r="14" spans="3:9" x14ac:dyDescent="0.25">
      <c r="C14" s="43" t="s">
        <v>48</v>
      </c>
      <c r="D14" s="46">
        <v>0.97177999999999998</v>
      </c>
      <c r="E14" s="46">
        <v>1</v>
      </c>
      <c r="G14" s="43" t="s">
        <v>48</v>
      </c>
      <c r="H14" s="90">
        <v>1</v>
      </c>
      <c r="I14" s="91">
        <v>0.97929999999999995</v>
      </c>
    </row>
    <row r="15" spans="3:9" x14ac:dyDescent="0.25">
      <c r="C15" s="43" t="s">
        <v>49</v>
      </c>
      <c r="D15" s="46">
        <v>0.99820999999999993</v>
      </c>
      <c r="E15" s="46">
        <v>0.99462000000000006</v>
      </c>
      <c r="G15" s="43" t="s">
        <v>49</v>
      </c>
      <c r="H15" s="62">
        <v>1</v>
      </c>
      <c r="I15" s="62">
        <v>1</v>
      </c>
    </row>
    <row r="16" spans="3:9" x14ac:dyDescent="0.25">
      <c r="C16" s="43" t="s">
        <v>50</v>
      </c>
      <c r="D16" s="46">
        <v>1</v>
      </c>
      <c r="E16" s="46">
        <v>1</v>
      </c>
      <c r="G16" s="43" t="s">
        <v>50</v>
      </c>
      <c r="H16" s="62">
        <v>1</v>
      </c>
      <c r="I16" s="46">
        <v>0.98499999999999999</v>
      </c>
    </row>
    <row r="17" spans="3:12" x14ac:dyDescent="0.25">
      <c r="C17" s="43" t="s">
        <v>51</v>
      </c>
      <c r="D17" s="46">
        <v>1</v>
      </c>
      <c r="E17" s="46">
        <v>0.99820999999999993</v>
      </c>
      <c r="G17" s="43" t="s">
        <v>51</v>
      </c>
      <c r="H17" s="46">
        <v>0.98167000000000004</v>
      </c>
      <c r="I17" s="46">
        <v>1</v>
      </c>
    </row>
    <row r="18" spans="3:12" x14ac:dyDescent="0.25">
      <c r="C18" s="56" t="s">
        <v>52</v>
      </c>
      <c r="D18" s="52">
        <f>AVERAGE(D6:D17)</f>
        <v>0.98852833333333334</v>
      </c>
      <c r="E18" s="52">
        <f>AVERAGE(E6:E17)</f>
        <v>0.99880500000000005</v>
      </c>
      <c r="G18" s="56" t="s">
        <v>52</v>
      </c>
      <c r="H18" s="52">
        <f>AVERAGE(H6:H17)</f>
        <v>0.99806499999999998</v>
      </c>
      <c r="I18" s="52">
        <f>AVERAGE(I6:I17)</f>
        <v>0.99333749999999998</v>
      </c>
    </row>
    <row r="20" spans="3:12" x14ac:dyDescent="0.25">
      <c r="C20" s="226" t="s">
        <v>53</v>
      </c>
      <c r="D20" s="227"/>
      <c r="E20" s="228"/>
      <c r="G20" s="223" t="s">
        <v>54</v>
      </c>
      <c r="H20" s="229"/>
      <c r="I20" s="224"/>
      <c r="K20" s="223" t="s">
        <v>54</v>
      </c>
      <c r="L20" s="224"/>
    </row>
    <row r="21" spans="3:12" x14ac:dyDescent="0.25">
      <c r="C21" s="1"/>
      <c r="D21" s="42" t="s">
        <v>35</v>
      </c>
      <c r="E21" s="42" t="s">
        <v>22</v>
      </c>
      <c r="G21" s="1"/>
      <c r="H21" s="42" t="s">
        <v>35</v>
      </c>
      <c r="I21" s="42" t="s">
        <v>22</v>
      </c>
      <c r="K21" s="1"/>
      <c r="L21" s="42" t="s">
        <v>36</v>
      </c>
    </row>
    <row r="22" spans="3:12" x14ac:dyDescent="0.25">
      <c r="C22" s="43" t="s">
        <v>40</v>
      </c>
      <c r="D22" s="62">
        <v>1</v>
      </c>
      <c r="E22" s="62">
        <v>1</v>
      </c>
      <c r="G22" s="43" t="s">
        <v>40</v>
      </c>
      <c r="H22" s="62">
        <v>1</v>
      </c>
      <c r="I22" s="62">
        <v>0.99860000000000004</v>
      </c>
      <c r="K22" s="43" t="s">
        <v>40</v>
      </c>
      <c r="L22" s="62">
        <v>0.9647</v>
      </c>
    </row>
    <row r="23" spans="3:12" x14ac:dyDescent="0.25">
      <c r="C23" s="43" t="s">
        <v>41</v>
      </c>
      <c r="D23" s="62">
        <v>1</v>
      </c>
      <c r="E23" s="62">
        <v>0.99867000000000006</v>
      </c>
      <c r="G23" s="43" t="s">
        <v>41</v>
      </c>
      <c r="H23" s="62">
        <v>1</v>
      </c>
      <c r="I23" s="62">
        <v>0.99960000000000004</v>
      </c>
      <c r="K23" s="43" t="s">
        <v>41</v>
      </c>
      <c r="L23" s="62">
        <v>0.82140000000000002</v>
      </c>
    </row>
    <row r="24" spans="3:12" x14ac:dyDescent="0.25">
      <c r="C24" s="43" t="s">
        <v>42</v>
      </c>
      <c r="D24" s="62">
        <v>1</v>
      </c>
      <c r="E24" s="62">
        <v>1</v>
      </c>
      <c r="G24" s="43" t="s">
        <v>42</v>
      </c>
      <c r="H24" s="62">
        <v>1</v>
      </c>
      <c r="I24" s="62">
        <v>1</v>
      </c>
      <c r="K24" s="43" t="s">
        <v>42</v>
      </c>
      <c r="L24" s="62">
        <v>1</v>
      </c>
    </row>
    <row r="25" spans="3:12" x14ac:dyDescent="0.25">
      <c r="C25" s="43" t="s">
        <v>43</v>
      </c>
      <c r="D25" s="62">
        <v>1</v>
      </c>
      <c r="E25" s="62">
        <v>1</v>
      </c>
      <c r="G25" s="43" t="s">
        <v>43</v>
      </c>
      <c r="H25" s="62">
        <v>1</v>
      </c>
      <c r="I25" s="62">
        <v>1</v>
      </c>
      <c r="K25" s="43" t="s">
        <v>43</v>
      </c>
      <c r="L25" s="62">
        <v>1</v>
      </c>
    </row>
    <row r="26" spans="3:12" x14ac:dyDescent="0.25">
      <c r="C26" s="43" t="s">
        <v>44</v>
      </c>
      <c r="D26" s="62">
        <v>0.99953999999999998</v>
      </c>
      <c r="E26" s="62">
        <v>0.99919000000000002</v>
      </c>
      <c r="G26" s="43" t="s">
        <v>44</v>
      </c>
      <c r="H26" s="62">
        <v>1</v>
      </c>
      <c r="I26" s="62">
        <v>1</v>
      </c>
      <c r="K26" s="43" t="s">
        <v>44</v>
      </c>
      <c r="L26" s="62">
        <v>1</v>
      </c>
    </row>
    <row r="27" spans="3:12" x14ac:dyDescent="0.25">
      <c r="C27" s="43" t="s">
        <v>45</v>
      </c>
      <c r="D27" s="62">
        <v>1</v>
      </c>
      <c r="E27" s="62">
        <v>1</v>
      </c>
      <c r="G27" s="43" t="s">
        <v>45</v>
      </c>
      <c r="H27" s="62">
        <v>1</v>
      </c>
      <c r="I27" s="62">
        <v>0.88139999999999996</v>
      </c>
      <c r="K27" s="43" t="s">
        <v>45</v>
      </c>
      <c r="L27" s="137">
        <v>1</v>
      </c>
    </row>
    <row r="28" spans="3:12" x14ac:dyDescent="0.25">
      <c r="C28" s="43" t="s">
        <v>46</v>
      </c>
      <c r="D28" s="62">
        <v>1</v>
      </c>
      <c r="E28" s="62">
        <v>1</v>
      </c>
      <c r="G28" s="43" t="s">
        <v>46</v>
      </c>
      <c r="H28" s="62">
        <v>0.99544999999999995</v>
      </c>
      <c r="I28" s="62">
        <v>1</v>
      </c>
      <c r="K28" s="43" t="s">
        <v>46</v>
      </c>
      <c r="L28" s="137">
        <v>1</v>
      </c>
    </row>
    <row r="29" spans="3:12" x14ac:dyDescent="0.25">
      <c r="C29" s="43" t="s">
        <v>47</v>
      </c>
      <c r="D29" s="62">
        <v>1</v>
      </c>
      <c r="E29" s="62">
        <v>0.99942999999999993</v>
      </c>
      <c r="G29" s="43" t="s">
        <v>47</v>
      </c>
      <c r="H29" s="62">
        <v>1</v>
      </c>
      <c r="I29" s="62">
        <v>1</v>
      </c>
      <c r="K29" s="43" t="s">
        <v>47</v>
      </c>
      <c r="L29" s="62">
        <v>0.98</v>
      </c>
    </row>
    <row r="30" spans="3:12" x14ac:dyDescent="0.25">
      <c r="C30" s="43" t="s">
        <v>48</v>
      </c>
      <c r="D30" s="62">
        <v>1</v>
      </c>
      <c r="E30" s="62">
        <v>1</v>
      </c>
      <c r="G30" s="43" t="s">
        <v>48</v>
      </c>
      <c r="H30" s="62">
        <v>1</v>
      </c>
      <c r="I30" s="62">
        <v>1</v>
      </c>
      <c r="K30" s="43" t="s">
        <v>48</v>
      </c>
      <c r="L30" s="62">
        <v>1</v>
      </c>
    </row>
    <row r="31" spans="3:12" x14ac:dyDescent="0.25">
      <c r="C31" s="43" t="s">
        <v>49</v>
      </c>
      <c r="D31" s="46">
        <v>1</v>
      </c>
      <c r="E31" s="46">
        <v>0.99968000000000001</v>
      </c>
      <c r="G31" s="43" t="s">
        <v>49</v>
      </c>
      <c r="H31" s="62">
        <v>0.99950000000000006</v>
      </c>
      <c r="I31" s="62">
        <v>1</v>
      </c>
      <c r="K31" s="43" t="s">
        <v>49</v>
      </c>
      <c r="L31" s="62">
        <v>1</v>
      </c>
    </row>
    <row r="32" spans="3:12" x14ac:dyDescent="0.25">
      <c r="C32" s="43" t="s">
        <v>50</v>
      </c>
      <c r="D32" s="46">
        <v>1</v>
      </c>
      <c r="E32" s="46">
        <v>0.99951999999999996</v>
      </c>
      <c r="G32" s="43" t="s">
        <v>50</v>
      </c>
      <c r="H32" s="62">
        <v>1</v>
      </c>
      <c r="I32" s="46" t="s">
        <v>55</v>
      </c>
      <c r="K32" s="43" t="s">
        <v>50</v>
      </c>
      <c r="L32" s="147">
        <v>0.96</v>
      </c>
    </row>
    <row r="33" spans="3:12" x14ac:dyDescent="0.25">
      <c r="C33" s="43" t="s">
        <v>51</v>
      </c>
      <c r="D33" s="46">
        <v>1</v>
      </c>
      <c r="E33" s="46">
        <v>1</v>
      </c>
      <c r="G33" s="43" t="s">
        <v>51</v>
      </c>
      <c r="H33" s="46">
        <v>1</v>
      </c>
      <c r="I33" s="46">
        <v>1</v>
      </c>
      <c r="K33" s="43" t="s">
        <v>51</v>
      </c>
      <c r="L33" s="46">
        <v>1</v>
      </c>
    </row>
    <row r="34" spans="3:12" x14ac:dyDescent="0.25">
      <c r="C34" s="56" t="s">
        <v>52</v>
      </c>
      <c r="D34" s="52">
        <f>AVERAGE(D22:D33)</f>
        <v>0.99996166666666664</v>
      </c>
      <c r="E34" s="52">
        <f>AVERAGE(E22:E33)</f>
        <v>0.99970749999999997</v>
      </c>
      <c r="G34" s="56" t="s">
        <v>52</v>
      </c>
      <c r="H34" s="52">
        <f>AVERAGE(H22:H33)</f>
        <v>0.99957916666666657</v>
      </c>
      <c r="I34" s="52">
        <f>AVERAGE(I22:I33)</f>
        <v>0.98905454545454541</v>
      </c>
      <c r="K34" s="56" t="s">
        <v>52</v>
      </c>
      <c r="L34" s="52">
        <f>AVERAGE(L22:L33)</f>
        <v>0.9771749999999999</v>
      </c>
    </row>
    <row r="36" spans="3:12" x14ac:dyDescent="0.25">
      <c r="C36" s="225" t="s">
        <v>56</v>
      </c>
      <c r="D36" s="225"/>
      <c r="E36" s="225"/>
      <c r="F36" s="225"/>
    </row>
    <row r="37" spans="3:12" x14ac:dyDescent="0.25">
      <c r="C37" s="1"/>
      <c r="D37" s="42" t="s">
        <v>35</v>
      </c>
      <c r="E37" s="42" t="s">
        <v>22</v>
      </c>
      <c r="F37" s="42" t="s">
        <v>36</v>
      </c>
    </row>
    <row r="38" spans="3:12" x14ac:dyDescent="0.25">
      <c r="C38" s="43" t="s">
        <v>40</v>
      </c>
      <c r="D38" s="62">
        <v>1</v>
      </c>
      <c r="E38" s="62">
        <v>0.98660000000000003</v>
      </c>
      <c r="F38" s="62">
        <v>1</v>
      </c>
    </row>
    <row r="39" spans="3:12" x14ac:dyDescent="0.25">
      <c r="C39" s="43" t="s">
        <v>41</v>
      </c>
      <c r="D39" s="62">
        <v>0.99970000000000003</v>
      </c>
      <c r="E39" s="62">
        <v>1</v>
      </c>
      <c r="F39" s="62">
        <v>0.99809999999999999</v>
      </c>
    </row>
    <row r="40" spans="3:12" x14ac:dyDescent="0.25">
      <c r="C40" s="43" t="s">
        <v>42</v>
      </c>
      <c r="D40" s="62">
        <v>1</v>
      </c>
      <c r="E40" s="62">
        <v>1</v>
      </c>
      <c r="F40" s="62">
        <v>0.99750000000000005</v>
      </c>
    </row>
    <row r="41" spans="3:12" x14ac:dyDescent="0.25">
      <c r="C41" s="43" t="s">
        <v>43</v>
      </c>
      <c r="D41" s="62">
        <v>1</v>
      </c>
      <c r="E41" s="62">
        <v>1</v>
      </c>
      <c r="F41" s="62">
        <v>1</v>
      </c>
    </row>
    <row r="42" spans="3:12" x14ac:dyDescent="0.25">
      <c r="C42" s="43" t="s">
        <v>44</v>
      </c>
      <c r="D42" s="62">
        <v>1</v>
      </c>
      <c r="E42" s="62">
        <v>1</v>
      </c>
      <c r="F42" s="62">
        <v>1</v>
      </c>
    </row>
    <row r="43" spans="3:12" x14ac:dyDescent="0.25">
      <c r="C43" s="43" t="s">
        <v>45</v>
      </c>
      <c r="D43" s="62"/>
      <c r="E43" s="155"/>
      <c r="F43" s="62"/>
    </row>
    <row r="44" spans="3:12" x14ac:dyDescent="0.25">
      <c r="C44" s="43" t="s">
        <v>46</v>
      </c>
      <c r="D44" s="62"/>
      <c r="E44" s="155"/>
      <c r="F44" s="62"/>
    </row>
    <row r="45" spans="3:12" x14ac:dyDescent="0.25">
      <c r="C45" s="43" t="s">
        <v>47</v>
      </c>
      <c r="D45" s="62"/>
      <c r="E45" s="62"/>
      <c r="F45" s="62"/>
    </row>
    <row r="46" spans="3:12" x14ac:dyDescent="0.25">
      <c r="C46" s="43" t="s">
        <v>48</v>
      </c>
      <c r="D46" s="62"/>
      <c r="E46" s="62"/>
      <c r="F46" s="62"/>
    </row>
    <row r="47" spans="3:12" x14ac:dyDescent="0.25">
      <c r="C47" s="43" t="s">
        <v>49</v>
      </c>
      <c r="D47" s="62"/>
      <c r="E47" s="62"/>
      <c r="F47" s="62"/>
    </row>
    <row r="48" spans="3:12" x14ac:dyDescent="0.25">
      <c r="C48" s="43" t="s">
        <v>50</v>
      </c>
      <c r="D48" s="62"/>
      <c r="E48" s="46"/>
      <c r="F48" s="147"/>
    </row>
    <row r="49" spans="3:6" x14ac:dyDescent="0.25">
      <c r="C49" s="43" t="s">
        <v>51</v>
      </c>
      <c r="D49" s="46"/>
      <c r="E49" s="46"/>
      <c r="F49" s="46"/>
    </row>
    <row r="50" spans="3:6" x14ac:dyDescent="0.25">
      <c r="C50" s="56" t="s">
        <v>52</v>
      </c>
      <c r="D50" s="52">
        <f>AVERAGE(D38:D49)</f>
        <v>0.99993999999999994</v>
      </c>
      <c r="E50" s="52">
        <f>AVERAGE(E38:E49)</f>
        <v>0.99731999999999998</v>
      </c>
      <c r="F50" s="52">
        <f>AVERAGE(F38:F49)</f>
        <v>0.9991199999999999</v>
      </c>
    </row>
  </sheetData>
  <mergeCells count="6">
    <mergeCell ref="K20:L20"/>
    <mergeCell ref="C36:F36"/>
    <mergeCell ref="G4:I4"/>
    <mergeCell ref="C4:E4"/>
    <mergeCell ref="C20:E20"/>
    <mergeCell ref="G20:I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C4:AQ91"/>
  <sheetViews>
    <sheetView topLeftCell="A67" zoomScaleNormal="100" workbookViewId="0">
      <selection activeCell="L83" sqref="L83"/>
    </sheetView>
  </sheetViews>
  <sheetFormatPr defaultColWidth="9.140625" defaultRowHeight="15" x14ac:dyDescent="0.2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 x14ac:dyDescent="0.25">
      <c r="C4" s="236" t="s">
        <v>57</v>
      </c>
      <c r="D4" s="237"/>
      <c r="E4" s="237"/>
      <c r="F4" s="237"/>
      <c r="G4" s="237"/>
      <c r="H4" s="237"/>
      <c r="I4" s="237"/>
      <c r="J4" s="77"/>
      <c r="K4" s="77"/>
      <c r="L4" s="78"/>
    </row>
    <row r="5" spans="3:12" ht="15.75" x14ac:dyDescent="0.25">
      <c r="C5" s="42"/>
      <c r="D5" s="230" t="s">
        <v>35</v>
      </c>
      <c r="E5" s="231"/>
      <c r="F5" s="232"/>
      <c r="G5" s="230" t="s">
        <v>22</v>
      </c>
      <c r="H5" s="231"/>
      <c r="I5" s="232"/>
      <c r="J5" s="233" t="s">
        <v>58</v>
      </c>
      <c r="K5" s="234"/>
      <c r="L5" s="235"/>
    </row>
    <row r="6" spans="3:12" x14ac:dyDescent="0.25">
      <c r="C6" s="42"/>
      <c r="D6" s="42" t="s">
        <v>59</v>
      </c>
      <c r="E6" s="42" t="s">
        <v>60</v>
      </c>
      <c r="F6" s="42" t="s">
        <v>61</v>
      </c>
      <c r="G6" s="42" t="s">
        <v>59</v>
      </c>
      <c r="H6" s="42" t="s">
        <v>60</v>
      </c>
      <c r="I6" s="42" t="s">
        <v>61</v>
      </c>
      <c r="J6" s="49" t="s">
        <v>59</v>
      </c>
      <c r="K6" s="49" t="s">
        <v>60</v>
      </c>
      <c r="L6" s="49" t="s">
        <v>61</v>
      </c>
    </row>
    <row r="7" spans="3:12" x14ac:dyDescent="0.25">
      <c r="C7" s="47" t="s">
        <v>40</v>
      </c>
      <c r="D7" s="86" t="s">
        <v>62</v>
      </c>
      <c r="E7" s="86" t="s">
        <v>62</v>
      </c>
      <c r="F7" s="86" t="s">
        <v>62</v>
      </c>
      <c r="G7" s="86" t="s">
        <v>62</v>
      </c>
      <c r="H7" s="86" t="s">
        <v>62</v>
      </c>
      <c r="I7" s="86" t="s">
        <v>62</v>
      </c>
      <c r="J7" s="86" t="s">
        <v>62</v>
      </c>
      <c r="K7" s="86" t="s">
        <v>62</v>
      </c>
      <c r="L7" s="86" t="s">
        <v>62</v>
      </c>
    </row>
    <row r="8" spans="3:12" x14ac:dyDescent="0.25">
      <c r="C8" s="47" t="s">
        <v>41</v>
      </c>
      <c r="D8" s="86" t="s">
        <v>62</v>
      </c>
      <c r="E8" s="86" t="s">
        <v>62</v>
      </c>
      <c r="F8" s="86" t="s">
        <v>62</v>
      </c>
      <c r="G8" s="86" t="s">
        <v>62</v>
      </c>
      <c r="H8" s="86" t="s">
        <v>62</v>
      </c>
      <c r="I8" s="86" t="s">
        <v>62</v>
      </c>
      <c r="J8" s="86" t="s">
        <v>62</v>
      </c>
      <c r="K8" s="86" t="s">
        <v>62</v>
      </c>
      <c r="L8" s="86" t="s">
        <v>62</v>
      </c>
    </row>
    <row r="9" spans="3:12" x14ac:dyDescent="0.25">
      <c r="C9" s="47" t="s">
        <v>42</v>
      </c>
      <c r="D9" s="86" t="s">
        <v>62</v>
      </c>
      <c r="E9" s="86" t="s">
        <v>62</v>
      </c>
      <c r="F9" s="86" t="s">
        <v>62</v>
      </c>
      <c r="G9" s="86" t="s">
        <v>62</v>
      </c>
      <c r="H9" s="86" t="s">
        <v>62</v>
      </c>
      <c r="I9" s="86" t="s">
        <v>62</v>
      </c>
      <c r="J9" s="86" t="s">
        <v>62</v>
      </c>
      <c r="K9" s="86" t="s">
        <v>62</v>
      </c>
      <c r="L9" s="86" t="s">
        <v>62</v>
      </c>
    </row>
    <row r="10" spans="3:12" x14ac:dyDescent="0.25">
      <c r="C10" s="47" t="s">
        <v>43</v>
      </c>
      <c r="D10" s="86" t="s">
        <v>62</v>
      </c>
      <c r="E10" s="86" t="s">
        <v>62</v>
      </c>
      <c r="F10" s="86" t="s">
        <v>62</v>
      </c>
      <c r="G10" s="86" t="s">
        <v>62</v>
      </c>
      <c r="H10" s="86" t="s">
        <v>62</v>
      </c>
      <c r="I10" s="86" t="s">
        <v>62</v>
      </c>
      <c r="J10" s="86" t="s">
        <v>62</v>
      </c>
      <c r="K10" s="86" t="s">
        <v>62</v>
      </c>
      <c r="L10" s="86" t="s">
        <v>62</v>
      </c>
    </row>
    <row r="11" spans="3:12" x14ac:dyDescent="0.25">
      <c r="C11" s="47" t="s">
        <v>44</v>
      </c>
      <c r="D11" s="86" t="s">
        <v>62</v>
      </c>
      <c r="E11" s="86" t="s">
        <v>62</v>
      </c>
      <c r="F11" s="86" t="s">
        <v>62</v>
      </c>
      <c r="G11" s="86" t="s">
        <v>62</v>
      </c>
      <c r="H11" s="86" t="s">
        <v>62</v>
      </c>
      <c r="I11" s="86" t="s">
        <v>62</v>
      </c>
      <c r="J11" s="86" t="s">
        <v>62</v>
      </c>
      <c r="K11" s="86" t="s">
        <v>62</v>
      </c>
      <c r="L11" s="86" t="s">
        <v>62</v>
      </c>
    </row>
    <row r="12" spans="3:12" x14ac:dyDescent="0.25">
      <c r="C12" s="47" t="s">
        <v>45</v>
      </c>
      <c r="D12" s="86" t="s">
        <v>62</v>
      </c>
      <c r="E12" s="86" t="s">
        <v>62</v>
      </c>
      <c r="F12" s="86" t="s">
        <v>62</v>
      </c>
      <c r="G12" s="86" t="s">
        <v>62</v>
      </c>
      <c r="H12" s="86" t="s">
        <v>62</v>
      </c>
      <c r="I12" s="86" t="s">
        <v>62</v>
      </c>
      <c r="J12" s="86" t="s">
        <v>62</v>
      </c>
      <c r="K12" s="86" t="s">
        <v>62</v>
      </c>
      <c r="L12" s="86" t="s">
        <v>62</v>
      </c>
    </row>
    <row r="13" spans="3:12" x14ac:dyDescent="0.25">
      <c r="C13" s="47" t="s">
        <v>46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 x14ac:dyDescent="0.25">
      <c r="C14" s="47" t="s">
        <v>47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62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 x14ac:dyDescent="0.25">
      <c r="C15" s="47" t="s">
        <v>48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62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 x14ac:dyDescent="0.25">
      <c r="C16" s="47" t="s">
        <v>49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 x14ac:dyDescent="0.25">
      <c r="C17" s="47" t="s">
        <v>50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 x14ac:dyDescent="0.25">
      <c r="C18" s="47" t="s">
        <v>51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 x14ac:dyDescent="0.25">
      <c r="C19" s="49" t="s">
        <v>63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 x14ac:dyDescent="0.25">
      <c r="C22" s="236" t="s">
        <v>64</v>
      </c>
      <c r="D22" s="237"/>
      <c r="E22" s="237"/>
      <c r="F22" s="237"/>
      <c r="G22" s="237"/>
      <c r="H22" s="237"/>
      <c r="I22" s="237"/>
      <c r="J22" s="77"/>
      <c r="K22" s="77"/>
      <c r="L22" s="78"/>
    </row>
    <row r="23" spans="3:12" ht="15.75" x14ac:dyDescent="0.25">
      <c r="C23" s="42"/>
      <c r="D23" s="230" t="s">
        <v>35</v>
      </c>
      <c r="E23" s="231"/>
      <c r="F23" s="232"/>
      <c r="G23" s="230" t="s">
        <v>22</v>
      </c>
      <c r="H23" s="231"/>
      <c r="I23" s="232"/>
      <c r="J23" s="233" t="s">
        <v>58</v>
      </c>
      <c r="K23" s="234"/>
      <c r="L23" s="235"/>
    </row>
    <row r="24" spans="3:12" x14ac:dyDescent="0.25">
      <c r="C24" s="42"/>
      <c r="D24" s="42" t="s">
        <v>59</v>
      </c>
      <c r="E24" s="42" t="s">
        <v>60</v>
      </c>
      <c r="F24" s="42" t="s">
        <v>61</v>
      </c>
      <c r="G24" s="42" t="s">
        <v>59</v>
      </c>
      <c r="H24" s="42" t="s">
        <v>60</v>
      </c>
      <c r="I24" s="42" t="s">
        <v>61</v>
      </c>
      <c r="J24" s="49" t="s">
        <v>59</v>
      </c>
      <c r="K24" s="49" t="s">
        <v>60</v>
      </c>
      <c r="L24" s="49" t="s">
        <v>61</v>
      </c>
    </row>
    <row r="25" spans="3:12" x14ac:dyDescent="0.25">
      <c r="C25" s="47" t="s">
        <v>40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 x14ac:dyDescent="0.25">
      <c r="C26" s="47" t="s">
        <v>41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 x14ac:dyDescent="0.25">
      <c r="C27" s="47" t="s">
        <v>42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 x14ac:dyDescent="0.25">
      <c r="C28" s="47" t="s">
        <v>43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 x14ac:dyDescent="0.25">
      <c r="C29" s="47" t="s">
        <v>44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 x14ac:dyDescent="0.25">
      <c r="C30" s="47" t="s">
        <v>45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 x14ac:dyDescent="0.25">
      <c r="C31" s="47" t="s">
        <v>46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 x14ac:dyDescent="0.25">
      <c r="C32" s="47" t="s">
        <v>47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 x14ac:dyDescent="0.25">
      <c r="C33" s="47" t="s">
        <v>48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 x14ac:dyDescent="0.25">
      <c r="C34" s="47" t="s">
        <v>49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 x14ac:dyDescent="0.25">
      <c r="C35" s="47" t="s">
        <v>50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 x14ac:dyDescent="0.25">
      <c r="C36" s="47" t="s">
        <v>51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 x14ac:dyDescent="0.25">
      <c r="C37" s="49" t="s">
        <v>63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 x14ac:dyDescent="0.25">
      <c r="C40" s="236" t="s">
        <v>65</v>
      </c>
      <c r="D40" s="237"/>
      <c r="E40" s="237"/>
      <c r="F40" s="237"/>
      <c r="G40" s="237"/>
      <c r="H40" s="237"/>
      <c r="I40" s="237"/>
      <c r="J40" s="77"/>
      <c r="K40" s="77"/>
      <c r="L40" s="78"/>
    </row>
    <row r="41" spans="3:43" ht="15.75" x14ac:dyDescent="0.25">
      <c r="C41" s="42"/>
      <c r="D41" s="230" t="s">
        <v>35</v>
      </c>
      <c r="E41" s="231"/>
      <c r="F41" s="232"/>
      <c r="G41" s="230" t="s">
        <v>22</v>
      </c>
      <c r="H41" s="231"/>
      <c r="I41" s="232"/>
      <c r="J41" s="233" t="s">
        <v>58</v>
      </c>
      <c r="K41" s="234"/>
      <c r="L41" s="235"/>
    </row>
    <row r="42" spans="3:43" x14ac:dyDescent="0.25">
      <c r="C42" s="42"/>
      <c r="D42" s="42" t="s">
        <v>59</v>
      </c>
      <c r="E42" s="42" t="s">
        <v>60</v>
      </c>
      <c r="F42" s="42" t="s">
        <v>61</v>
      </c>
      <c r="G42" s="42" t="s">
        <v>59</v>
      </c>
      <c r="H42" s="42" t="s">
        <v>60</v>
      </c>
      <c r="I42" s="42" t="s">
        <v>61</v>
      </c>
      <c r="J42" s="49" t="s">
        <v>59</v>
      </c>
      <c r="K42" s="49" t="s">
        <v>60</v>
      </c>
      <c r="L42" s="49" t="s">
        <v>61</v>
      </c>
    </row>
    <row r="43" spans="3:43" x14ac:dyDescent="0.25">
      <c r="C43" s="47" t="s">
        <v>40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 x14ac:dyDescent="0.25">
      <c r="C44" s="47" t="s">
        <v>41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 x14ac:dyDescent="0.25">
      <c r="C45" s="47" t="s">
        <v>42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 x14ac:dyDescent="0.25">
      <c r="C46" s="47" t="s">
        <v>43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 x14ac:dyDescent="0.25">
      <c r="C47" s="47" t="s">
        <v>44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 x14ac:dyDescent="0.25">
      <c r="C48" s="47" t="s">
        <v>45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 x14ac:dyDescent="0.25">
      <c r="C49" s="47" t="s">
        <v>46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8"/>
      <c r="AO49" s="238"/>
      <c r="AP49" s="238"/>
      <c r="AQ49" s="238"/>
    </row>
    <row r="50" spans="3:43" ht="15.75" x14ac:dyDescent="0.25">
      <c r="C50" s="47" t="s">
        <v>47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1"/>
      <c r="AO50" s="239"/>
      <c r="AP50" s="239"/>
      <c r="AQ50" s="239"/>
    </row>
    <row r="51" spans="3:43" x14ac:dyDescent="0.25">
      <c r="C51" s="47" t="s">
        <v>48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1"/>
      <c r="AO51" s="131"/>
      <c r="AP51" s="131"/>
      <c r="AQ51" s="131"/>
    </row>
    <row r="52" spans="3:43" x14ac:dyDescent="0.25">
      <c r="C52" s="47" t="s">
        <v>49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1"/>
      <c r="AO52" s="92"/>
      <c r="AP52" s="92"/>
      <c r="AQ52" s="132"/>
    </row>
    <row r="53" spans="3:43" x14ac:dyDescent="0.25">
      <c r="C53" s="47" t="s">
        <v>50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1"/>
      <c r="AO53" s="92"/>
      <c r="AP53" s="92"/>
      <c r="AQ53" s="132"/>
    </row>
    <row r="54" spans="3:43" x14ac:dyDescent="0.25">
      <c r="C54" s="47" t="s">
        <v>51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1"/>
      <c r="AO54" s="92"/>
      <c r="AP54" s="92"/>
      <c r="AQ54" s="132"/>
    </row>
    <row r="55" spans="3:43" x14ac:dyDescent="0.25">
      <c r="C55" s="49" t="s">
        <v>63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1"/>
      <c r="AO55" s="133"/>
      <c r="AP55" s="92"/>
      <c r="AQ55" s="132"/>
    </row>
    <row r="56" spans="3:43" x14ac:dyDescent="0.25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1"/>
      <c r="AO56" s="92"/>
      <c r="AP56" s="92"/>
      <c r="AQ56" s="132"/>
    </row>
    <row r="57" spans="3:43" x14ac:dyDescent="0.25">
      <c r="AB57" s="2"/>
      <c r="AC57" s="131"/>
      <c r="AD57" s="92"/>
      <c r="AE57" s="92"/>
      <c r="AF57" s="13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 x14ac:dyDescent="0.25">
      <c r="C58" s="236" t="s">
        <v>66</v>
      </c>
      <c r="D58" s="237"/>
      <c r="E58" s="237"/>
      <c r="F58" s="237"/>
      <c r="G58" s="237"/>
      <c r="H58" s="237"/>
      <c r="I58" s="237"/>
      <c r="J58" s="237"/>
      <c r="K58" s="237"/>
      <c r="L58" s="237"/>
      <c r="M58" s="237"/>
      <c r="N58" s="237"/>
      <c r="O58" s="240"/>
      <c r="AB58" s="2"/>
      <c r="AC58" s="131"/>
      <c r="AD58" s="92"/>
      <c r="AE58" s="92"/>
      <c r="AF58" s="13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75" x14ac:dyDescent="0.25">
      <c r="C59" s="42"/>
      <c r="D59" s="233" t="s">
        <v>35</v>
      </c>
      <c r="E59" s="234"/>
      <c r="F59" s="235"/>
      <c r="G59" s="233" t="s">
        <v>22</v>
      </c>
      <c r="H59" s="234"/>
      <c r="I59" s="235"/>
      <c r="J59" s="233" t="s">
        <v>36</v>
      </c>
      <c r="K59" s="234"/>
      <c r="L59" s="235"/>
      <c r="M59" s="233" t="s">
        <v>58</v>
      </c>
      <c r="N59" s="234"/>
      <c r="O59" s="235"/>
      <c r="AB59" s="2"/>
      <c r="AC59" s="131"/>
      <c r="AD59" s="133"/>
      <c r="AE59" s="133"/>
      <c r="AF59" s="13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 x14ac:dyDescent="0.25">
      <c r="C60" s="42"/>
      <c r="D60" s="42" t="s">
        <v>59</v>
      </c>
      <c r="E60" s="42" t="s">
        <v>60</v>
      </c>
      <c r="F60" s="42" t="s">
        <v>61</v>
      </c>
      <c r="G60" s="42" t="s">
        <v>59</v>
      </c>
      <c r="H60" s="42" t="s">
        <v>60</v>
      </c>
      <c r="I60" s="42" t="s">
        <v>61</v>
      </c>
      <c r="J60" s="42" t="s">
        <v>59</v>
      </c>
      <c r="K60" s="42" t="s">
        <v>60</v>
      </c>
      <c r="L60" s="42" t="s">
        <v>61</v>
      </c>
      <c r="M60" s="49" t="s">
        <v>59</v>
      </c>
      <c r="N60" s="49" t="s">
        <v>60</v>
      </c>
      <c r="O60" s="49" t="s">
        <v>61</v>
      </c>
      <c r="AB60" s="2"/>
      <c r="AC60" s="131"/>
      <c r="AD60" s="133"/>
      <c r="AE60" s="133"/>
      <c r="AF60" s="13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 x14ac:dyDescent="0.25">
      <c r="C61" s="47" t="s">
        <v>40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1"/>
      <c r="AD61" s="133"/>
      <c r="AE61" s="134"/>
      <c r="AF61" s="13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 x14ac:dyDescent="0.25">
      <c r="C62" s="47" t="s">
        <v>41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1"/>
      <c r="AD62" s="133"/>
      <c r="AE62" s="133"/>
      <c r="AF62" s="13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 x14ac:dyDescent="0.25">
      <c r="C63" s="93" t="s">
        <v>42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1"/>
      <c r="AD63" s="133"/>
      <c r="AE63" s="133"/>
      <c r="AF63" s="13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 x14ac:dyDescent="0.25">
      <c r="C64" s="47" t="s">
        <v>43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30"/>
      <c r="AD64" s="92"/>
      <c r="AE64" s="92"/>
      <c r="AF64" s="13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 x14ac:dyDescent="0.25">
      <c r="C65" s="47" t="s">
        <v>44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 x14ac:dyDescent="0.25">
      <c r="C66" s="47" t="s">
        <v>45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 x14ac:dyDescent="0.25">
      <c r="C67" s="47" t="s">
        <v>46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 x14ac:dyDescent="0.25">
      <c r="C68" s="47" t="s">
        <v>47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 x14ac:dyDescent="0.25">
      <c r="C69" s="47" t="s">
        <v>48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 x14ac:dyDescent="0.25">
      <c r="C70" s="47" t="s">
        <v>49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 x14ac:dyDescent="0.25">
      <c r="C71" s="47" t="s">
        <v>50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 x14ac:dyDescent="0.25">
      <c r="C72" s="47" t="s">
        <v>51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 x14ac:dyDescent="0.25">
      <c r="C73" s="49" t="s">
        <v>63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 x14ac:dyDescent="0.25">
      <c r="C76" s="236" t="s">
        <v>67</v>
      </c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40"/>
    </row>
    <row r="77" spans="3:43" ht="15.75" x14ac:dyDescent="0.25">
      <c r="C77" s="42"/>
      <c r="D77" s="233" t="s">
        <v>35</v>
      </c>
      <c r="E77" s="234"/>
      <c r="F77" s="235"/>
      <c r="G77" s="233" t="s">
        <v>22</v>
      </c>
      <c r="H77" s="234"/>
      <c r="I77" s="235"/>
      <c r="J77" s="233" t="s">
        <v>36</v>
      </c>
      <c r="K77" s="234"/>
      <c r="L77" s="235"/>
      <c r="M77" s="233" t="s">
        <v>58</v>
      </c>
      <c r="N77" s="234"/>
      <c r="O77" s="235"/>
    </row>
    <row r="78" spans="3:43" x14ac:dyDescent="0.25">
      <c r="C78" s="42"/>
      <c r="D78" s="42" t="s">
        <v>59</v>
      </c>
      <c r="E78" s="42" t="s">
        <v>60</v>
      </c>
      <c r="F78" s="42" t="s">
        <v>61</v>
      </c>
      <c r="G78" s="42" t="s">
        <v>59</v>
      </c>
      <c r="H78" s="42" t="s">
        <v>60</v>
      </c>
      <c r="I78" s="42" t="s">
        <v>61</v>
      </c>
      <c r="J78" s="42" t="s">
        <v>59</v>
      </c>
      <c r="K78" s="42" t="s">
        <v>60</v>
      </c>
      <c r="L78" s="42" t="s">
        <v>61</v>
      </c>
      <c r="M78" s="49" t="s">
        <v>59</v>
      </c>
      <c r="N78" s="49" t="s">
        <v>60</v>
      </c>
      <c r="O78" s="49" t="s">
        <v>61</v>
      </c>
    </row>
    <row r="79" spans="3:43" x14ac:dyDescent="0.25">
      <c r="C79" s="47" t="s">
        <v>40</v>
      </c>
      <c r="D79" s="48">
        <v>108163</v>
      </c>
      <c r="E79" s="48">
        <v>172809.64279999997</v>
      </c>
      <c r="F79" s="46">
        <f t="shared" ref="F79:F83" si="29">D79/E79</f>
        <v>0.62590835932218025</v>
      </c>
      <c r="G79" s="48">
        <v>86767.62</v>
      </c>
      <c r="H79" s="48">
        <v>151534.5576</v>
      </c>
      <c r="I79" s="46">
        <f t="shared" ref="I79:I83" si="30">G79/H79</f>
        <v>0.57259295420281076</v>
      </c>
      <c r="J79" s="48">
        <v>290245</v>
      </c>
      <c r="K79" s="48">
        <v>287392.10129999998</v>
      </c>
      <c r="L79" s="46">
        <f t="shared" ref="L79:L83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83" si="32">M79/N79</f>
        <v>0.79311235683040071</v>
      </c>
    </row>
    <row r="80" spans="3:43" x14ac:dyDescent="0.25">
      <c r="C80" s="47" t="s">
        <v>41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 x14ac:dyDescent="0.25">
      <c r="C81" s="93" t="s">
        <v>42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68</v>
      </c>
    </row>
    <row r="82" spans="3:16" x14ac:dyDescent="0.25">
      <c r="C82" s="47" t="s">
        <v>43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 x14ac:dyDescent="0.25">
      <c r="C83" s="47" t="s">
        <v>44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 x14ac:dyDescent="0.25">
      <c r="C84" s="47" t="s">
        <v>45</v>
      </c>
      <c r="D84" s="48"/>
      <c r="E84" s="48"/>
      <c r="F84" s="46"/>
      <c r="G84" s="48"/>
      <c r="H84" s="48"/>
      <c r="I84" s="46"/>
      <c r="J84" s="48"/>
      <c r="K84" s="48"/>
      <c r="L84" s="46"/>
      <c r="M84" s="50">
        <f>SUM(D84,G84,J84)</f>
        <v>0</v>
      </c>
      <c r="N84" s="50">
        <f t="shared" si="34"/>
        <v>0</v>
      </c>
      <c r="O84" s="51"/>
    </row>
    <row r="85" spans="3:16" x14ac:dyDescent="0.25">
      <c r="C85" s="47" t="s">
        <v>46</v>
      </c>
      <c r="D85" s="48"/>
      <c r="E85" s="48"/>
      <c r="F85" s="46"/>
      <c r="G85" s="48"/>
      <c r="H85" s="48"/>
      <c r="I85" s="46"/>
      <c r="J85" s="48"/>
      <c r="K85" s="48"/>
      <c r="L85" s="46"/>
      <c r="M85" s="50">
        <f>SUM(D85,G85,J85)</f>
        <v>0</v>
      </c>
      <c r="N85" s="50">
        <f t="shared" si="34"/>
        <v>0</v>
      </c>
      <c r="O85" s="51"/>
    </row>
    <row r="86" spans="3:16" x14ac:dyDescent="0.25">
      <c r="C86" s="47" t="s">
        <v>47</v>
      </c>
      <c r="D86" s="86"/>
      <c r="E86" s="86"/>
      <c r="F86" s="46"/>
      <c r="G86" s="86"/>
      <c r="H86" s="86"/>
      <c r="I86" s="46"/>
      <c r="J86" s="86"/>
      <c r="K86" s="86"/>
      <c r="L86" s="46"/>
      <c r="M86" s="50">
        <f>SUM(D86,G86,J86)</f>
        <v>0</v>
      </c>
      <c r="N86" s="50">
        <f t="shared" si="34"/>
        <v>0</v>
      </c>
      <c r="O86" s="51"/>
    </row>
    <row r="87" spans="3:16" x14ac:dyDescent="0.25">
      <c r="C87" s="47" t="s">
        <v>48</v>
      </c>
      <c r="D87" s="86"/>
      <c r="E87" s="86"/>
      <c r="F87" s="46"/>
      <c r="G87" s="86"/>
      <c r="H87" s="86"/>
      <c r="I87" s="46"/>
      <c r="J87" s="86"/>
      <c r="K87" s="86"/>
      <c r="L87" s="46"/>
      <c r="M87" s="50">
        <f t="shared" ref="M87:M91" si="35">SUM(D87,G87,J87)</f>
        <v>0</v>
      </c>
      <c r="N87" s="50">
        <f t="shared" si="34"/>
        <v>0</v>
      </c>
      <c r="O87" s="51"/>
    </row>
    <row r="88" spans="3:16" x14ac:dyDescent="0.25">
      <c r="C88" s="47" t="s">
        <v>49</v>
      </c>
      <c r="D88" s="86"/>
      <c r="E88" s="19"/>
      <c r="F88" s="46"/>
      <c r="G88" s="48"/>
      <c r="H88" s="86"/>
      <c r="I88" s="46"/>
      <c r="J88" s="86"/>
      <c r="K88" s="19"/>
      <c r="L88" s="46"/>
      <c r="M88" s="50">
        <f t="shared" si="35"/>
        <v>0</v>
      </c>
      <c r="N88" s="50">
        <f t="shared" si="34"/>
        <v>0</v>
      </c>
      <c r="O88" s="51"/>
    </row>
    <row r="89" spans="3:16" x14ac:dyDescent="0.25">
      <c r="C89" s="47" t="s">
        <v>50</v>
      </c>
      <c r="D89" s="48"/>
      <c r="E89" s="48"/>
      <c r="F89" s="46"/>
      <c r="G89" s="48"/>
      <c r="H89" s="48"/>
      <c r="I89" s="46"/>
      <c r="J89" s="86"/>
      <c r="K89" s="105"/>
      <c r="L89" s="46"/>
      <c r="M89" s="50">
        <f t="shared" si="35"/>
        <v>0</v>
      </c>
      <c r="N89" s="50">
        <f t="shared" si="34"/>
        <v>0</v>
      </c>
      <c r="O89" s="51"/>
    </row>
    <row r="90" spans="3:16" x14ac:dyDescent="0.25">
      <c r="C90" s="47" t="s">
        <v>51</v>
      </c>
      <c r="D90" s="86"/>
      <c r="E90" s="86"/>
      <c r="F90" s="46"/>
      <c r="G90" s="86"/>
      <c r="H90" s="86"/>
      <c r="I90" s="46"/>
      <c r="J90" s="86"/>
      <c r="K90" s="86"/>
      <c r="L90" s="46"/>
      <c r="M90" s="50">
        <f t="shared" si="35"/>
        <v>0</v>
      </c>
      <c r="N90" s="50">
        <f t="shared" si="34"/>
        <v>0</v>
      </c>
      <c r="O90" s="51"/>
    </row>
    <row r="91" spans="3:16" x14ac:dyDescent="0.25">
      <c r="C91" s="49" t="s">
        <v>63</v>
      </c>
      <c r="D91" s="53">
        <f>SUM(D79:D90)</f>
        <v>1674447.7</v>
      </c>
      <c r="E91" s="53">
        <f>SUM(E79:E90)</f>
        <v>1637063.6438</v>
      </c>
      <c r="F91" s="55">
        <f>D91/E91</f>
        <v>1.0228360432666033</v>
      </c>
      <c r="G91" s="53">
        <f>SUM(G79:G90)</f>
        <v>1343039.97</v>
      </c>
      <c r="H91" s="53">
        <f>SUM(H79:H90)</f>
        <v>1376247.0515999999</v>
      </c>
      <c r="I91" s="55">
        <f t="shared" ref="I91" si="36">G91/H91</f>
        <v>0.97587127866221846</v>
      </c>
      <c r="J91" s="53">
        <f>SUM(J79:J90)</f>
        <v>2037701.0000000009</v>
      </c>
      <c r="K91" s="53">
        <f>SUM(K79:K90)</f>
        <v>1922429.8024999998</v>
      </c>
      <c r="L91" s="55">
        <f>J91/K91</f>
        <v>1.0599611998056304</v>
      </c>
      <c r="M91" s="54">
        <f t="shared" si="35"/>
        <v>5055188.6700000009</v>
      </c>
      <c r="N91" s="54">
        <f t="shared" si="34"/>
        <v>4935740.4978999998</v>
      </c>
      <c r="O91" s="55">
        <f t="shared" ref="O91" si="37">M91/N91</f>
        <v>1.0242006588779986</v>
      </c>
    </row>
  </sheetData>
  <mergeCells count="24">
    <mergeCell ref="C76:O76"/>
    <mergeCell ref="D77:F77"/>
    <mergeCell ref="G77:I77"/>
    <mergeCell ref="J77:L77"/>
    <mergeCell ref="M77:O77"/>
    <mergeCell ref="D59:F59"/>
    <mergeCell ref="AN49:AQ49"/>
    <mergeCell ref="AO50:AQ50"/>
    <mergeCell ref="G59:I59"/>
    <mergeCell ref="M59:O59"/>
    <mergeCell ref="J59:L59"/>
    <mergeCell ref="C58:O58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H41"/>
  <sheetViews>
    <sheetView workbookViewId="0">
      <selection activeCell="D33" sqref="D33"/>
    </sheetView>
  </sheetViews>
  <sheetFormatPr defaultRowHeight="15" x14ac:dyDescent="0.2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47.25" x14ac:dyDescent="0.25">
      <c r="A4" s="70" t="s">
        <v>69</v>
      </c>
      <c r="B4" s="71" t="s">
        <v>70</v>
      </c>
      <c r="C4" s="71" t="s">
        <v>71</v>
      </c>
      <c r="D4" s="72" t="s">
        <v>4</v>
      </c>
      <c r="E4" s="73" t="s">
        <v>72</v>
      </c>
      <c r="F4" s="60"/>
      <c r="G4" s="60"/>
      <c r="H4" s="60"/>
    </row>
    <row r="5" spans="1:8" x14ac:dyDescent="0.25">
      <c r="A5" s="1" t="s">
        <v>35</v>
      </c>
      <c r="B5" s="1">
        <v>1</v>
      </c>
      <c r="C5" s="1">
        <f>2024</f>
        <v>2024</v>
      </c>
      <c r="D5" s="104">
        <v>173872.6</v>
      </c>
      <c r="E5" s="80"/>
    </row>
    <row r="6" spans="1:8" x14ac:dyDescent="0.25">
      <c r="A6" s="1" t="s">
        <v>35</v>
      </c>
      <c r="B6" s="1">
        <v>2</v>
      </c>
      <c r="C6" s="1">
        <f>2024</f>
        <v>2024</v>
      </c>
      <c r="D6" s="104">
        <v>223465.4</v>
      </c>
      <c r="E6" s="81"/>
    </row>
    <row r="7" spans="1:8" x14ac:dyDescent="0.25">
      <c r="A7" s="1" t="s">
        <v>35</v>
      </c>
      <c r="B7" s="1">
        <v>3</v>
      </c>
      <c r="C7" s="1">
        <f>2024</f>
        <v>2024</v>
      </c>
      <c r="D7" s="104">
        <v>344525.3</v>
      </c>
      <c r="E7" s="81"/>
    </row>
    <row r="8" spans="1:8" x14ac:dyDescent="0.25">
      <c r="A8" s="1" t="s">
        <v>35</v>
      </c>
      <c r="B8" s="1">
        <v>4</v>
      </c>
      <c r="C8" s="1">
        <f>2024</f>
        <v>2024</v>
      </c>
      <c r="D8" s="104">
        <v>439674.5</v>
      </c>
      <c r="E8" s="81"/>
    </row>
    <row r="9" spans="1:8" x14ac:dyDescent="0.25">
      <c r="A9" s="1" t="s">
        <v>35</v>
      </c>
      <c r="B9" s="1">
        <v>5</v>
      </c>
      <c r="C9" s="1">
        <f>2024</f>
        <v>2024</v>
      </c>
      <c r="D9" s="104">
        <v>455091.20000000001</v>
      </c>
      <c r="E9" s="81"/>
    </row>
    <row r="10" spans="1:8" x14ac:dyDescent="0.25">
      <c r="A10" s="1" t="s">
        <v>35</v>
      </c>
      <c r="B10" s="1">
        <v>6</v>
      </c>
      <c r="C10" s="1">
        <f>2024</f>
        <v>2024</v>
      </c>
      <c r="D10" s="104">
        <v>491177.6</v>
      </c>
      <c r="E10" s="81"/>
    </row>
    <row r="11" spans="1:8" x14ac:dyDescent="0.25">
      <c r="A11" s="1" t="s">
        <v>35</v>
      </c>
      <c r="B11" s="1">
        <v>7</v>
      </c>
      <c r="C11" s="1">
        <f>2024</f>
        <v>2024</v>
      </c>
      <c r="D11" s="104">
        <v>524395</v>
      </c>
      <c r="E11" s="81"/>
    </row>
    <row r="12" spans="1:8" x14ac:dyDescent="0.25">
      <c r="A12" s="1" t="s">
        <v>35</v>
      </c>
      <c r="B12" s="1">
        <v>8</v>
      </c>
      <c r="C12" s="1">
        <f>2024</f>
        <v>2024</v>
      </c>
      <c r="D12" s="104">
        <v>488163.4</v>
      </c>
      <c r="E12" s="81"/>
    </row>
    <row r="13" spans="1:8" x14ac:dyDescent="0.25">
      <c r="A13" s="1" t="s">
        <v>35</v>
      </c>
      <c r="B13" s="1">
        <v>9</v>
      </c>
      <c r="C13" s="1">
        <f>2024</f>
        <v>2024</v>
      </c>
      <c r="D13" s="104">
        <v>412507.2</v>
      </c>
      <c r="E13" s="81"/>
    </row>
    <row r="14" spans="1:8" x14ac:dyDescent="0.25">
      <c r="A14" s="1" t="s">
        <v>35</v>
      </c>
      <c r="B14" s="1">
        <v>10</v>
      </c>
      <c r="C14" s="1">
        <f>2024</f>
        <v>2024</v>
      </c>
      <c r="D14" s="104">
        <v>292225.09999999998</v>
      </c>
      <c r="E14" s="81"/>
    </row>
    <row r="15" spans="1:8" x14ac:dyDescent="0.25">
      <c r="A15" s="1" t="s">
        <v>35</v>
      </c>
      <c r="B15" s="1">
        <v>11</v>
      </c>
      <c r="C15" s="1">
        <f>2024</f>
        <v>2024</v>
      </c>
      <c r="D15" s="104">
        <v>204482.1</v>
      </c>
      <c r="E15" s="81"/>
    </row>
    <row r="16" spans="1:8" x14ac:dyDescent="0.25">
      <c r="A16" s="1" t="s">
        <v>35</v>
      </c>
      <c r="B16" s="1">
        <v>12</v>
      </c>
      <c r="C16" s="1">
        <f>2024</f>
        <v>2024</v>
      </c>
      <c r="D16" s="104">
        <v>160442.79999999999</v>
      </c>
      <c r="E16" s="82"/>
    </row>
    <row r="17" spans="1:6" x14ac:dyDescent="0.25">
      <c r="A17" s="1" t="s">
        <v>22</v>
      </c>
      <c r="B17" s="1">
        <v>1</v>
      </c>
      <c r="C17" s="1">
        <f>2024</f>
        <v>2024</v>
      </c>
      <c r="D17" s="104">
        <v>148923.29999999999</v>
      </c>
      <c r="E17" s="81"/>
      <c r="F17" s="89"/>
    </row>
    <row r="18" spans="1:6" x14ac:dyDescent="0.25">
      <c r="A18" s="1" t="s">
        <v>22</v>
      </c>
      <c r="B18" s="1">
        <v>2</v>
      </c>
      <c r="C18" s="1">
        <f>2024</f>
        <v>2024</v>
      </c>
      <c r="D18" s="104">
        <v>218895</v>
      </c>
      <c r="E18" s="81"/>
      <c r="F18" s="89"/>
    </row>
    <row r="19" spans="1:6" x14ac:dyDescent="0.25">
      <c r="A19" s="1" t="s">
        <v>22</v>
      </c>
      <c r="B19" s="1">
        <v>3</v>
      </c>
      <c r="C19" s="1">
        <f>2024</f>
        <v>2024</v>
      </c>
      <c r="D19" s="104">
        <v>315967.90000000002</v>
      </c>
      <c r="E19" s="81"/>
      <c r="F19" s="89"/>
    </row>
    <row r="20" spans="1:6" x14ac:dyDescent="0.25">
      <c r="A20" s="1" t="s">
        <v>22</v>
      </c>
      <c r="B20" s="1">
        <v>4</v>
      </c>
      <c r="C20" s="1">
        <f>2024</f>
        <v>2024</v>
      </c>
      <c r="D20" s="104">
        <v>391436.4</v>
      </c>
      <c r="E20" s="81"/>
      <c r="F20" s="89"/>
    </row>
    <row r="21" spans="1:6" x14ac:dyDescent="0.25">
      <c r="A21" s="1" t="s">
        <v>22</v>
      </c>
      <c r="B21" s="1">
        <v>5</v>
      </c>
      <c r="C21" s="1">
        <f>2024</f>
        <v>2024</v>
      </c>
      <c r="D21" s="104">
        <v>412289</v>
      </c>
      <c r="E21" s="81"/>
      <c r="F21" s="89"/>
    </row>
    <row r="22" spans="1:6" x14ac:dyDescent="0.25">
      <c r="A22" s="1" t="s">
        <v>22</v>
      </c>
      <c r="B22" s="1">
        <v>6</v>
      </c>
      <c r="C22" s="1">
        <f>2024</f>
        <v>2024</v>
      </c>
      <c r="D22" s="104">
        <v>441106.2</v>
      </c>
      <c r="E22" s="81"/>
      <c r="F22" s="89"/>
    </row>
    <row r="23" spans="1:6" x14ac:dyDescent="0.25">
      <c r="A23" s="1" t="s">
        <v>22</v>
      </c>
      <c r="B23" s="1">
        <v>7</v>
      </c>
      <c r="C23" s="1">
        <f>2024</f>
        <v>2024</v>
      </c>
      <c r="D23" s="104">
        <v>465962.5</v>
      </c>
      <c r="E23" s="81"/>
      <c r="F23" s="89"/>
    </row>
    <row r="24" spans="1:6" x14ac:dyDescent="0.25">
      <c r="A24" s="1" t="s">
        <v>22</v>
      </c>
      <c r="B24" s="1">
        <v>8</v>
      </c>
      <c r="C24" s="1">
        <f>2024</f>
        <v>2024</v>
      </c>
      <c r="D24" s="104">
        <v>429405.9</v>
      </c>
      <c r="E24" s="81"/>
      <c r="F24" s="89"/>
    </row>
    <row r="25" spans="1:6" x14ac:dyDescent="0.25">
      <c r="A25" s="1" t="s">
        <v>22</v>
      </c>
      <c r="B25" s="1">
        <v>9</v>
      </c>
      <c r="C25" s="1">
        <f>2024</f>
        <v>2024</v>
      </c>
      <c r="D25" s="104">
        <v>359589.8</v>
      </c>
      <c r="E25" s="81"/>
      <c r="F25" s="89"/>
    </row>
    <row r="26" spans="1:6" x14ac:dyDescent="0.25">
      <c r="A26" s="1" t="s">
        <v>22</v>
      </c>
      <c r="B26" s="1">
        <v>10</v>
      </c>
      <c r="C26" s="1">
        <f>2024</f>
        <v>2024</v>
      </c>
      <c r="D26" s="104">
        <v>287672</v>
      </c>
      <c r="E26" s="81"/>
      <c r="F26" s="89"/>
    </row>
    <row r="27" spans="1:6" x14ac:dyDescent="0.25">
      <c r="A27" s="1" t="s">
        <v>22</v>
      </c>
      <c r="B27" s="1">
        <v>11</v>
      </c>
      <c r="C27" s="1">
        <f>2024</f>
        <v>2024</v>
      </c>
      <c r="D27" s="104">
        <v>186483.9</v>
      </c>
      <c r="E27" s="81"/>
      <c r="F27" s="89"/>
    </row>
    <row r="28" spans="1:6" x14ac:dyDescent="0.25">
      <c r="A28" s="153" t="s">
        <v>22</v>
      </c>
      <c r="B28" s="153">
        <v>12</v>
      </c>
      <c r="C28" s="1">
        <f>2024</f>
        <v>2024</v>
      </c>
      <c r="D28" s="154">
        <v>140863.4</v>
      </c>
      <c r="E28" s="82"/>
      <c r="F28" s="89"/>
    </row>
    <row r="29" spans="1:6" x14ac:dyDescent="0.25">
      <c r="A29" s="150" t="s">
        <v>36</v>
      </c>
      <c r="B29" s="150">
        <v>1</v>
      </c>
      <c r="C29" s="1">
        <f>2024</f>
        <v>2024</v>
      </c>
      <c r="D29" s="136">
        <v>359065</v>
      </c>
      <c r="E29" s="81"/>
    </row>
    <row r="30" spans="1:6" x14ac:dyDescent="0.25">
      <c r="A30" s="150" t="s">
        <v>36</v>
      </c>
      <c r="B30" s="150">
        <v>2</v>
      </c>
      <c r="C30" s="1">
        <f>2024</f>
        <v>2024</v>
      </c>
      <c r="D30" s="136">
        <v>341764</v>
      </c>
      <c r="E30" s="81"/>
    </row>
    <row r="31" spans="1:6" x14ac:dyDescent="0.25">
      <c r="A31" s="150" t="s">
        <v>36</v>
      </c>
      <c r="B31" s="150">
        <v>3</v>
      </c>
      <c r="C31" s="1">
        <f>2024</f>
        <v>2024</v>
      </c>
      <c r="D31" s="136">
        <v>409489</v>
      </c>
      <c r="E31" s="81"/>
    </row>
    <row r="32" spans="1:6" x14ac:dyDescent="0.25">
      <c r="A32" s="150" t="s">
        <v>36</v>
      </c>
      <c r="B32" s="150">
        <v>4</v>
      </c>
      <c r="C32" s="1">
        <f>2024</f>
        <v>2024</v>
      </c>
      <c r="D32" s="136">
        <v>426854</v>
      </c>
      <c r="E32" s="81"/>
    </row>
    <row r="33" spans="1:5" x14ac:dyDescent="0.25">
      <c r="A33" s="150" t="s">
        <v>36</v>
      </c>
      <c r="B33" s="150">
        <v>5</v>
      </c>
      <c r="C33" s="1">
        <f>2024</f>
        <v>2024</v>
      </c>
      <c r="D33" s="136">
        <v>491560</v>
      </c>
      <c r="E33" s="81"/>
    </row>
    <row r="34" spans="1:5" x14ac:dyDescent="0.25">
      <c r="A34" s="150" t="s">
        <v>36</v>
      </c>
      <c r="B34" s="150">
        <v>6</v>
      </c>
      <c r="C34" s="1">
        <f>2024</f>
        <v>2024</v>
      </c>
      <c r="D34" s="136">
        <v>511081</v>
      </c>
      <c r="E34" s="81"/>
    </row>
    <row r="35" spans="1:5" x14ac:dyDescent="0.25">
      <c r="A35" s="150" t="s">
        <v>36</v>
      </c>
      <c r="B35" s="150">
        <v>7</v>
      </c>
      <c r="C35" s="1">
        <f>2024</f>
        <v>2024</v>
      </c>
      <c r="D35" s="151">
        <v>528500</v>
      </c>
      <c r="E35" s="81"/>
    </row>
    <row r="36" spans="1:5" x14ac:dyDescent="0.25">
      <c r="A36" s="150" t="s">
        <v>36</v>
      </c>
      <c r="B36" s="150">
        <v>8</v>
      </c>
      <c r="C36" s="1">
        <f>2024</f>
        <v>2024</v>
      </c>
      <c r="D36" s="136">
        <v>491649</v>
      </c>
      <c r="E36" s="81"/>
    </row>
    <row r="37" spans="1:5" x14ac:dyDescent="0.25">
      <c r="A37" s="150" t="s">
        <v>36</v>
      </c>
      <c r="B37" s="150">
        <v>9</v>
      </c>
      <c r="C37" s="1">
        <f>2024</f>
        <v>2024</v>
      </c>
      <c r="D37" s="136">
        <v>422985</v>
      </c>
      <c r="E37" s="81"/>
    </row>
    <row r="38" spans="1:5" x14ac:dyDescent="0.25">
      <c r="A38" s="150" t="s">
        <v>36</v>
      </c>
      <c r="B38" s="150">
        <v>10</v>
      </c>
      <c r="C38" s="1">
        <f>2024</f>
        <v>2024</v>
      </c>
      <c r="D38" s="136">
        <v>426835</v>
      </c>
      <c r="E38" s="81"/>
    </row>
    <row r="39" spans="1:5" x14ac:dyDescent="0.25">
      <c r="A39" s="150" t="s">
        <v>36</v>
      </c>
      <c r="B39" s="150">
        <v>11</v>
      </c>
      <c r="C39" s="1">
        <f>2024</f>
        <v>2024</v>
      </c>
      <c r="D39" s="136">
        <v>378158</v>
      </c>
      <c r="E39" s="81"/>
    </row>
    <row r="40" spans="1:5" x14ac:dyDescent="0.25">
      <c r="A40" s="150" t="s">
        <v>36</v>
      </c>
      <c r="B40" s="150">
        <v>12</v>
      </c>
      <c r="C40" s="1">
        <f>2024</f>
        <v>2024</v>
      </c>
      <c r="D40" s="152">
        <v>357864</v>
      </c>
      <c r="E40" s="82"/>
    </row>
    <row r="41" spans="1:5" x14ac:dyDescent="0.2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99"/>
  <sheetViews>
    <sheetView topLeftCell="A79" workbookViewId="0">
      <selection activeCell="C87" sqref="C87"/>
    </sheetView>
  </sheetViews>
  <sheetFormatPr defaultRowHeight="15" x14ac:dyDescent="0.2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 x14ac:dyDescent="0.25">
      <c r="A1" s="33" t="s">
        <v>73</v>
      </c>
      <c r="B1" s="17" t="s">
        <v>74</v>
      </c>
      <c r="C1" s="17" t="s">
        <v>75</v>
      </c>
      <c r="D1" s="32"/>
      <c r="H1" s="180" t="s">
        <v>76</v>
      </c>
      <c r="I1" s="180"/>
      <c r="J1" s="180"/>
      <c r="K1" s="180"/>
      <c r="L1" s="180"/>
      <c r="M1" s="180"/>
      <c r="N1" s="180"/>
      <c r="O1" s="180"/>
      <c r="Q1" s="32" t="s">
        <v>77</v>
      </c>
    </row>
    <row r="2" spans="1:17" x14ac:dyDescent="0.25">
      <c r="A2" s="33" t="s">
        <v>78</v>
      </c>
      <c r="B2" s="34" t="s">
        <v>79</v>
      </c>
      <c r="C2" s="34" t="s">
        <v>80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 x14ac:dyDescent="0.25">
      <c r="A3" s="35">
        <v>42005</v>
      </c>
      <c r="B3" s="19">
        <v>430600</v>
      </c>
      <c r="C3" s="19">
        <v>88900</v>
      </c>
      <c r="D3" s="32"/>
      <c r="F3" s="27"/>
      <c r="G3" t="s">
        <v>40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 x14ac:dyDescent="0.25">
      <c r="A4" s="35">
        <v>42036</v>
      </c>
      <c r="B4" s="19">
        <v>472000</v>
      </c>
      <c r="C4" s="19">
        <v>99800</v>
      </c>
      <c r="D4" s="32"/>
      <c r="F4" s="27"/>
      <c r="G4" t="s">
        <v>41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 x14ac:dyDescent="0.25">
      <c r="A5" s="36">
        <v>42064</v>
      </c>
      <c r="B5" s="25">
        <v>637500</v>
      </c>
      <c r="C5" s="25">
        <v>138300</v>
      </c>
      <c r="D5" s="37" t="s">
        <v>81</v>
      </c>
      <c r="F5" s="19"/>
      <c r="G5" t="s">
        <v>82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 x14ac:dyDescent="0.25">
      <c r="A6" s="35">
        <v>42095</v>
      </c>
      <c r="B6" s="19">
        <v>719700</v>
      </c>
      <c r="C6" s="19">
        <v>158700</v>
      </c>
      <c r="D6" s="32"/>
      <c r="F6" s="19"/>
      <c r="G6" t="s">
        <v>43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 x14ac:dyDescent="0.25">
      <c r="A7" s="35">
        <v>42125</v>
      </c>
      <c r="B7" s="19">
        <v>729800</v>
      </c>
      <c r="C7" s="19">
        <v>162100</v>
      </c>
      <c r="D7" s="32"/>
      <c r="F7" s="19"/>
      <c r="G7" t="s">
        <v>44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 x14ac:dyDescent="0.25">
      <c r="A8" s="35">
        <v>42156</v>
      </c>
      <c r="B8" s="19">
        <v>764800</v>
      </c>
      <c r="C8" s="19">
        <v>172600</v>
      </c>
      <c r="D8" s="32"/>
      <c r="F8" s="19"/>
      <c r="G8" t="s">
        <v>45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 x14ac:dyDescent="0.25">
      <c r="A9" s="35">
        <v>42186</v>
      </c>
      <c r="B9" s="19">
        <v>773600</v>
      </c>
      <c r="C9" s="19">
        <v>175600</v>
      </c>
      <c r="D9" s="32"/>
      <c r="F9" s="19"/>
      <c r="G9" t="s">
        <v>46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 x14ac:dyDescent="0.25">
      <c r="A10" s="35">
        <v>42217</v>
      </c>
      <c r="B10" s="19">
        <v>753100</v>
      </c>
      <c r="C10" s="19">
        <v>170100</v>
      </c>
      <c r="D10" s="32"/>
      <c r="F10" s="19"/>
      <c r="G10" t="s">
        <v>47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 x14ac:dyDescent="0.25">
      <c r="A11" s="35">
        <v>42248</v>
      </c>
      <c r="B11" s="19">
        <v>622300</v>
      </c>
      <c r="C11" s="19">
        <v>138000</v>
      </c>
      <c r="D11" s="32"/>
      <c r="F11" s="19"/>
      <c r="G11" t="s">
        <v>48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 x14ac:dyDescent="0.25">
      <c r="A12" s="35">
        <v>42278</v>
      </c>
      <c r="B12" s="19">
        <v>572800</v>
      </c>
      <c r="C12" s="19">
        <v>124400</v>
      </c>
      <c r="D12" s="32"/>
      <c r="F12" s="19"/>
      <c r="G12" t="s">
        <v>49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 x14ac:dyDescent="0.25">
      <c r="A13" s="35">
        <v>42309</v>
      </c>
      <c r="B13" s="19">
        <v>413200</v>
      </c>
      <c r="C13" s="19">
        <v>88700</v>
      </c>
      <c r="D13" s="32"/>
      <c r="F13" s="27"/>
      <c r="G13" t="s">
        <v>50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 x14ac:dyDescent="0.25">
      <c r="A14" s="35">
        <v>42339</v>
      </c>
      <c r="B14" s="19">
        <v>420700</v>
      </c>
      <c r="C14" s="19">
        <v>88000</v>
      </c>
      <c r="D14" s="32"/>
      <c r="F14" s="27"/>
      <c r="G14" t="s">
        <v>51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 x14ac:dyDescent="0.25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 x14ac:dyDescent="0.25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 x14ac:dyDescent="0.25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 x14ac:dyDescent="0.25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 x14ac:dyDescent="0.25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 x14ac:dyDescent="0.25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 x14ac:dyDescent="0.25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 x14ac:dyDescent="0.25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 x14ac:dyDescent="0.25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 x14ac:dyDescent="0.25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 x14ac:dyDescent="0.25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 x14ac:dyDescent="0.25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 x14ac:dyDescent="0.25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 x14ac:dyDescent="0.25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 x14ac:dyDescent="0.25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 x14ac:dyDescent="0.25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 x14ac:dyDescent="0.25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 x14ac:dyDescent="0.25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 x14ac:dyDescent="0.25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 x14ac:dyDescent="0.25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 x14ac:dyDescent="0.25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 x14ac:dyDescent="0.25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 x14ac:dyDescent="0.25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 x14ac:dyDescent="0.25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 x14ac:dyDescent="0.25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 x14ac:dyDescent="0.25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 x14ac:dyDescent="0.25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 x14ac:dyDescent="0.25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 x14ac:dyDescent="0.25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 x14ac:dyDescent="0.25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 x14ac:dyDescent="0.25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 x14ac:dyDescent="0.25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 x14ac:dyDescent="0.25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 x14ac:dyDescent="0.25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 x14ac:dyDescent="0.25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 x14ac:dyDescent="0.25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 x14ac:dyDescent="0.25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 x14ac:dyDescent="0.25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 x14ac:dyDescent="0.25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 x14ac:dyDescent="0.25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 x14ac:dyDescent="0.25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 x14ac:dyDescent="0.25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 x14ac:dyDescent="0.25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 x14ac:dyDescent="0.25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 x14ac:dyDescent="0.25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 x14ac:dyDescent="0.25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 x14ac:dyDescent="0.25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 x14ac:dyDescent="0.25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 x14ac:dyDescent="0.25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 x14ac:dyDescent="0.25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 x14ac:dyDescent="0.25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 x14ac:dyDescent="0.25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 x14ac:dyDescent="0.25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 x14ac:dyDescent="0.25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 x14ac:dyDescent="0.25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 x14ac:dyDescent="0.25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 x14ac:dyDescent="0.25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 x14ac:dyDescent="0.25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 x14ac:dyDescent="0.25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 x14ac:dyDescent="0.25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 x14ac:dyDescent="0.25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 x14ac:dyDescent="0.25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 x14ac:dyDescent="0.25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 x14ac:dyDescent="0.25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 x14ac:dyDescent="0.25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 x14ac:dyDescent="0.25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 x14ac:dyDescent="0.25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 x14ac:dyDescent="0.25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 x14ac:dyDescent="0.25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 x14ac:dyDescent="0.25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 x14ac:dyDescent="0.25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 x14ac:dyDescent="0.25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 x14ac:dyDescent="0.25">
      <c r="A87" s="36">
        <v>44562</v>
      </c>
      <c r="B87" s="25">
        <v>417842.40252880804</v>
      </c>
      <c r="C87" s="25">
        <v>99200</v>
      </c>
      <c r="G87" s="26"/>
      <c r="I87" s="27"/>
    </row>
    <row r="88" spans="1:9" x14ac:dyDescent="0.25">
      <c r="A88" s="36">
        <v>44593</v>
      </c>
      <c r="B88" s="25">
        <v>458015.82441615738</v>
      </c>
      <c r="C88" s="25">
        <v>108300</v>
      </c>
      <c r="G88" s="26"/>
      <c r="I88" s="27"/>
    </row>
    <row r="89" spans="1:9" x14ac:dyDescent="0.25">
      <c r="A89" s="36">
        <v>44621</v>
      </c>
      <c r="B89" s="25">
        <v>615519.41234104626</v>
      </c>
      <c r="C89" s="25">
        <v>150000</v>
      </c>
      <c r="G89" s="26"/>
      <c r="I89" s="27"/>
    </row>
    <row r="90" spans="1:9" x14ac:dyDescent="0.25">
      <c r="A90" s="36">
        <v>44652</v>
      </c>
      <c r="B90" s="25">
        <v>694885.20950878575</v>
      </c>
      <c r="C90" s="25">
        <v>171200</v>
      </c>
      <c r="G90" s="26"/>
      <c r="I90" s="27"/>
    </row>
    <row r="91" spans="1:9" x14ac:dyDescent="0.25">
      <c r="A91" s="36">
        <v>44682</v>
      </c>
      <c r="B91" s="25">
        <v>704636.96804156166</v>
      </c>
      <c r="C91" s="25">
        <v>174100</v>
      </c>
      <c r="G91" s="26"/>
      <c r="I91" s="27"/>
    </row>
    <row r="92" spans="1:9" x14ac:dyDescent="0.25">
      <c r="A92" s="36">
        <v>44713</v>
      </c>
      <c r="B92" s="25">
        <v>738430.1906798936</v>
      </c>
      <c r="C92" s="25">
        <v>182400</v>
      </c>
      <c r="G92" s="26"/>
      <c r="I92" s="27"/>
    </row>
    <row r="93" spans="1:9" x14ac:dyDescent="0.25">
      <c r="A93" s="36">
        <v>44743</v>
      </c>
      <c r="B93" s="25">
        <v>746926.77237181691</v>
      </c>
      <c r="C93" s="25">
        <v>185100</v>
      </c>
      <c r="G93" s="26"/>
      <c r="I93" s="27"/>
    </row>
    <row r="94" spans="1:9" x14ac:dyDescent="0.25">
      <c r="A94" s="36">
        <v>44774</v>
      </c>
      <c r="B94" s="25">
        <v>727133.59911222255</v>
      </c>
      <c r="C94" s="25">
        <v>178400</v>
      </c>
      <c r="G94" s="26"/>
      <c r="I94" s="27"/>
    </row>
    <row r="95" spans="1:9" x14ac:dyDescent="0.25">
      <c r="A95" s="36">
        <v>44805</v>
      </c>
      <c r="B95" s="25">
        <v>600843.49850954209</v>
      </c>
      <c r="C95" s="25">
        <v>146600</v>
      </c>
      <c r="G95" s="26"/>
      <c r="I95" s="27"/>
    </row>
    <row r="96" spans="1:9" x14ac:dyDescent="0.25">
      <c r="A96" s="36">
        <v>44835</v>
      </c>
      <c r="B96" s="25">
        <v>553050.22649247258</v>
      </c>
      <c r="C96" s="25">
        <v>133800</v>
      </c>
      <c r="G96" s="26"/>
      <c r="I96" s="27"/>
    </row>
    <row r="97" spans="1:9" x14ac:dyDescent="0.25">
      <c r="A97" s="36">
        <v>44866</v>
      </c>
      <c r="B97" s="25">
        <v>398953.13126167894</v>
      </c>
      <c r="C97" s="25">
        <v>96000</v>
      </c>
      <c r="G97" s="26"/>
      <c r="I97" s="27"/>
    </row>
    <row r="98" spans="1:9" x14ac:dyDescent="0.25">
      <c r="A98" s="36">
        <v>44896</v>
      </c>
      <c r="B98" s="25">
        <v>406194.53611275007</v>
      </c>
      <c r="C98" s="25">
        <v>98000</v>
      </c>
      <c r="G98" s="26"/>
      <c r="I98" s="27"/>
    </row>
    <row r="99" spans="1:9" x14ac:dyDescent="0.25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8"/>
  <sheetViews>
    <sheetView workbookViewId="0">
      <selection activeCell="C87" sqref="C87"/>
    </sheetView>
  </sheetViews>
  <sheetFormatPr defaultRowHeight="15" x14ac:dyDescent="0.2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 x14ac:dyDescent="0.25">
      <c r="A1" s="16" t="s">
        <v>73</v>
      </c>
      <c r="B1" s="17" t="s">
        <v>74</v>
      </c>
      <c r="C1" s="17" t="s">
        <v>75</v>
      </c>
      <c r="G1" t="s">
        <v>83</v>
      </c>
      <c r="P1" t="s">
        <v>84</v>
      </c>
    </row>
    <row r="2" spans="1:16" x14ac:dyDescent="0.25">
      <c r="A2" s="16" t="s">
        <v>78</v>
      </c>
      <c r="B2" s="18" t="s">
        <v>79</v>
      </c>
      <c r="C2" s="18" t="s">
        <v>80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 x14ac:dyDescent="0.25">
      <c r="A3" s="15">
        <v>42005</v>
      </c>
      <c r="B3" s="19">
        <v>558000</v>
      </c>
      <c r="C3" s="19">
        <v>89800</v>
      </c>
      <c r="F3" t="s">
        <v>40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 x14ac:dyDescent="0.25">
      <c r="A4" s="15">
        <v>42036</v>
      </c>
      <c r="B4" s="19">
        <v>618000</v>
      </c>
      <c r="C4" s="19">
        <v>100200</v>
      </c>
      <c r="F4" s="26" t="s">
        <v>41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 x14ac:dyDescent="0.25">
      <c r="A5" s="15">
        <v>42064</v>
      </c>
      <c r="B5" s="19">
        <v>832000</v>
      </c>
      <c r="C5" s="19">
        <v>140000</v>
      </c>
      <c r="F5" s="26" t="s">
        <v>82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 x14ac:dyDescent="0.25">
      <c r="A6" s="15">
        <v>42095</v>
      </c>
      <c r="B6" s="19">
        <v>960000</v>
      </c>
      <c r="C6" s="19">
        <v>164500</v>
      </c>
      <c r="F6" s="26" t="s">
        <v>43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 x14ac:dyDescent="0.25">
      <c r="A7" s="15">
        <v>42125</v>
      </c>
      <c r="B7" s="19">
        <v>965000</v>
      </c>
      <c r="C7" s="19">
        <v>166700</v>
      </c>
      <c r="F7" s="26" t="s">
        <v>44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 x14ac:dyDescent="0.25">
      <c r="A8" s="15">
        <v>42156</v>
      </c>
      <c r="B8" s="19">
        <v>1010000</v>
      </c>
      <c r="C8" s="19">
        <v>175600</v>
      </c>
      <c r="F8" s="26" t="s">
        <v>45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 x14ac:dyDescent="0.25">
      <c r="A9" s="15">
        <v>42186</v>
      </c>
      <c r="B9" s="19">
        <v>1006000</v>
      </c>
      <c r="C9" s="19">
        <v>175400</v>
      </c>
      <c r="F9" s="26" t="s">
        <v>46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 x14ac:dyDescent="0.25">
      <c r="A10" s="15">
        <v>42217</v>
      </c>
      <c r="B10" s="19">
        <v>958000</v>
      </c>
      <c r="C10" s="19">
        <v>166400</v>
      </c>
      <c r="F10" s="26" t="s">
        <v>47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 x14ac:dyDescent="0.25">
      <c r="A11" s="15">
        <v>42248</v>
      </c>
      <c r="B11" s="19">
        <v>804000</v>
      </c>
      <c r="C11" s="19">
        <v>138400</v>
      </c>
      <c r="F11" s="26" t="s">
        <v>48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 x14ac:dyDescent="0.25">
      <c r="A12" s="24">
        <v>42278</v>
      </c>
      <c r="B12" s="25">
        <v>772000</v>
      </c>
      <c r="C12" s="25">
        <v>129600</v>
      </c>
      <c r="D12" s="38" t="s">
        <v>85</v>
      </c>
      <c r="F12" s="26" t="s">
        <v>49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 x14ac:dyDescent="0.25">
      <c r="A13" s="15">
        <v>42309</v>
      </c>
      <c r="B13" s="19">
        <v>546000</v>
      </c>
      <c r="C13" s="19">
        <v>90200</v>
      </c>
      <c r="F13" s="26" t="s">
        <v>50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 x14ac:dyDescent="0.25">
      <c r="A14" s="15">
        <v>42339</v>
      </c>
      <c r="B14" s="19">
        <v>546000</v>
      </c>
      <c r="C14" s="19">
        <v>88300</v>
      </c>
      <c r="F14" s="26" t="s">
        <v>51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 x14ac:dyDescent="0.25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 x14ac:dyDescent="0.25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 x14ac:dyDescent="0.25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 x14ac:dyDescent="0.25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 x14ac:dyDescent="0.25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 x14ac:dyDescent="0.25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 x14ac:dyDescent="0.25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 x14ac:dyDescent="0.25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 x14ac:dyDescent="0.25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 x14ac:dyDescent="0.25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 x14ac:dyDescent="0.25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 x14ac:dyDescent="0.25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 x14ac:dyDescent="0.25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 x14ac:dyDescent="0.25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 x14ac:dyDescent="0.25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 x14ac:dyDescent="0.25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 x14ac:dyDescent="0.25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 x14ac:dyDescent="0.25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 x14ac:dyDescent="0.25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 x14ac:dyDescent="0.25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 x14ac:dyDescent="0.25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 x14ac:dyDescent="0.25">
      <c r="A36" s="15">
        <v>43009</v>
      </c>
      <c r="B36" s="19">
        <f>B12*0.99</f>
        <v>764280</v>
      </c>
      <c r="C36" s="19">
        <v>129600</v>
      </c>
      <c r="H36" s="30"/>
    </row>
    <row r="37" spans="1:10" x14ac:dyDescent="0.25">
      <c r="A37" s="15">
        <v>43040</v>
      </c>
      <c r="B37" s="19">
        <f t="shared" ref="B37:B38" si="2">B13*0.99</f>
        <v>540540</v>
      </c>
      <c r="C37" s="19">
        <v>90200</v>
      </c>
    </row>
    <row r="38" spans="1:10" x14ac:dyDescent="0.25">
      <c r="A38" s="15">
        <v>43070</v>
      </c>
      <c r="B38" s="19">
        <f t="shared" si="2"/>
        <v>540540</v>
      </c>
      <c r="C38" s="19">
        <v>88300</v>
      </c>
    </row>
    <row r="39" spans="1:10" x14ac:dyDescent="0.25">
      <c r="A39" s="24">
        <v>43101</v>
      </c>
      <c r="B39" s="25">
        <f>B15*0.99</f>
        <v>552420</v>
      </c>
      <c r="C39" s="25">
        <v>89800</v>
      </c>
    </row>
    <row r="40" spans="1:10" x14ac:dyDescent="0.25">
      <c r="A40" s="24">
        <v>43132</v>
      </c>
      <c r="B40" s="25">
        <f t="shared" ref="B40:B47" si="3">B16*0.99</f>
        <v>611820</v>
      </c>
      <c r="C40" s="25">
        <v>100200</v>
      </c>
    </row>
    <row r="41" spans="1:10" x14ac:dyDescent="0.25">
      <c r="A41" s="24">
        <v>43160</v>
      </c>
      <c r="B41" s="25">
        <f t="shared" si="3"/>
        <v>823680</v>
      </c>
      <c r="C41" s="25">
        <v>140000</v>
      </c>
    </row>
    <row r="42" spans="1:10" x14ac:dyDescent="0.25">
      <c r="A42" s="24">
        <v>43191</v>
      </c>
      <c r="B42" s="25">
        <f t="shared" si="3"/>
        <v>950400</v>
      </c>
      <c r="C42" s="25">
        <v>164500</v>
      </c>
    </row>
    <row r="43" spans="1:10" x14ac:dyDescent="0.25">
      <c r="A43" s="24">
        <v>43221</v>
      </c>
      <c r="B43" s="25">
        <f t="shared" si="3"/>
        <v>955350</v>
      </c>
      <c r="C43" s="25">
        <v>166700</v>
      </c>
    </row>
    <row r="44" spans="1:10" x14ac:dyDescent="0.25">
      <c r="A44" s="24">
        <v>43252</v>
      </c>
      <c r="B44" s="25">
        <f t="shared" si="3"/>
        <v>999900</v>
      </c>
      <c r="C44" s="25">
        <v>175600</v>
      </c>
    </row>
    <row r="45" spans="1:10" x14ac:dyDescent="0.25">
      <c r="A45" s="24">
        <v>43282</v>
      </c>
      <c r="B45" s="25">
        <f t="shared" si="3"/>
        <v>995940</v>
      </c>
      <c r="C45" s="25">
        <v>175400</v>
      </c>
    </row>
    <row r="46" spans="1:10" x14ac:dyDescent="0.25">
      <c r="A46" s="24">
        <v>43313</v>
      </c>
      <c r="B46" s="25">
        <f t="shared" si="3"/>
        <v>948420</v>
      </c>
      <c r="C46" s="25">
        <v>166400</v>
      </c>
    </row>
    <row r="47" spans="1:10" x14ac:dyDescent="0.25">
      <c r="A47" s="24">
        <v>43344</v>
      </c>
      <c r="B47" s="25">
        <f t="shared" si="3"/>
        <v>795960</v>
      </c>
      <c r="C47" s="25">
        <v>138400</v>
      </c>
    </row>
    <row r="48" spans="1:10" x14ac:dyDescent="0.25">
      <c r="A48" s="24">
        <v>43374</v>
      </c>
      <c r="B48" s="25">
        <f>B12*0.985</f>
        <v>760420</v>
      </c>
      <c r="C48" s="25">
        <v>129600</v>
      </c>
    </row>
    <row r="49" spans="1:3" x14ac:dyDescent="0.25">
      <c r="A49" s="24">
        <v>43405</v>
      </c>
      <c r="B49" s="25">
        <f t="shared" ref="B49:B50" si="4">B13*0.985</f>
        <v>537810</v>
      </c>
      <c r="C49" s="25">
        <v>90200</v>
      </c>
    </row>
    <row r="50" spans="1:3" x14ac:dyDescent="0.25">
      <c r="A50" s="24">
        <v>43435</v>
      </c>
      <c r="B50" s="25">
        <f t="shared" si="4"/>
        <v>537810</v>
      </c>
      <c r="C50" s="25">
        <v>88300</v>
      </c>
    </row>
    <row r="51" spans="1:3" x14ac:dyDescent="0.25">
      <c r="A51" s="15">
        <v>43466</v>
      </c>
      <c r="B51" s="19">
        <f>B15*0.985</f>
        <v>549630</v>
      </c>
      <c r="C51" s="19">
        <v>89800</v>
      </c>
    </row>
    <row r="52" spans="1:3" x14ac:dyDescent="0.25">
      <c r="A52" s="15">
        <v>43497</v>
      </c>
      <c r="B52" s="19">
        <f t="shared" ref="B52:B59" si="5">B16*0.985</f>
        <v>608730</v>
      </c>
      <c r="C52" s="19">
        <v>100200</v>
      </c>
    </row>
    <row r="53" spans="1:3" x14ac:dyDescent="0.25">
      <c r="A53" s="15">
        <v>43525</v>
      </c>
      <c r="B53" s="19">
        <f t="shared" si="5"/>
        <v>819520</v>
      </c>
      <c r="C53" s="19">
        <v>140000</v>
      </c>
    </row>
    <row r="54" spans="1:3" x14ac:dyDescent="0.25">
      <c r="A54" s="15">
        <v>43556</v>
      </c>
      <c r="B54" s="19">
        <f t="shared" si="5"/>
        <v>945600</v>
      </c>
      <c r="C54" s="19">
        <v>164500</v>
      </c>
    </row>
    <row r="55" spans="1:3" x14ac:dyDescent="0.25">
      <c r="A55" s="15">
        <v>43586</v>
      </c>
      <c r="B55" s="19">
        <f t="shared" si="5"/>
        <v>950525</v>
      </c>
      <c r="C55" s="19">
        <v>166700</v>
      </c>
    </row>
    <row r="56" spans="1:3" x14ac:dyDescent="0.25">
      <c r="A56" s="15">
        <v>43617</v>
      </c>
      <c r="B56" s="19">
        <f t="shared" si="5"/>
        <v>994850</v>
      </c>
      <c r="C56" s="19">
        <v>175600</v>
      </c>
    </row>
    <row r="57" spans="1:3" x14ac:dyDescent="0.25">
      <c r="A57" s="15">
        <v>43647</v>
      </c>
      <c r="B57" s="19">
        <f t="shared" si="5"/>
        <v>990910</v>
      </c>
      <c r="C57" s="19">
        <v>175400</v>
      </c>
    </row>
    <row r="58" spans="1:3" x14ac:dyDescent="0.25">
      <c r="A58" s="15">
        <v>43678</v>
      </c>
      <c r="B58" s="19">
        <f t="shared" si="5"/>
        <v>943630</v>
      </c>
      <c r="C58" s="19">
        <v>166400</v>
      </c>
    </row>
    <row r="59" spans="1:3" x14ac:dyDescent="0.25">
      <c r="A59" s="15">
        <v>43709</v>
      </c>
      <c r="B59" s="19">
        <f t="shared" si="5"/>
        <v>791940</v>
      </c>
      <c r="C59" s="19">
        <v>138400</v>
      </c>
    </row>
    <row r="60" spans="1:3" x14ac:dyDescent="0.25">
      <c r="A60" s="15">
        <v>43739</v>
      </c>
      <c r="B60" s="19">
        <f>B12*0.98</f>
        <v>756560</v>
      </c>
      <c r="C60" s="19">
        <v>129600</v>
      </c>
    </row>
    <row r="61" spans="1:3" x14ac:dyDescent="0.25">
      <c r="A61" s="15">
        <v>43770</v>
      </c>
      <c r="B61" s="19">
        <f t="shared" ref="B61:B62" si="6">B13*0.98</f>
        <v>535080</v>
      </c>
      <c r="C61" s="19">
        <v>90200</v>
      </c>
    </row>
    <row r="62" spans="1:3" x14ac:dyDescent="0.25">
      <c r="A62" s="15">
        <v>43800</v>
      </c>
      <c r="B62" s="19">
        <f t="shared" si="6"/>
        <v>535080</v>
      </c>
      <c r="C62" s="19">
        <v>88300</v>
      </c>
    </row>
    <row r="63" spans="1:3" x14ac:dyDescent="0.25">
      <c r="A63" s="24">
        <v>43831</v>
      </c>
      <c r="B63" s="25">
        <f>B3*0.98</f>
        <v>546840</v>
      </c>
      <c r="C63" s="25">
        <v>89800</v>
      </c>
    </row>
    <row r="64" spans="1:3" x14ac:dyDescent="0.25">
      <c r="A64" s="24">
        <v>43862</v>
      </c>
      <c r="B64" s="25">
        <f t="shared" ref="B64:B71" si="7">B4*0.98</f>
        <v>605640</v>
      </c>
      <c r="C64" s="25">
        <v>100200</v>
      </c>
    </row>
    <row r="65" spans="1:3" x14ac:dyDescent="0.25">
      <c r="A65" s="24">
        <v>43891</v>
      </c>
      <c r="B65" s="25">
        <f t="shared" si="7"/>
        <v>815360</v>
      </c>
      <c r="C65" s="25">
        <v>140000</v>
      </c>
    </row>
    <row r="66" spans="1:3" x14ac:dyDescent="0.25">
      <c r="A66" s="24">
        <v>43922</v>
      </c>
      <c r="B66" s="25">
        <f t="shared" si="7"/>
        <v>940800</v>
      </c>
      <c r="C66" s="25">
        <v>164500</v>
      </c>
    </row>
    <row r="67" spans="1:3" x14ac:dyDescent="0.25">
      <c r="A67" s="24">
        <v>43952</v>
      </c>
      <c r="B67" s="25">
        <f t="shared" si="7"/>
        <v>945700</v>
      </c>
      <c r="C67" s="25">
        <v>166700</v>
      </c>
    </row>
    <row r="68" spans="1:3" x14ac:dyDescent="0.25">
      <c r="A68" s="24">
        <v>43983</v>
      </c>
      <c r="B68" s="25">
        <f t="shared" si="7"/>
        <v>989800</v>
      </c>
      <c r="C68" s="25">
        <v>175600</v>
      </c>
    </row>
    <row r="69" spans="1:3" x14ac:dyDescent="0.25">
      <c r="A69" s="24">
        <v>44013</v>
      </c>
      <c r="B69" s="25">
        <f t="shared" si="7"/>
        <v>985880</v>
      </c>
      <c r="C69" s="25">
        <v>175400</v>
      </c>
    </row>
    <row r="70" spans="1:3" x14ac:dyDescent="0.25">
      <c r="A70" s="24">
        <v>44044</v>
      </c>
      <c r="B70" s="25">
        <f t="shared" si="7"/>
        <v>938840</v>
      </c>
      <c r="C70" s="25">
        <v>166400</v>
      </c>
    </row>
    <row r="71" spans="1:3" x14ac:dyDescent="0.25">
      <c r="A71" s="24">
        <v>44075</v>
      </c>
      <c r="B71" s="25">
        <f t="shared" si="7"/>
        <v>787920</v>
      </c>
      <c r="C71" s="25">
        <v>138400</v>
      </c>
    </row>
    <row r="72" spans="1:3" x14ac:dyDescent="0.25">
      <c r="A72" s="24">
        <v>44105</v>
      </c>
      <c r="B72" s="25">
        <f>B12*0.975</f>
        <v>752700</v>
      </c>
      <c r="C72" s="25">
        <v>129600</v>
      </c>
    </row>
    <row r="73" spans="1:3" x14ac:dyDescent="0.25">
      <c r="A73" s="24">
        <v>44136</v>
      </c>
      <c r="B73" s="25">
        <f>B13*0.975</f>
        <v>532350</v>
      </c>
      <c r="C73" s="25">
        <v>90200</v>
      </c>
    </row>
    <row r="74" spans="1:3" x14ac:dyDescent="0.25">
      <c r="A74" s="24">
        <v>44166</v>
      </c>
      <c r="B74" s="25">
        <f>B14*0.975</f>
        <v>532350</v>
      </c>
      <c r="C74" s="25">
        <v>88300</v>
      </c>
    </row>
    <row r="75" spans="1:3" x14ac:dyDescent="0.25">
      <c r="A75" s="15">
        <v>44197</v>
      </c>
      <c r="B75" s="19">
        <f>B3*0.975</f>
        <v>544050</v>
      </c>
      <c r="C75" s="19">
        <v>89800</v>
      </c>
    </row>
    <row r="76" spans="1:3" x14ac:dyDescent="0.25">
      <c r="A76" s="15">
        <v>44228</v>
      </c>
      <c r="B76" s="19">
        <f t="shared" ref="B76:B86" si="8">B4*0.975</f>
        <v>602550</v>
      </c>
      <c r="C76" s="19">
        <v>100200</v>
      </c>
    </row>
    <row r="77" spans="1:3" x14ac:dyDescent="0.25">
      <c r="A77" s="15">
        <v>44256</v>
      </c>
      <c r="B77" s="19">
        <f t="shared" si="8"/>
        <v>811200</v>
      </c>
      <c r="C77" s="19">
        <v>140000</v>
      </c>
    </row>
    <row r="78" spans="1:3" x14ac:dyDescent="0.25">
      <c r="A78" s="15">
        <v>44287</v>
      </c>
      <c r="B78" s="19">
        <f t="shared" si="8"/>
        <v>936000</v>
      </c>
      <c r="C78" s="19">
        <v>164500</v>
      </c>
    </row>
    <row r="79" spans="1:3" x14ac:dyDescent="0.25">
      <c r="A79" s="15">
        <v>44317</v>
      </c>
      <c r="B79" s="19">
        <f t="shared" si="8"/>
        <v>940875</v>
      </c>
      <c r="C79" s="19">
        <v>166700</v>
      </c>
    </row>
    <row r="80" spans="1:3" x14ac:dyDescent="0.25">
      <c r="A80" s="15">
        <v>44348</v>
      </c>
      <c r="B80" s="19">
        <f t="shared" si="8"/>
        <v>984750</v>
      </c>
      <c r="C80" s="19">
        <v>175600</v>
      </c>
    </row>
    <row r="81" spans="1:3" x14ac:dyDescent="0.25">
      <c r="A81" s="15">
        <v>44378</v>
      </c>
      <c r="B81" s="19">
        <f t="shared" si="8"/>
        <v>980850</v>
      </c>
      <c r="C81" s="19">
        <v>175400</v>
      </c>
    </row>
    <row r="82" spans="1:3" x14ac:dyDescent="0.25">
      <c r="A82" s="15">
        <v>44409</v>
      </c>
      <c r="B82" s="19">
        <f t="shared" si="8"/>
        <v>934050</v>
      </c>
      <c r="C82" s="19">
        <v>166400</v>
      </c>
    </row>
    <row r="83" spans="1:3" x14ac:dyDescent="0.25">
      <c r="A83" s="15">
        <v>44440</v>
      </c>
      <c r="B83" s="19">
        <f t="shared" si="8"/>
        <v>783900</v>
      </c>
      <c r="C83" s="19">
        <v>138400</v>
      </c>
    </row>
    <row r="84" spans="1:3" x14ac:dyDescent="0.25">
      <c r="A84" s="15">
        <v>44470</v>
      </c>
      <c r="B84" s="19">
        <f t="shared" si="8"/>
        <v>752700</v>
      </c>
      <c r="C84" s="19">
        <v>129600</v>
      </c>
    </row>
    <row r="85" spans="1:3" x14ac:dyDescent="0.25">
      <c r="A85" s="15">
        <v>44501</v>
      </c>
      <c r="B85" s="19">
        <f t="shared" si="8"/>
        <v>532350</v>
      </c>
      <c r="C85" s="19">
        <v>90200</v>
      </c>
    </row>
    <row r="86" spans="1:3" x14ac:dyDescent="0.25">
      <c r="A86" s="15">
        <v>44531</v>
      </c>
      <c r="B86" s="19">
        <f t="shared" si="8"/>
        <v>532350</v>
      </c>
      <c r="C86" s="19">
        <v>88300</v>
      </c>
    </row>
    <row r="87" spans="1:3" x14ac:dyDescent="0.25">
      <c r="A87" s="24">
        <v>44562</v>
      </c>
      <c r="B87" s="25">
        <v>541467.86022079608</v>
      </c>
      <c r="C87" s="25">
        <v>99500</v>
      </c>
    </row>
    <row r="88" spans="1:3" x14ac:dyDescent="0.25">
      <c r="A88" s="24">
        <v>44593</v>
      </c>
      <c r="B88" s="25">
        <v>599690.21078217216</v>
      </c>
      <c r="C88" s="25">
        <v>110300</v>
      </c>
    </row>
    <row r="89" spans="1:3" x14ac:dyDescent="0.25">
      <c r="A89" s="24">
        <v>44621</v>
      </c>
      <c r="B89" s="25">
        <v>807349.9277844131</v>
      </c>
      <c r="C89" s="25">
        <v>152700</v>
      </c>
    </row>
    <row r="90" spans="1:3" x14ac:dyDescent="0.25">
      <c r="A90" s="24">
        <v>44652</v>
      </c>
      <c r="B90" s="25">
        <v>931557.60898201505</v>
      </c>
      <c r="C90" s="25">
        <v>177600</v>
      </c>
    </row>
    <row r="91" spans="1:3" x14ac:dyDescent="0.25">
      <c r="A91" s="24">
        <v>44682</v>
      </c>
      <c r="B91" s="25">
        <v>936409.47152879636</v>
      </c>
      <c r="C91" s="25">
        <v>178000</v>
      </c>
    </row>
    <row r="92" spans="1:3" x14ac:dyDescent="0.25">
      <c r="A92" s="24">
        <v>44713</v>
      </c>
      <c r="B92" s="25">
        <v>980076.23444982816</v>
      </c>
      <c r="C92" s="25">
        <v>186200</v>
      </c>
    </row>
    <row r="93" spans="1:3" x14ac:dyDescent="0.25">
      <c r="A93" s="24">
        <v>44743</v>
      </c>
      <c r="B93" s="25">
        <v>976194.7444124032</v>
      </c>
      <c r="C93" s="25">
        <v>184400</v>
      </c>
    </row>
    <row r="94" spans="1:3" x14ac:dyDescent="0.25">
      <c r="A94" s="24">
        <v>44774</v>
      </c>
      <c r="B94" s="25">
        <v>929616.86396330222</v>
      </c>
      <c r="C94" s="25">
        <v>176400</v>
      </c>
    </row>
    <row r="95" spans="1:3" x14ac:dyDescent="0.25">
      <c r="A95" s="24">
        <v>44805</v>
      </c>
      <c r="B95" s="25">
        <v>780179.49752243748</v>
      </c>
      <c r="C95" s="25">
        <v>147200</v>
      </c>
    </row>
    <row r="96" spans="1:3" x14ac:dyDescent="0.25">
      <c r="A96" s="24">
        <v>44835</v>
      </c>
      <c r="B96" s="25">
        <v>745381.9393369219</v>
      </c>
      <c r="C96" s="25">
        <v>139100</v>
      </c>
    </row>
    <row r="97" spans="1:3" x14ac:dyDescent="0.25">
      <c r="A97" s="24">
        <v>44866</v>
      </c>
      <c r="B97" s="25">
        <v>527174.27315797843</v>
      </c>
      <c r="C97" s="25">
        <v>97900</v>
      </c>
    </row>
    <row r="98" spans="1:3" x14ac:dyDescent="0.25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8"/>
  <sheetViews>
    <sheetView workbookViewId="0">
      <selection activeCell="C87" sqref="C87"/>
    </sheetView>
  </sheetViews>
  <sheetFormatPr defaultRowHeight="15" x14ac:dyDescent="0.2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 x14ac:dyDescent="0.25">
      <c r="A1" s="16" t="s">
        <v>73</v>
      </c>
      <c r="B1" s="17" t="s">
        <v>74</v>
      </c>
      <c r="C1" s="17" t="s">
        <v>75</v>
      </c>
      <c r="G1" s="180" t="s">
        <v>86</v>
      </c>
      <c r="H1" s="180"/>
      <c r="I1" s="180"/>
      <c r="J1" s="180"/>
      <c r="K1" s="180"/>
      <c r="L1" s="180"/>
      <c r="M1" s="180"/>
      <c r="N1" s="180"/>
      <c r="P1" s="32" t="s">
        <v>87</v>
      </c>
    </row>
    <row r="2" spans="1:16" x14ac:dyDescent="0.25">
      <c r="A2" s="16" t="s">
        <v>78</v>
      </c>
      <c r="B2" s="18" t="s">
        <v>79</v>
      </c>
      <c r="C2" s="18" t="s">
        <v>80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25">
      <c r="A3" s="15">
        <v>42005</v>
      </c>
      <c r="B3" s="19">
        <v>596000</v>
      </c>
      <c r="C3" s="19">
        <v>95500</v>
      </c>
      <c r="F3" t="s">
        <v>40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 x14ac:dyDescent="0.25">
      <c r="A4" s="15">
        <v>42036</v>
      </c>
      <c r="B4" s="19">
        <v>602000</v>
      </c>
      <c r="C4" s="19">
        <v>98900</v>
      </c>
      <c r="E4" s="26"/>
      <c r="F4" t="s">
        <v>41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 x14ac:dyDescent="0.25">
      <c r="A5" s="15">
        <v>42064</v>
      </c>
      <c r="B5" s="19">
        <v>866000</v>
      </c>
      <c r="C5" s="19">
        <v>144000</v>
      </c>
      <c r="E5" s="26"/>
      <c r="F5" t="s">
        <v>82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 x14ac:dyDescent="0.25">
      <c r="A6" s="15">
        <v>42095</v>
      </c>
      <c r="B6" s="19">
        <v>967000</v>
      </c>
      <c r="C6" s="19">
        <v>164800</v>
      </c>
      <c r="E6" s="26"/>
      <c r="F6" t="s">
        <v>43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 x14ac:dyDescent="0.25">
      <c r="A7" s="15">
        <v>42125</v>
      </c>
      <c r="B7" s="19">
        <v>1006000</v>
      </c>
      <c r="C7" s="19">
        <v>172700</v>
      </c>
      <c r="E7" s="26"/>
      <c r="F7" t="s">
        <v>44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 x14ac:dyDescent="0.25">
      <c r="A8" s="15">
        <v>42156</v>
      </c>
      <c r="B8" s="19">
        <v>1031000</v>
      </c>
      <c r="C8" s="19">
        <v>178800</v>
      </c>
      <c r="E8" s="26"/>
      <c r="F8" t="s">
        <v>45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 x14ac:dyDescent="0.25">
      <c r="A9" s="15">
        <v>42186</v>
      </c>
      <c r="B9" s="19">
        <v>1045000</v>
      </c>
      <c r="C9" s="19">
        <v>182100</v>
      </c>
      <c r="E9" s="26"/>
      <c r="F9" t="s">
        <v>46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 x14ac:dyDescent="0.25">
      <c r="A10" s="15">
        <v>42217</v>
      </c>
      <c r="B10" s="19">
        <v>967000</v>
      </c>
      <c r="C10" s="19">
        <v>168000</v>
      </c>
      <c r="E10" s="26"/>
      <c r="F10" t="s">
        <v>47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 x14ac:dyDescent="0.25">
      <c r="A11" s="39">
        <v>42248</v>
      </c>
      <c r="B11" s="40">
        <v>845000</v>
      </c>
      <c r="C11" s="40">
        <v>145300</v>
      </c>
      <c r="D11" s="41" t="s">
        <v>88</v>
      </c>
      <c r="E11" s="26"/>
      <c r="F11" t="s">
        <v>48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 x14ac:dyDescent="0.25">
      <c r="A12" s="15">
        <v>42278</v>
      </c>
      <c r="B12" s="19">
        <v>862000</v>
      </c>
      <c r="C12" s="19">
        <v>144600</v>
      </c>
      <c r="E12" s="26"/>
      <c r="F12" t="s">
        <v>49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 x14ac:dyDescent="0.25">
      <c r="A13" s="15">
        <v>42309</v>
      </c>
      <c r="B13" s="19">
        <v>629000</v>
      </c>
      <c r="C13" s="19">
        <v>103400</v>
      </c>
      <c r="E13" s="26"/>
      <c r="F13" t="s">
        <v>50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 x14ac:dyDescent="0.25">
      <c r="A14" s="15">
        <v>42339</v>
      </c>
      <c r="B14" s="19">
        <v>582000</v>
      </c>
      <c r="C14" s="19">
        <v>94000</v>
      </c>
      <c r="E14" s="26"/>
      <c r="F14" t="s">
        <v>51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 x14ac:dyDescent="0.25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 x14ac:dyDescent="0.25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 x14ac:dyDescent="0.25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 x14ac:dyDescent="0.25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 x14ac:dyDescent="0.25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 x14ac:dyDescent="0.25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 x14ac:dyDescent="0.25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 x14ac:dyDescent="0.25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 x14ac:dyDescent="0.25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 x14ac:dyDescent="0.25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 x14ac:dyDescent="0.25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 x14ac:dyDescent="0.25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 x14ac:dyDescent="0.25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 x14ac:dyDescent="0.25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 x14ac:dyDescent="0.25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 x14ac:dyDescent="0.25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 x14ac:dyDescent="0.25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 x14ac:dyDescent="0.25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 x14ac:dyDescent="0.25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 x14ac:dyDescent="0.25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 x14ac:dyDescent="0.25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 x14ac:dyDescent="0.25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 x14ac:dyDescent="0.25">
      <c r="A37" s="15">
        <v>43040</v>
      </c>
      <c r="B37" s="19">
        <f t="shared" si="4"/>
        <v>622710</v>
      </c>
      <c r="C37" s="19">
        <v>103400</v>
      </c>
    </row>
    <row r="38" spans="1:13" x14ac:dyDescent="0.25">
      <c r="A38" s="15">
        <v>43070</v>
      </c>
      <c r="B38" s="19">
        <f t="shared" si="4"/>
        <v>576180</v>
      </c>
      <c r="C38" s="19">
        <v>94000</v>
      </c>
    </row>
    <row r="39" spans="1:13" x14ac:dyDescent="0.25">
      <c r="A39" s="24">
        <v>43101</v>
      </c>
      <c r="B39" s="25">
        <f t="shared" si="4"/>
        <v>590040</v>
      </c>
      <c r="C39" s="25">
        <v>95500</v>
      </c>
    </row>
    <row r="40" spans="1:13" x14ac:dyDescent="0.25">
      <c r="A40" s="24">
        <v>43132</v>
      </c>
      <c r="B40" s="25">
        <f t="shared" si="4"/>
        <v>595980</v>
      </c>
      <c r="C40" s="25">
        <v>98900</v>
      </c>
    </row>
    <row r="41" spans="1:13" x14ac:dyDescent="0.25">
      <c r="A41" s="24">
        <v>43160</v>
      </c>
      <c r="B41" s="25">
        <f t="shared" si="4"/>
        <v>857340</v>
      </c>
      <c r="C41" s="25">
        <v>144000</v>
      </c>
    </row>
    <row r="42" spans="1:13" x14ac:dyDescent="0.25">
      <c r="A42" s="24">
        <v>43191</v>
      </c>
      <c r="B42" s="25">
        <f t="shared" si="4"/>
        <v>957330</v>
      </c>
      <c r="C42" s="25">
        <v>164800</v>
      </c>
    </row>
    <row r="43" spans="1:13" x14ac:dyDescent="0.25">
      <c r="A43" s="24">
        <v>43221</v>
      </c>
      <c r="B43" s="25">
        <f t="shared" si="4"/>
        <v>995940</v>
      </c>
      <c r="C43" s="25">
        <v>172700</v>
      </c>
    </row>
    <row r="44" spans="1:13" x14ac:dyDescent="0.25">
      <c r="A44" s="24">
        <v>43252</v>
      </c>
      <c r="B44" s="25">
        <f t="shared" si="4"/>
        <v>1020690</v>
      </c>
      <c r="C44" s="25">
        <v>178800</v>
      </c>
    </row>
    <row r="45" spans="1:13" x14ac:dyDescent="0.25">
      <c r="A45" s="24">
        <v>43282</v>
      </c>
      <c r="B45" s="25">
        <f t="shared" si="4"/>
        <v>1034550</v>
      </c>
      <c r="C45" s="25">
        <v>182100</v>
      </c>
    </row>
    <row r="46" spans="1:13" x14ac:dyDescent="0.25">
      <c r="A46" s="24">
        <v>43313</v>
      </c>
      <c r="B46" s="25">
        <f t="shared" si="4"/>
        <v>957330</v>
      </c>
      <c r="C46" s="25">
        <v>168000</v>
      </c>
    </row>
    <row r="47" spans="1:13" x14ac:dyDescent="0.25">
      <c r="A47" s="24">
        <v>43344</v>
      </c>
      <c r="B47" s="25">
        <f>B11*0.985</f>
        <v>832325</v>
      </c>
      <c r="C47" s="25">
        <v>145300</v>
      </c>
    </row>
    <row r="48" spans="1:13" x14ac:dyDescent="0.25">
      <c r="A48" s="24">
        <v>43374</v>
      </c>
      <c r="B48" s="25">
        <f t="shared" ref="B48:B50" si="5">B12*0.985</f>
        <v>849070</v>
      </c>
      <c r="C48" s="25">
        <v>144600</v>
      </c>
    </row>
    <row r="49" spans="1:3" x14ac:dyDescent="0.25">
      <c r="A49" s="24">
        <v>43405</v>
      </c>
      <c r="B49" s="25">
        <f t="shared" si="5"/>
        <v>619565</v>
      </c>
      <c r="C49" s="25">
        <v>103400</v>
      </c>
    </row>
    <row r="50" spans="1:3" x14ac:dyDescent="0.25">
      <c r="A50" s="24">
        <v>43435</v>
      </c>
      <c r="B50" s="25">
        <f t="shared" si="5"/>
        <v>573270</v>
      </c>
      <c r="C50" s="25">
        <v>94000</v>
      </c>
    </row>
    <row r="51" spans="1:3" x14ac:dyDescent="0.25">
      <c r="A51" s="15">
        <v>43466</v>
      </c>
      <c r="B51" s="19">
        <f>B3*0.985</f>
        <v>587060</v>
      </c>
      <c r="C51" s="19">
        <v>95500</v>
      </c>
    </row>
    <row r="52" spans="1:3" x14ac:dyDescent="0.25">
      <c r="A52" s="15">
        <v>43497</v>
      </c>
      <c r="B52" s="19">
        <f t="shared" ref="B52:B58" si="6">B4*0.985</f>
        <v>592970</v>
      </c>
      <c r="C52" s="19">
        <v>98900</v>
      </c>
    </row>
    <row r="53" spans="1:3" x14ac:dyDescent="0.25">
      <c r="A53" s="15">
        <v>43525</v>
      </c>
      <c r="B53" s="19">
        <f t="shared" si="6"/>
        <v>853010</v>
      </c>
      <c r="C53" s="19">
        <v>144000</v>
      </c>
    </row>
    <row r="54" spans="1:3" x14ac:dyDescent="0.25">
      <c r="A54" s="15">
        <v>43556</v>
      </c>
      <c r="B54" s="19">
        <f t="shared" si="6"/>
        <v>952495</v>
      </c>
      <c r="C54" s="19">
        <v>164800</v>
      </c>
    </row>
    <row r="55" spans="1:3" x14ac:dyDescent="0.25">
      <c r="A55" s="15">
        <v>43586</v>
      </c>
      <c r="B55" s="19">
        <f t="shared" si="6"/>
        <v>990910</v>
      </c>
      <c r="C55" s="19">
        <v>172700</v>
      </c>
    </row>
    <row r="56" spans="1:3" x14ac:dyDescent="0.25">
      <c r="A56" s="15">
        <v>43617</v>
      </c>
      <c r="B56" s="19">
        <f t="shared" si="6"/>
        <v>1015535</v>
      </c>
      <c r="C56" s="19">
        <v>178800</v>
      </c>
    </row>
    <row r="57" spans="1:3" x14ac:dyDescent="0.25">
      <c r="A57" s="15">
        <v>43647</v>
      </c>
      <c r="B57" s="19">
        <f t="shared" si="6"/>
        <v>1029325</v>
      </c>
      <c r="C57" s="19">
        <v>182100</v>
      </c>
    </row>
    <row r="58" spans="1:3" x14ac:dyDescent="0.25">
      <c r="A58" s="15">
        <v>43678</v>
      </c>
      <c r="B58" s="19">
        <f t="shared" si="6"/>
        <v>952495</v>
      </c>
      <c r="C58" s="19">
        <v>168000</v>
      </c>
    </row>
    <row r="59" spans="1:3" x14ac:dyDescent="0.25">
      <c r="A59" s="15">
        <v>43709</v>
      </c>
      <c r="B59" s="19">
        <f>B11*0.98</f>
        <v>828100</v>
      </c>
      <c r="C59" s="19">
        <v>145300</v>
      </c>
    </row>
    <row r="60" spans="1:3" x14ac:dyDescent="0.25">
      <c r="A60" s="15">
        <v>43739</v>
      </c>
      <c r="B60" s="19">
        <f t="shared" ref="B60:B62" si="7">B12*0.98</f>
        <v>844760</v>
      </c>
      <c r="C60" s="19">
        <v>144600</v>
      </c>
    </row>
    <row r="61" spans="1:3" x14ac:dyDescent="0.25">
      <c r="A61" s="15">
        <v>43770</v>
      </c>
      <c r="B61" s="19">
        <f t="shared" si="7"/>
        <v>616420</v>
      </c>
      <c r="C61" s="19">
        <v>103400</v>
      </c>
    </row>
    <row r="62" spans="1:3" x14ac:dyDescent="0.25">
      <c r="A62" s="15">
        <v>43800</v>
      </c>
      <c r="B62" s="19">
        <f t="shared" si="7"/>
        <v>570360</v>
      </c>
      <c r="C62" s="19">
        <v>94000</v>
      </c>
    </row>
    <row r="63" spans="1:3" x14ac:dyDescent="0.25">
      <c r="A63" s="24">
        <v>43831</v>
      </c>
      <c r="B63" s="25">
        <f>B3*0.98</f>
        <v>584080</v>
      </c>
      <c r="C63" s="25">
        <v>95500</v>
      </c>
    </row>
    <row r="64" spans="1:3" x14ac:dyDescent="0.25">
      <c r="A64" s="24">
        <v>43862</v>
      </c>
      <c r="B64" s="25">
        <f t="shared" ref="B64:B70" si="8">B4*0.98</f>
        <v>589960</v>
      </c>
      <c r="C64" s="25">
        <v>98900</v>
      </c>
    </row>
    <row r="65" spans="1:3" x14ac:dyDescent="0.25">
      <c r="A65" s="24">
        <v>43891</v>
      </c>
      <c r="B65" s="25">
        <f t="shared" si="8"/>
        <v>848680</v>
      </c>
      <c r="C65" s="25">
        <v>144000</v>
      </c>
    </row>
    <row r="66" spans="1:3" x14ac:dyDescent="0.25">
      <c r="A66" s="24">
        <v>43922</v>
      </c>
      <c r="B66" s="25">
        <f t="shared" si="8"/>
        <v>947660</v>
      </c>
      <c r="C66" s="25">
        <v>164800</v>
      </c>
    </row>
    <row r="67" spans="1:3" x14ac:dyDescent="0.25">
      <c r="A67" s="24">
        <v>43952</v>
      </c>
      <c r="B67" s="25">
        <f t="shared" si="8"/>
        <v>985880</v>
      </c>
      <c r="C67" s="25">
        <v>172700</v>
      </c>
    </row>
    <row r="68" spans="1:3" x14ac:dyDescent="0.25">
      <c r="A68" s="24">
        <v>43983</v>
      </c>
      <c r="B68" s="25">
        <f t="shared" si="8"/>
        <v>1010380</v>
      </c>
      <c r="C68" s="25">
        <v>178800</v>
      </c>
    </row>
    <row r="69" spans="1:3" x14ac:dyDescent="0.25">
      <c r="A69" s="24">
        <v>44013</v>
      </c>
      <c r="B69" s="25">
        <f t="shared" si="8"/>
        <v>1024100</v>
      </c>
      <c r="C69" s="25">
        <v>182100</v>
      </c>
    </row>
    <row r="70" spans="1:3" x14ac:dyDescent="0.25">
      <c r="A70" s="24">
        <v>44044</v>
      </c>
      <c r="B70" s="25">
        <f t="shared" si="8"/>
        <v>947660</v>
      </c>
      <c r="C70" s="25">
        <v>168000</v>
      </c>
    </row>
    <row r="71" spans="1:3" x14ac:dyDescent="0.25">
      <c r="A71" s="24">
        <v>44075</v>
      </c>
      <c r="B71" s="25">
        <f>B11*0.975</f>
        <v>823875</v>
      </c>
      <c r="C71" s="25">
        <v>145300</v>
      </c>
    </row>
    <row r="72" spans="1:3" x14ac:dyDescent="0.25">
      <c r="A72" s="24">
        <v>44105</v>
      </c>
      <c r="B72" s="25">
        <f>B12*0.975</f>
        <v>840450</v>
      </c>
      <c r="C72" s="25">
        <v>144600</v>
      </c>
    </row>
    <row r="73" spans="1:3" x14ac:dyDescent="0.25">
      <c r="A73" s="24">
        <v>44136</v>
      </c>
      <c r="B73" s="25">
        <f>B13*0.975</f>
        <v>613275</v>
      </c>
      <c r="C73" s="25">
        <v>103400</v>
      </c>
    </row>
    <row r="74" spans="1:3" x14ac:dyDescent="0.25">
      <c r="A74" s="24">
        <v>44166</v>
      </c>
      <c r="B74" s="25">
        <f>B14*0.975</f>
        <v>567450</v>
      </c>
      <c r="C74" s="25">
        <v>94000</v>
      </c>
    </row>
    <row r="75" spans="1:3" x14ac:dyDescent="0.25">
      <c r="A75" s="15">
        <v>44197</v>
      </c>
      <c r="B75" s="19">
        <f>B3*0.975</f>
        <v>581100</v>
      </c>
      <c r="C75" s="19">
        <v>95500</v>
      </c>
    </row>
    <row r="76" spans="1:3" x14ac:dyDescent="0.25">
      <c r="A76" s="15">
        <v>44228</v>
      </c>
      <c r="B76" s="19">
        <f t="shared" ref="B76:B86" si="9">B4*0.975</f>
        <v>586950</v>
      </c>
      <c r="C76" s="19">
        <v>98900</v>
      </c>
    </row>
    <row r="77" spans="1:3" x14ac:dyDescent="0.25">
      <c r="A77" s="15">
        <v>44256</v>
      </c>
      <c r="B77" s="19">
        <f t="shared" si="9"/>
        <v>844350</v>
      </c>
      <c r="C77" s="19">
        <v>144000</v>
      </c>
    </row>
    <row r="78" spans="1:3" x14ac:dyDescent="0.25">
      <c r="A78" s="15">
        <v>44287</v>
      </c>
      <c r="B78" s="19">
        <f t="shared" si="9"/>
        <v>942825</v>
      </c>
      <c r="C78" s="19">
        <v>164800</v>
      </c>
    </row>
    <row r="79" spans="1:3" x14ac:dyDescent="0.25">
      <c r="A79" s="15">
        <v>44317</v>
      </c>
      <c r="B79" s="19">
        <f t="shared" si="9"/>
        <v>980850</v>
      </c>
      <c r="C79" s="19">
        <v>172700</v>
      </c>
    </row>
    <row r="80" spans="1:3" x14ac:dyDescent="0.25">
      <c r="A80" s="15">
        <v>44348</v>
      </c>
      <c r="B80" s="19">
        <f t="shared" si="9"/>
        <v>1005225</v>
      </c>
      <c r="C80" s="19">
        <v>178800</v>
      </c>
    </row>
    <row r="81" spans="1:3" x14ac:dyDescent="0.25">
      <c r="A81" s="15">
        <v>44378</v>
      </c>
      <c r="B81" s="19">
        <f t="shared" si="9"/>
        <v>1018875</v>
      </c>
      <c r="C81" s="19">
        <v>182100</v>
      </c>
    </row>
    <row r="82" spans="1:3" x14ac:dyDescent="0.25">
      <c r="A82" s="15">
        <v>44409</v>
      </c>
      <c r="B82" s="19">
        <f t="shared" si="9"/>
        <v>942825</v>
      </c>
      <c r="C82" s="19">
        <v>168000</v>
      </c>
    </row>
    <row r="83" spans="1:3" x14ac:dyDescent="0.25">
      <c r="A83" s="15">
        <v>44440</v>
      </c>
      <c r="B83" s="19">
        <f t="shared" si="9"/>
        <v>823875</v>
      </c>
      <c r="C83" s="19">
        <v>145300</v>
      </c>
    </row>
    <row r="84" spans="1:3" x14ac:dyDescent="0.25">
      <c r="A84" s="15">
        <v>44470</v>
      </c>
      <c r="B84" s="19">
        <f t="shared" si="9"/>
        <v>840450</v>
      </c>
      <c r="C84" s="19">
        <v>144600</v>
      </c>
    </row>
    <row r="85" spans="1:3" x14ac:dyDescent="0.25">
      <c r="A85" s="15">
        <v>44501</v>
      </c>
      <c r="B85" s="19">
        <f t="shared" si="9"/>
        <v>613275</v>
      </c>
      <c r="C85" s="19">
        <v>103400</v>
      </c>
    </row>
    <row r="86" spans="1:3" x14ac:dyDescent="0.25">
      <c r="A86" s="15">
        <v>44531</v>
      </c>
      <c r="B86" s="19">
        <f t="shared" si="9"/>
        <v>567450</v>
      </c>
      <c r="C86" s="19">
        <v>94000</v>
      </c>
    </row>
    <row r="87" spans="1:3" x14ac:dyDescent="0.25">
      <c r="A87" s="24">
        <v>44562</v>
      </c>
      <c r="B87" s="25">
        <v>578342.01557633432</v>
      </c>
      <c r="C87" s="25">
        <v>102800</v>
      </c>
    </row>
    <row r="88" spans="1:3" x14ac:dyDescent="0.25">
      <c r="A88" s="24">
        <v>44593</v>
      </c>
      <c r="B88" s="25">
        <v>584164.25063247199</v>
      </c>
      <c r="C88" s="25">
        <v>106600</v>
      </c>
    </row>
    <row r="89" spans="1:3" x14ac:dyDescent="0.25">
      <c r="A89" s="24">
        <v>44621</v>
      </c>
      <c r="B89" s="25">
        <v>840342.59310252615</v>
      </c>
      <c r="C89" s="25">
        <v>156000</v>
      </c>
    </row>
    <row r="90" spans="1:3" x14ac:dyDescent="0.25">
      <c r="A90" s="24">
        <v>44652</v>
      </c>
      <c r="B90" s="25">
        <v>938350.21654750884</v>
      </c>
      <c r="C90" s="25">
        <v>176800</v>
      </c>
    </row>
    <row r="91" spans="1:3" x14ac:dyDescent="0.25">
      <c r="A91" s="24">
        <v>44682</v>
      </c>
      <c r="B91" s="25">
        <v>976194.7444124032</v>
      </c>
      <c r="C91" s="25">
        <v>183300</v>
      </c>
    </row>
    <row r="92" spans="1:3" x14ac:dyDescent="0.25">
      <c r="A92" s="24">
        <v>44713</v>
      </c>
      <c r="B92" s="25">
        <v>1000454.0571463099</v>
      </c>
      <c r="C92" s="25">
        <v>188600</v>
      </c>
    </row>
    <row r="93" spans="1:3" x14ac:dyDescent="0.25">
      <c r="A93" s="24">
        <v>44743</v>
      </c>
      <c r="B93" s="25">
        <v>1014039.2722772976</v>
      </c>
      <c r="C93" s="25">
        <v>189200</v>
      </c>
    </row>
    <row r="94" spans="1:3" x14ac:dyDescent="0.25">
      <c r="A94" s="24">
        <v>44774</v>
      </c>
      <c r="B94" s="25">
        <v>938350.21654750884</v>
      </c>
      <c r="C94" s="25">
        <v>175100</v>
      </c>
    </row>
    <row r="95" spans="1:3" x14ac:dyDescent="0.25">
      <c r="A95" s="24">
        <v>44805</v>
      </c>
      <c r="B95" s="25">
        <v>815864.94655401423</v>
      </c>
      <c r="C95" s="25">
        <v>153100</v>
      </c>
    </row>
    <row r="96" spans="1:3" x14ac:dyDescent="0.25">
      <c r="A96" s="24">
        <v>44835</v>
      </c>
      <c r="B96" s="25">
        <v>832278.79754977557</v>
      </c>
      <c r="C96" s="25">
        <v>153800</v>
      </c>
    </row>
    <row r="97" spans="1:3" x14ac:dyDescent="0.25">
      <c r="A97" s="24">
        <v>44866</v>
      </c>
      <c r="B97" s="25">
        <v>607312.48684316571</v>
      </c>
      <c r="C97" s="25">
        <v>111400</v>
      </c>
    </row>
    <row r="98" spans="1:3" x14ac:dyDescent="0.25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98"/>
  <sheetViews>
    <sheetView workbookViewId="0">
      <selection activeCell="C87" sqref="C87"/>
    </sheetView>
  </sheetViews>
  <sheetFormatPr defaultRowHeight="15" x14ac:dyDescent="0.2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 x14ac:dyDescent="0.25">
      <c r="A1" s="16" t="s">
        <v>73</v>
      </c>
      <c r="B1" s="17" t="s">
        <v>74</v>
      </c>
      <c r="C1" s="17" t="s">
        <v>75</v>
      </c>
      <c r="G1" s="180" t="s">
        <v>89</v>
      </c>
      <c r="H1" s="180"/>
      <c r="I1" s="180"/>
      <c r="J1" s="180"/>
      <c r="K1" s="180"/>
      <c r="L1" s="180"/>
      <c r="M1" s="180"/>
      <c r="N1" s="180"/>
      <c r="P1" s="32" t="s">
        <v>90</v>
      </c>
    </row>
    <row r="2" spans="1:16" x14ac:dyDescent="0.25">
      <c r="A2" s="16" t="s">
        <v>78</v>
      </c>
      <c r="B2" s="18" t="s">
        <v>79</v>
      </c>
      <c r="C2" s="18" t="s">
        <v>80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 x14ac:dyDescent="0.25">
      <c r="A3" s="15">
        <v>42005</v>
      </c>
      <c r="B3" s="19">
        <v>349000</v>
      </c>
      <c r="C3" s="19">
        <v>90100</v>
      </c>
      <c r="E3" s="26"/>
      <c r="F3" t="s">
        <v>40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 x14ac:dyDescent="0.25">
      <c r="A4" s="15">
        <v>42036</v>
      </c>
      <c r="B4" s="19">
        <v>379200</v>
      </c>
      <c r="C4" s="19">
        <v>100800</v>
      </c>
      <c r="E4" s="26"/>
      <c r="F4" t="s">
        <v>41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 x14ac:dyDescent="0.25">
      <c r="A5" s="15">
        <v>42064</v>
      </c>
      <c r="B5" s="19">
        <v>508200</v>
      </c>
      <c r="C5" s="19">
        <v>139500</v>
      </c>
      <c r="E5" s="26"/>
      <c r="F5" t="s">
        <v>82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 x14ac:dyDescent="0.25">
      <c r="A6" s="15">
        <v>42095</v>
      </c>
      <c r="B6" s="19">
        <v>571100</v>
      </c>
      <c r="C6" s="19">
        <v>159800</v>
      </c>
      <c r="E6" s="26"/>
      <c r="F6" t="s">
        <v>43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 x14ac:dyDescent="0.25">
      <c r="A7" s="15">
        <v>42125</v>
      </c>
      <c r="B7" s="19">
        <v>581500</v>
      </c>
      <c r="C7" s="19">
        <v>163300</v>
      </c>
      <c r="E7" s="26"/>
      <c r="F7" t="s">
        <v>44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 x14ac:dyDescent="0.25">
      <c r="A8" s="15">
        <v>42156</v>
      </c>
      <c r="B8" s="19">
        <v>613000</v>
      </c>
      <c r="C8" s="19">
        <v>173900</v>
      </c>
      <c r="E8" s="26"/>
      <c r="F8" t="s">
        <v>45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 x14ac:dyDescent="0.25">
      <c r="A9" s="15">
        <v>42186</v>
      </c>
      <c r="B9" s="19">
        <v>621300</v>
      </c>
      <c r="C9" s="19">
        <v>176800</v>
      </c>
      <c r="E9" s="26"/>
      <c r="F9" t="s">
        <v>46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 x14ac:dyDescent="0.25">
      <c r="A10" s="15">
        <v>42217</v>
      </c>
      <c r="B10" s="19">
        <v>605900</v>
      </c>
      <c r="C10" s="19">
        <v>171400</v>
      </c>
      <c r="E10" s="26"/>
      <c r="F10" t="s">
        <v>47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 x14ac:dyDescent="0.25">
      <c r="A11" s="24">
        <v>42248</v>
      </c>
      <c r="B11" s="25">
        <v>500600</v>
      </c>
      <c r="C11" s="25">
        <v>139100</v>
      </c>
      <c r="D11" s="38" t="s">
        <v>91</v>
      </c>
      <c r="E11" s="26"/>
      <c r="F11" t="s">
        <v>48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 x14ac:dyDescent="0.25">
      <c r="A12" s="15">
        <v>42278</v>
      </c>
      <c r="B12" s="19">
        <v>460400</v>
      </c>
      <c r="C12" s="19">
        <v>125500</v>
      </c>
      <c r="E12" s="26"/>
      <c r="F12" t="s">
        <v>49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 x14ac:dyDescent="0.25">
      <c r="A13" s="15">
        <v>42309</v>
      </c>
      <c r="B13" s="19">
        <v>335300</v>
      </c>
      <c r="C13" s="19">
        <v>89900</v>
      </c>
      <c r="E13" s="26"/>
      <c r="F13" t="s">
        <v>50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 x14ac:dyDescent="0.25">
      <c r="A14" s="15">
        <v>42339</v>
      </c>
      <c r="B14" s="19">
        <v>342700</v>
      </c>
      <c r="C14" s="19">
        <v>89600</v>
      </c>
      <c r="E14" s="26"/>
      <c r="F14" t="s">
        <v>51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 x14ac:dyDescent="0.25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 x14ac:dyDescent="0.25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 x14ac:dyDescent="0.25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 x14ac:dyDescent="0.25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 x14ac:dyDescent="0.25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 x14ac:dyDescent="0.25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 x14ac:dyDescent="0.25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 x14ac:dyDescent="0.25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 x14ac:dyDescent="0.25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 x14ac:dyDescent="0.25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 x14ac:dyDescent="0.25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 x14ac:dyDescent="0.25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 x14ac:dyDescent="0.25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 x14ac:dyDescent="0.25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 x14ac:dyDescent="0.25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 x14ac:dyDescent="0.25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 x14ac:dyDescent="0.25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 x14ac:dyDescent="0.25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 x14ac:dyDescent="0.25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 x14ac:dyDescent="0.25">
      <c r="A34" s="15">
        <v>42948</v>
      </c>
      <c r="B34" s="19">
        <f t="shared" si="3"/>
        <v>602870.5</v>
      </c>
      <c r="C34" s="19">
        <v>171400</v>
      </c>
      <c r="G34" s="27"/>
    </row>
    <row r="35" spans="1:11" x14ac:dyDescent="0.25">
      <c r="A35" s="15">
        <v>42979</v>
      </c>
      <c r="B35" s="19">
        <f>B11*0.99</f>
        <v>495594</v>
      </c>
      <c r="C35" s="19">
        <v>139100</v>
      </c>
    </row>
    <row r="36" spans="1:11" x14ac:dyDescent="0.25">
      <c r="A36" s="15">
        <v>43009</v>
      </c>
      <c r="B36" s="19">
        <f t="shared" ref="B36:B46" si="4">B12*0.99</f>
        <v>455796</v>
      </c>
      <c r="C36" s="19">
        <v>125500</v>
      </c>
    </row>
    <row r="37" spans="1:11" x14ac:dyDescent="0.25">
      <c r="A37" s="15">
        <v>43040</v>
      </c>
      <c r="B37" s="19">
        <f t="shared" si="4"/>
        <v>331947</v>
      </c>
      <c r="C37" s="19">
        <v>89900</v>
      </c>
    </row>
    <row r="38" spans="1:11" x14ac:dyDescent="0.25">
      <c r="A38" s="15">
        <v>43070</v>
      </c>
      <c r="B38" s="19">
        <f t="shared" si="4"/>
        <v>339273</v>
      </c>
      <c r="C38" s="19">
        <v>89600</v>
      </c>
    </row>
    <row r="39" spans="1:11" x14ac:dyDescent="0.25">
      <c r="A39" s="24">
        <v>43101</v>
      </c>
      <c r="B39" s="25">
        <f t="shared" si="4"/>
        <v>345510</v>
      </c>
      <c r="C39" s="25">
        <v>90100</v>
      </c>
    </row>
    <row r="40" spans="1:11" x14ac:dyDescent="0.25">
      <c r="A40" s="24">
        <v>43132</v>
      </c>
      <c r="B40" s="25">
        <f t="shared" si="4"/>
        <v>375408</v>
      </c>
      <c r="C40" s="25">
        <v>100800</v>
      </c>
    </row>
    <row r="41" spans="1:11" x14ac:dyDescent="0.25">
      <c r="A41" s="24">
        <v>43160</v>
      </c>
      <c r="B41" s="25">
        <f t="shared" si="4"/>
        <v>503118</v>
      </c>
      <c r="C41" s="25">
        <v>139500</v>
      </c>
    </row>
    <row r="42" spans="1:11" x14ac:dyDescent="0.25">
      <c r="A42" s="24">
        <v>43191</v>
      </c>
      <c r="B42" s="25">
        <f t="shared" si="4"/>
        <v>565389</v>
      </c>
      <c r="C42" s="25">
        <v>159800</v>
      </c>
    </row>
    <row r="43" spans="1:11" x14ac:dyDescent="0.25">
      <c r="A43" s="24">
        <v>43221</v>
      </c>
      <c r="B43" s="25">
        <f t="shared" si="4"/>
        <v>575685</v>
      </c>
      <c r="C43" s="25">
        <v>163300</v>
      </c>
    </row>
    <row r="44" spans="1:11" x14ac:dyDescent="0.25">
      <c r="A44" s="24">
        <v>43252</v>
      </c>
      <c r="B44" s="25">
        <f t="shared" si="4"/>
        <v>606870</v>
      </c>
      <c r="C44" s="25">
        <v>173900</v>
      </c>
    </row>
    <row r="45" spans="1:11" x14ac:dyDescent="0.25">
      <c r="A45" s="24">
        <v>43282</v>
      </c>
      <c r="B45" s="25">
        <f t="shared" si="4"/>
        <v>615087</v>
      </c>
      <c r="C45" s="25">
        <v>176800</v>
      </c>
    </row>
    <row r="46" spans="1:11" x14ac:dyDescent="0.25">
      <c r="A46" s="24">
        <v>43313</v>
      </c>
      <c r="B46" s="25">
        <f t="shared" si="4"/>
        <v>599841</v>
      </c>
      <c r="C46" s="25">
        <v>171400</v>
      </c>
    </row>
    <row r="47" spans="1:11" x14ac:dyDescent="0.25">
      <c r="A47" s="24">
        <v>43344</v>
      </c>
      <c r="B47" s="25">
        <f>B11*0.985</f>
        <v>493091</v>
      </c>
      <c r="C47" s="25">
        <v>139100</v>
      </c>
    </row>
    <row r="48" spans="1:11" x14ac:dyDescent="0.25">
      <c r="A48" s="24">
        <v>43374</v>
      </c>
      <c r="B48" s="25">
        <f t="shared" ref="B48:B58" si="5">B12*0.985</f>
        <v>453494</v>
      </c>
      <c r="C48" s="25">
        <v>125500</v>
      </c>
    </row>
    <row r="49" spans="1:3" x14ac:dyDescent="0.25">
      <c r="A49" s="24">
        <v>43405</v>
      </c>
      <c r="B49" s="25">
        <f t="shared" si="5"/>
        <v>330270.5</v>
      </c>
      <c r="C49" s="25">
        <v>89900</v>
      </c>
    </row>
    <row r="50" spans="1:3" x14ac:dyDescent="0.25">
      <c r="A50" s="24">
        <v>43435</v>
      </c>
      <c r="B50" s="25">
        <f t="shared" si="5"/>
        <v>337559.5</v>
      </c>
      <c r="C50" s="25">
        <v>89600</v>
      </c>
    </row>
    <row r="51" spans="1:3" x14ac:dyDescent="0.25">
      <c r="A51" s="15">
        <v>43466</v>
      </c>
      <c r="B51" s="19">
        <f t="shared" si="5"/>
        <v>343765</v>
      </c>
      <c r="C51" s="19">
        <v>90100</v>
      </c>
    </row>
    <row r="52" spans="1:3" x14ac:dyDescent="0.25">
      <c r="A52" s="15">
        <v>43497</v>
      </c>
      <c r="B52" s="19">
        <f t="shared" si="5"/>
        <v>373512</v>
      </c>
      <c r="C52" s="19">
        <v>100800</v>
      </c>
    </row>
    <row r="53" spans="1:3" x14ac:dyDescent="0.25">
      <c r="A53" s="15">
        <v>43525</v>
      </c>
      <c r="B53" s="19">
        <f t="shared" si="5"/>
        <v>500577</v>
      </c>
      <c r="C53" s="19">
        <v>139500</v>
      </c>
    </row>
    <row r="54" spans="1:3" x14ac:dyDescent="0.25">
      <c r="A54" s="15">
        <v>43556</v>
      </c>
      <c r="B54" s="19">
        <f t="shared" si="5"/>
        <v>562533.5</v>
      </c>
      <c r="C54" s="19">
        <v>159800</v>
      </c>
    </row>
    <row r="55" spans="1:3" x14ac:dyDescent="0.25">
      <c r="A55" s="15">
        <v>43586</v>
      </c>
      <c r="B55" s="19">
        <f t="shared" si="5"/>
        <v>572777.5</v>
      </c>
      <c r="C55" s="19">
        <v>163300</v>
      </c>
    </row>
    <row r="56" spans="1:3" x14ac:dyDescent="0.25">
      <c r="A56" s="15">
        <v>43617</v>
      </c>
      <c r="B56" s="19">
        <f t="shared" si="5"/>
        <v>603805</v>
      </c>
      <c r="C56" s="19">
        <v>173900</v>
      </c>
    </row>
    <row r="57" spans="1:3" x14ac:dyDescent="0.25">
      <c r="A57" s="15">
        <v>43647</v>
      </c>
      <c r="B57" s="19">
        <f t="shared" si="5"/>
        <v>611980.5</v>
      </c>
      <c r="C57" s="19">
        <v>176800</v>
      </c>
    </row>
    <row r="58" spans="1:3" x14ac:dyDescent="0.25">
      <c r="A58" s="15">
        <v>43678</v>
      </c>
      <c r="B58" s="19">
        <f t="shared" si="5"/>
        <v>596811.5</v>
      </c>
      <c r="C58" s="19">
        <v>171400</v>
      </c>
    </row>
    <row r="59" spans="1:3" x14ac:dyDescent="0.25">
      <c r="A59" s="15">
        <v>43709</v>
      </c>
      <c r="B59" s="19">
        <f>B11*0.98</f>
        <v>490588</v>
      </c>
      <c r="C59" s="19">
        <v>139100</v>
      </c>
    </row>
    <row r="60" spans="1:3" x14ac:dyDescent="0.25">
      <c r="A60" s="15">
        <v>43739</v>
      </c>
      <c r="B60" s="19">
        <f t="shared" ref="B60:B62" si="6">B12*0.98</f>
        <v>451192</v>
      </c>
      <c r="C60" s="19">
        <v>125500</v>
      </c>
    </row>
    <row r="61" spans="1:3" x14ac:dyDescent="0.25">
      <c r="A61" s="15">
        <v>43770</v>
      </c>
      <c r="B61" s="19">
        <f t="shared" si="6"/>
        <v>328594</v>
      </c>
      <c r="C61" s="19">
        <v>89900</v>
      </c>
    </row>
    <row r="62" spans="1:3" x14ac:dyDescent="0.25">
      <c r="A62" s="15">
        <v>43800</v>
      </c>
      <c r="B62" s="19">
        <f t="shared" si="6"/>
        <v>335846</v>
      </c>
      <c r="C62" s="19">
        <v>89600</v>
      </c>
    </row>
    <row r="63" spans="1:3" x14ac:dyDescent="0.25">
      <c r="A63" s="24">
        <v>43831</v>
      </c>
      <c r="B63" s="25">
        <f>B3*0.98</f>
        <v>342020</v>
      </c>
      <c r="C63" s="25">
        <v>90100</v>
      </c>
    </row>
    <row r="64" spans="1:3" x14ac:dyDescent="0.25">
      <c r="A64" s="24">
        <v>43862</v>
      </c>
      <c r="B64" s="25">
        <f t="shared" ref="B64:B70" si="7">B4*0.98</f>
        <v>371616</v>
      </c>
      <c r="C64" s="25">
        <v>100800</v>
      </c>
    </row>
    <row r="65" spans="1:3" x14ac:dyDescent="0.25">
      <c r="A65" s="24">
        <v>43891</v>
      </c>
      <c r="B65" s="25">
        <f t="shared" si="7"/>
        <v>498036</v>
      </c>
      <c r="C65" s="25">
        <v>139500</v>
      </c>
    </row>
    <row r="66" spans="1:3" x14ac:dyDescent="0.25">
      <c r="A66" s="24">
        <v>43922</v>
      </c>
      <c r="B66" s="25">
        <f t="shared" si="7"/>
        <v>559678</v>
      </c>
      <c r="C66" s="25">
        <v>159800</v>
      </c>
    </row>
    <row r="67" spans="1:3" x14ac:dyDescent="0.25">
      <c r="A67" s="24">
        <v>43952</v>
      </c>
      <c r="B67" s="25">
        <f t="shared" si="7"/>
        <v>569870</v>
      </c>
      <c r="C67" s="25">
        <v>163300</v>
      </c>
    </row>
    <row r="68" spans="1:3" x14ac:dyDescent="0.25">
      <c r="A68" s="24">
        <v>43983</v>
      </c>
      <c r="B68" s="25">
        <f t="shared" si="7"/>
        <v>600740</v>
      </c>
      <c r="C68" s="25">
        <v>173900</v>
      </c>
    </row>
    <row r="69" spans="1:3" x14ac:dyDescent="0.25">
      <c r="A69" s="24">
        <v>44013</v>
      </c>
      <c r="B69" s="25">
        <f t="shared" si="7"/>
        <v>608874</v>
      </c>
      <c r="C69" s="25">
        <v>176800</v>
      </c>
    </row>
    <row r="70" spans="1:3" x14ac:dyDescent="0.25">
      <c r="A70" s="24">
        <v>44044</v>
      </c>
      <c r="B70" s="25">
        <f t="shared" si="7"/>
        <v>593782</v>
      </c>
      <c r="C70" s="25">
        <v>171400</v>
      </c>
    </row>
    <row r="71" spans="1:3" x14ac:dyDescent="0.25">
      <c r="A71" s="24">
        <v>44075</v>
      </c>
      <c r="B71" s="25">
        <f>B11*0.975</f>
        <v>488085</v>
      </c>
      <c r="C71" s="25">
        <v>139100</v>
      </c>
    </row>
    <row r="72" spans="1:3" x14ac:dyDescent="0.25">
      <c r="A72" s="24">
        <v>44105</v>
      </c>
      <c r="B72" s="25">
        <f t="shared" ref="B72:B74" si="8">B12*0.975</f>
        <v>448890</v>
      </c>
      <c r="C72" s="25">
        <v>125500</v>
      </c>
    </row>
    <row r="73" spans="1:3" x14ac:dyDescent="0.25">
      <c r="A73" s="24">
        <v>44136</v>
      </c>
      <c r="B73" s="25">
        <f t="shared" si="8"/>
        <v>326917.5</v>
      </c>
      <c r="C73" s="25">
        <v>89900</v>
      </c>
    </row>
    <row r="74" spans="1:3" x14ac:dyDescent="0.25">
      <c r="A74" s="24">
        <v>44166</v>
      </c>
      <c r="B74" s="25">
        <f t="shared" si="8"/>
        <v>334132.5</v>
      </c>
      <c r="C74" s="25">
        <v>89600</v>
      </c>
    </row>
    <row r="75" spans="1:3" x14ac:dyDescent="0.25">
      <c r="A75" s="15">
        <v>44197</v>
      </c>
      <c r="B75" s="19">
        <f>B3*0.975</f>
        <v>340275</v>
      </c>
      <c r="C75" s="19">
        <v>90100</v>
      </c>
    </row>
    <row r="76" spans="1:3" x14ac:dyDescent="0.25">
      <c r="A76" s="15">
        <v>44228</v>
      </c>
      <c r="B76" s="19">
        <f t="shared" ref="B76:B86" si="9">B4*0.975</f>
        <v>369720</v>
      </c>
      <c r="C76" s="19">
        <v>100800</v>
      </c>
    </row>
    <row r="77" spans="1:3" x14ac:dyDescent="0.25">
      <c r="A77" s="15">
        <v>44256</v>
      </c>
      <c r="B77" s="19">
        <f t="shared" si="9"/>
        <v>495495</v>
      </c>
      <c r="C77" s="19">
        <v>139500</v>
      </c>
    </row>
    <row r="78" spans="1:3" x14ac:dyDescent="0.25">
      <c r="A78" s="15">
        <v>44287</v>
      </c>
      <c r="B78" s="19">
        <f t="shared" si="9"/>
        <v>556822.5</v>
      </c>
      <c r="C78" s="19">
        <v>159800</v>
      </c>
    </row>
    <row r="79" spans="1:3" x14ac:dyDescent="0.25">
      <c r="A79" s="15">
        <v>44317</v>
      </c>
      <c r="B79" s="19">
        <f t="shared" si="9"/>
        <v>566962.5</v>
      </c>
      <c r="C79" s="19">
        <v>163300</v>
      </c>
    </row>
    <row r="80" spans="1:3" x14ac:dyDescent="0.25">
      <c r="A80" s="15">
        <v>44348</v>
      </c>
      <c r="B80" s="19">
        <f t="shared" si="9"/>
        <v>597675</v>
      </c>
      <c r="C80" s="19">
        <v>173900</v>
      </c>
    </row>
    <row r="81" spans="1:3" x14ac:dyDescent="0.25">
      <c r="A81" s="15">
        <v>44378</v>
      </c>
      <c r="B81" s="19">
        <f t="shared" si="9"/>
        <v>605767.5</v>
      </c>
      <c r="C81" s="19">
        <v>176800</v>
      </c>
    </row>
    <row r="82" spans="1:3" x14ac:dyDescent="0.25">
      <c r="A82" s="15">
        <v>44409</v>
      </c>
      <c r="B82" s="19">
        <f t="shared" si="9"/>
        <v>590752.5</v>
      </c>
      <c r="C82" s="19">
        <v>171400</v>
      </c>
    </row>
    <row r="83" spans="1:3" x14ac:dyDescent="0.25">
      <c r="A83" s="15">
        <v>44440</v>
      </c>
      <c r="B83" s="19">
        <f t="shared" si="9"/>
        <v>488085</v>
      </c>
      <c r="C83" s="19">
        <v>139100</v>
      </c>
    </row>
    <row r="84" spans="1:3" x14ac:dyDescent="0.25">
      <c r="A84" s="15">
        <v>44470</v>
      </c>
      <c r="B84" s="19">
        <f t="shared" si="9"/>
        <v>448890</v>
      </c>
      <c r="C84" s="19">
        <v>125500</v>
      </c>
    </row>
    <row r="85" spans="1:3" x14ac:dyDescent="0.25">
      <c r="A85" s="15">
        <v>44501</v>
      </c>
      <c r="B85" s="19">
        <f t="shared" si="9"/>
        <v>326917.5</v>
      </c>
      <c r="C85" s="19">
        <v>89900</v>
      </c>
    </row>
    <row r="86" spans="1:3" x14ac:dyDescent="0.25">
      <c r="A86" s="15">
        <v>44531</v>
      </c>
      <c r="B86" s="19">
        <f t="shared" si="9"/>
        <v>334132.5</v>
      </c>
      <c r="C86" s="19">
        <v>89600</v>
      </c>
    </row>
    <row r="87" spans="1:3" x14ac:dyDescent="0.25">
      <c r="A87" s="24">
        <v>44562</v>
      </c>
      <c r="B87" s="25">
        <v>338660.00576533674</v>
      </c>
      <c r="C87" s="25">
        <v>99200</v>
      </c>
    </row>
    <row r="88" spans="1:3" x14ac:dyDescent="0.25">
      <c r="A88" s="24">
        <v>44593</v>
      </c>
      <c r="B88" s="25">
        <v>367965.25554789585</v>
      </c>
      <c r="C88" s="25">
        <v>108300</v>
      </c>
    </row>
    <row r="89" spans="1:3" x14ac:dyDescent="0.25">
      <c r="A89" s="24">
        <v>44621</v>
      </c>
      <c r="B89" s="25">
        <v>493143.3092548541</v>
      </c>
      <c r="C89" s="25">
        <v>150000</v>
      </c>
    </row>
    <row r="90" spans="1:3" x14ac:dyDescent="0.25">
      <c r="A90" s="24">
        <v>44652</v>
      </c>
      <c r="B90" s="25">
        <v>554179.74009336333</v>
      </c>
      <c r="C90" s="25">
        <v>171200</v>
      </c>
    </row>
    <row r="91" spans="1:3" x14ac:dyDescent="0.25">
      <c r="A91" s="24">
        <v>44682</v>
      </c>
      <c r="B91" s="25">
        <v>564271.61419066845</v>
      </c>
      <c r="C91" s="25">
        <v>174100</v>
      </c>
    </row>
    <row r="92" spans="1:3" x14ac:dyDescent="0.25">
      <c r="A92" s="24">
        <v>44713</v>
      </c>
      <c r="B92" s="25">
        <v>594838.34823539096</v>
      </c>
      <c r="C92" s="25">
        <v>182400</v>
      </c>
    </row>
    <row r="93" spans="1:3" x14ac:dyDescent="0.25">
      <c r="A93" s="24">
        <v>44743</v>
      </c>
      <c r="B93" s="25">
        <v>602892.44006304769</v>
      </c>
      <c r="C93" s="25">
        <v>185100</v>
      </c>
    </row>
    <row r="94" spans="1:3" x14ac:dyDescent="0.25">
      <c r="A94" s="24">
        <v>44774</v>
      </c>
      <c r="B94" s="25">
        <v>587948.70341896114</v>
      </c>
      <c r="C94" s="25">
        <v>178400</v>
      </c>
    </row>
    <row r="95" spans="1:3" x14ac:dyDescent="0.25">
      <c r="A95" s="24">
        <v>44805</v>
      </c>
      <c r="B95" s="25">
        <v>483339.63579282776</v>
      </c>
      <c r="C95" s="25">
        <v>146600</v>
      </c>
    </row>
    <row r="96" spans="1:3" x14ac:dyDescent="0.25">
      <c r="A96" s="24">
        <v>44835</v>
      </c>
      <c r="B96" s="25">
        <v>444525.70579108654</v>
      </c>
      <c r="C96" s="25">
        <v>133800</v>
      </c>
    </row>
    <row r="97" spans="1:3" x14ac:dyDescent="0.25">
      <c r="A97" s="24">
        <v>44866</v>
      </c>
      <c r="B97" s="25">
        <v>323739.07287522015</v>
      </c>
      <c r="C97" s="25">
        <v>96000</v>
      </c>
    </row>
    <row r="98" spans="1:3" x14ac:dyDescent="0.25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5757AC-F572-4FD6-8D98-A3A4BF8324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4FB608-2C95-4CB3-B789-2A06D4831A9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  <ds:schemaRef ds:uri="ddcd8467-55ca-498e-a9f8-86795db5db7a"/>
  </ds:schemaRefs>
</ds:datastoreItem>
</file>

<file path=customXml/itemProps3.xml><?xml version="1.0" encoding="utf-8"?>
<ds:datastoreItem xmlns:ds="http://schemas.openxmlformats.org/officeDocument/2006/customXml" ds:itemID="{457C4860-6CD1-4A9E-BBE8-79BAFE1C7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Glossary</vt:lpstr>
      <vt:lpstr>Merrimack</vt:lpstr>
      <vt:lpstr>Smithfield</vt:lpstr>
      <vt:lpstr>Westlake</vt:lpstr>
      <vt:lpstr>Availability</vt:lpstr>
      <vt:lpstr>Plant Health</vt:lpstr>
      <vt:lpstr>Predicted Data</vt:lpstr>
      <vt:lpstr>Ashley Config</vt:lpstr>
      <vt:lpstr>Lang Config</vt:lpstr>
      <vt:lpstr>Stikeleather Config</vt:lpstr>
      <vt:lpstr>Yadkin Config</vt:lpstr>
      <vt:lpstr>Availability!Print_Area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Anusha Vempati [AGS]</cp:lastModifiedBy>
  <cp:revision/>
  <dcterms:created xsi:type="dcterms:W3CDTF">2013-05-02T09:51:31Z</dcterms:created>
  <dcterms:modified xsi:type="dcterms:W3CDTF">2024-06-14T08:31:52Z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