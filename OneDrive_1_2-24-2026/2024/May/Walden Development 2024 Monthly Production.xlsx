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rch/"/>
    </mc:Choice>
  </mc:AlternateContent>
  <xr:revisionPtr revIDLastSave="23" documentId="8_{FB77D280-DAD1-437F-823C-3FBC6B4719D5}" xr6:coauthVersionLast="47" xr6:coauthVersionMax="47" xr10:uidLastSave="{D70388CE-F670-47DE-A00B-E2A0E65384EB}"/>
  <bookViews>
    <workbookView xWindow="34650" yWindow="3600" windowWidth="21600" windowHeight="1129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<sst xmlns="http://schemas.openxmlformats.org/spreadsheetml/2006/main" count="251" uniqueCount="65">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</sst>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3015740.0049999999</v>
      </c>
      <c r="D2" s="6">
        <f>SUM(D4:D60)</f>
        <v>3087412.9539999999</v>
      </c>
      <c r="E2" s="6">
        <f>C2-D2</f>
        <v>-71672.949000000022</v>
      </c>
      <c r="F2" s="7">
        <f>IFERROR(E2/D2, 0)</f>
        <v>-2.3214565096367094E-2</v>
      </c>
      <c r="G2" s="6">
        <f>SUM(G4:G60)</f>
        <v>1751112.92</v>
      </c>
      <c r="H2" s="8">
        <f>C2-G2</f>
        <v>1264627.085</v>
      </c>
      <c r="I2" s="7">
        <f>IFERROR(H2/G2, 0)</f>
        <v>0.72218477207055276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3015740.0049999999</v>
      </c>
      <c r="D4" s="14">
        <f>SUM('1st Qtr'!D4, '2nd Qtr'!D4, '3rd Qtr'!D4, '4th Qtr'!D4)</f>
        <v>3087412.9539999999</v>
      </c>
      <c r="E4" s="14">
        <f>IF(AND(ISNUMBER(C4),ISNUMBER(D4)), C4-D4, "")</f>
        <v>-71672.949000000022</v>
      </c>
      <c r="F4" s="15">
        <f>IFERROR(E4/D4, "")</f>
        <v>-2.3214565096367094E-2</v>
      </c>
      <c r="G4" s="16">
        <f>SUM('1st Qtr'!G4,'2nd Qtr'!G4,'3rd Qtr'!G4,'4th Qtr'!G4)</f>
        <v>1751112.92</v>
      </c>
      <c r="H4" s="16">
        <f>SUM('1st Qtr'!H4, '2nd Qtr'!H4, '3rd Qtr'!H4, '4th Qtr'!H4)</f>
        <v>-440372.91499999992</v>
      </c>
      <c r="I4" s="17">
        <f>IFERROR(H4/G4, "")</f>
        <v>-0.25148173482724345</v>
      </c>
    </row>
    <row r="5" spans="1:9">
      <c r="A5" s="23"/>
      <c r="B5" s="23"/>
      <c r="C5" s="23"/>
      <c r="D5" s="23"/>
      <c r="E5" s="23"/>
      <c r="F5" s="24"/>
      <c r="G5" s="23"/>
      <c r="H5" s="23"/>
      <c r="I5" s="24"/>
    </row>
    <row r="6" spans="1:9">
      <c r="A6" s="23"/>
      <c r="B6" s="23"/>
      <c r="C6" s="23"/>
      <c r="D6" s="23"/>
      <c r="E6" s="23"/>
      <c r="F6" s="24"/>
      <c r="G6" s="23"/>
      <c r="H6" s="23"/>
      <c r="I6" s="24"/>
    </row>
    <row r="7" spans="1:9">
      <c r="A7" s="23"/>
      <c r="B7" s="23"/>
      <c r="C7" s="23"/>
      <c r="D7" s="23"/>
      <c r="E7" s="23"/>
      <c r="F7" s="24"/>
      <c r="G7" s="23"/>
      <c r="H7" s="23"/>
      <c r="I7" s="24"/>
    </row>
    <row r="8" spans="1:9">
      <c r="A8" s="23"/>
      <c r="B8" s="23"/>
      <c r="C8" s="23"/>
      <c r="D8" s="23"/>
      <c r="E8" s="23"/>
      <c r="F8" s="24"/>
      <c r="G8" s="23"/>
      <c r="H8" s="23"/>
      <c r="I8" s="24"/>
    </row>
    <row r="9" spans="1:9">
      <c r="A9" s="23"/>
      <c r="B9" s="23"/>
      <c r="C9" s="23"/>
      <c r="D9" s="23"/>
      <c r="E9" s="23"/>
      <c r="F9" s="24"/>
      <c r="G9" s="23"/>
      <c r="H9" s="23"/>
      <c r="I9" s="24"/>
    </row>
    <row r="10" spans="1:9">
      <c r="A10" s="23"/>
      <c r="B10" s="23"/>
      <c r="C10" s="23"/>
      <c r="D10" s="23"/>
      <c r="E10" s="23"/>
      <c r="F10" s="24"/>
      <c r="G10" s="23"/>
      <c r="H10" s="23"/>
      <c r="I10" s="24"/>
    </row>
    <row r="11" spans="1:9">
      <c r="A11" s="23"/>
      <c r="B11" s="23"/>
      <c r="C11" s="23"/>
      <c r="D11" s="23"/>
      <c r="E11" s="23"/>
      <c r="F11" s="24"/>
      <c r="G11" s="23"/>
      <c r="H11" s="23"/>
      <c r="I11" s="24"/>
    </row>
    <row r="12" spans="1:9">
      <c r="A12" s="23"/>
      <c r="B12" s="23"/>
      <c r="C12" s="23"/>
      <c r="D12" s="23"/>
      <c r="E12" s="23"/>
      <c r="F12" s="24"/>
      <c r="G12" s="23"/>
      <c r="H12" s="23"/>
      <c r="I12" s="24"/>
    </row>
    <row r="13" spans="1:9">
      <c r="A13" s="23"/>
      <c r="B13" s="23"/>
      <c r="C13" s="23"/>
      <c r="D13" s="23"/>
      <c r="E13" s="23"/>
      <c r="F13" s="24"/>
      <c r="G13" s="23"/>
      <c r="H13" s="23"/>
      <c r="I13" s="24"/>
    </row>
    <row r="14" spans="1:9">
      <c r="A14" s="23"/>
      <c r="B14" s="23"/>
      <c r="C14" s="23"/>
      <c r="D14" s="23"/>
      <c r="E14" s="23"/>
      <c r="F14" s="24"/>
      <c r="G14" s="23"/>
      <c r="H14" s="23"/>
      <c r="I14" s="24"/>
    </row>
    <row r="15" spans="1:9">
      <c r="A15" s="23"/>
      <c r="B15" s="23"/>
      <c r="C15" s="23"/>
      <c r="D15" s="23"/>
      <c r="E15" s="23"/>
      <c r="F15" s="24"/>
      <c r="G15" s="23"/>
      <c r="H15" s="23"/>
      <c r="I15" s="24"/>
    </row>
    <row r="16" spans="1:9">
      <c r="A16" s="23"/>
      <c r="B16" s="23"/>
      <c r="C16" s="23"/>
      <c r="D16" s="23"/>
      <c r="E16" s="23"/>
      <c r="F16" s="24"/>
      <c r="G16" s="23"/>
      <c r="H16" s="23"/>
      <c r="I16" s="24"/>
    </row>
    <row r="17" spans="1:9">
      <c r="A17" s="23"/>
      <c r="B17" s="23"/>
      <c r="C17" s="23"/>
      <c r="D17" s="23"/>
      <c r="E17" s="23"/>
      <c r="F17" s="24"/>
      <c r="G17" s="23"/>
      <c r="H17" s="23"/>
      <c r="I17" s="24"/>
    </row>
    <row r="18" spans="1:9">
      <c r="A18" s="23"/>
      <c r="B18" s="23"/>
      <c r="C18" s="23"/>
      <c r="D18" s="23"/>
      <c r="E18" s="23"/>
      <c r="F18" s="24"/>
      <c r="G18" s="23"/>
      <c r="H18" s="23"/>
      <c r="I18" s="24"/>
    </row>
    <row r="19" spans="1:9">
      <c r="A19" s="23"/>
      <c r="B19" s="23"/>
      <c r="C19" s="23"/>
      <c r="D19" s="23"/>
      <c r="E19" s="23"/>
      <c r="F19" s="24"/>
      <c r="G19" s="23"/>
      <c r="H19" s="23"/>
      <c r="I19" s="24"/>
    </row>
    <row r="20" spans="1:9">
      <c r="A20" s="23"/>
      <c r="B20" s="23"/>
      <c r="C20" s="23"/>
      <c r="D20" s="23"/>
      <c r="E20" s="23"/>
      <c r="F20" s="24"/>
      <c r="G20" s="23"/>
      <c r="H20" s="23"/>
      <c r="I20" s="24"/>
    </row>
    <row r="21" spans="1:9">
      <c r="A21" s="23"/>
      <c r="B21" s="23"/>
      <c r="C21" s="23"/>
      <c r="D21" s="23"/>
      <c r="E21" s="23"/>
      <c r="F21" s="24"/>
      <c r="G21" s="23"/>
      <c r="H21" s="23"/>
      <c r="I21" s="24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>
      <c r="A5" s="23"/>
      <c r="B5" s="23"/>
      <c r="C5" s="23"/>
      <c r="D5" s="23"/>
      <c r="E5" s="23"/>
      <c r="F5" s="24"/>
      <c r="G5" s="23"/>
      <c r="H5" s="23"/>
      <c r="I5" s="24"/>
    </row>
    <row r="6" spans="1:9">
      <c r="A6" s="23"/>
      <c r="B6" s="23"/>
      <c r="C6" s="23"/>
      <c r="D6" s="23"/>
      <c r="E6" s="23"/>
      <c r="F6" s="24"/>
      <c r="G6" s="23"/>
      <c r="H6" s="23"/>
      <c r="I6" s="24"/>
    </row>
    <row r="7" spans="1:9">
      <c r="A7" s="23"/>
      <c r="B7" s="23"/>
      <c r="C7" s="23"/>
      <c r="D7" s="23"/>
      <c r="E7" s="23"/>
      <c r="F7" s="24"/>
      <c r="G7" s="23"/>
      <c r="H7" s="23"/>
      <c r="I7" s="24"/>
    </row>
    <row r="8" spans="1:9">
      <c r="A8" s="23"/>
      <c r="B8" s="23"/>
      <c r="C8" s="23"/>
      <c r="D8" s="23"/>
      <c r="E8" s="23"/>
      <c r="F8" s="24"/>
      <c r="G8" s="23"/>
      <c r="H8" s="23"/>
      <c r="I8" s="24"/>
    </row>
    <row r="9" spans="1:9">
      <c r="A9" s="23"/>
      <c r="B9" s="23"/>
      <c r="C9" s="23"/>
      <c r="D9" s="23"/>
      <c r="E9" s="23"/>
      <c r="F9" s="24"/>
      <c r="G9" s="23"/>
      <c r="H9" s="23"/>
      <c r="I9" s="24"/>
    </row>
    <row r="10" spans="1:9">
      <c r="A10" s="23"/>
      <c r="B10" s="23"/>
      <c r="C10" s="23"/>
      <c r="D10" s="23"/>
      <c r="E10" s="23"/>
      <c r="F10" s="24"/>
      <c r="G10" s="23"/>
      <c r="H10" s="23"/>
      <c r="I10" s="24"/>
    </row>
    <row r="11" spans="1:9">
      <c r="A11" s="23"/>
      <c r="B11" s="23"/>
      <c r="C11" s="23"/>
      <c r="D11" s="23"/>
      <c r="E11" s="23"/>
      <c r="F11" s="24"/>
      <c r="G11" s="23"/>
      <c r="H11" s="23"/>
      <c r="I11" s="24"/>
    </row>
    <row r="12" spans="1:9">
      <c r="A12" s="23"/>
      <c r="B12" s="23"/>
      <c r="C12" s="23"/>
      <c r="D12" s="23"/>
      <c r="E12" s="23"/>
      <c r="F12" s="24"/>
      <c r="G12" s="23"/>
      <c r="H12" s="23"/>
      <c r="I12" s="24"/>
    </row>
    <row r="13" spans="1:9">
      <c r="A13" s="23"/>
      <c r="B13" s="23"/>
      <c r="C13" s="23"/>
      <c r="D13" s="23"/>
      <c r="E13" s="23"/>
      <c r="F13" s="24"/>
      <c r="G13" s="23"/>
      <c r="H13" s="23"/>
      <c r="I13" s="24"/>
    </row>
    <row r="14" spans="1:9">
      <c r="A14" s="23"/>
      <c r="B14" s="23"/>
      <c r="C14" s="23"/>
      <c r="D14" s="23"/>
      <c r="E14" s="23"/>
      <c r="F14" s="24"/>
      <c r="G14" s="23"/>
      <c r="H14" s="23"/>
      <c r="I14" s="24"/>
    </row>
    <row r="15" spans="1:9">
      <c r="A15" s="23"/>
      <c r="B15" s="23"/>
      <c r="C15" s="23"/>
      <c r="D15" s="23"/>
      <c r="E15" s="23"/>
      <c r="F15" s="24"/>
      <c r="G15" s="23"/>
      <c r="H15" s="23"/>
      <c r="I15" s="24"/>
    </row>
    <row r="16" spans="1:9">
      <c r="A16" s="23"/>
      <c r="B16" s="23"/>
      <c r="C16" s="23"/>
      <c r="D16" s="23"/>
      <c r="E16" s="23"/>
      <c r="F16" s="24"/>
      <c r="G16" s="23"/>
      <c r="H16" s="23"/>
      <c r="I16" s="24"/>
    </row>
    <row r="17" spans="1:9">
      <c r="A17" s="23"/>
      <c r="B17" s="23"/>
      <c r="C17" s="23"/>
      <c r="D17" s="23"/>
      <c r="E17" s="23"/>
      <c r="F17" s="24"/>
      <c r="G17" s="23"/>
      <c r="H17" s="23"/>
      <c r="I17" s="24"/>
    </row>
    <row r="18" spans="1:9">
      <c r="A18" s="23"/>
      <c r="B18" s="23"/>
      <c r="C18" s="23"/>
      <c r="D18" s="23"/>
      <c r="E18" s="23"/>
      <c r="F18" s="24"/>
      <c r="G18" s="23"/>
      <c r="H18" s="23"/>
      <c r="I18" s="24"/>
    </row>
    <row r="19" spans="1:9">
      <c r="A19" s="23"/>
      <c r="B19" s="23"/>
      <c r="C19" s="23"/>
      <c r="D19" s="23"/>
      <c r="E19" s="23"/>
      <c r="F19" s="24"/>
      <c r="G19" s="23"/>
      <c r="H19" s="23"/>
      <c r="I19" s="24"/>
    </row>
    <row r="20" spans="1:9">
      <c r="A20" s="23"/>
      <c r="B20" s="23"/>
      <c r="C20" s="23"/>
      <c r="D20" s="23"/>
      <c r="E20" s="23"/>
      <c r="F20" s="24"/>
      <c r="G20" s="23"/>
      <c r="H20" s="23"/>
      <c r="I20" s="24"/>
    </row>
    <row r="21" spans="1:9">
      <c r="A21" s="23"/>
      <c r="B21" s="23"/>
      <c r="C21" s="23"/>
      <c r="D21" s="23"/>
      <c r="E21" s="23"/>
      <c r="F21" s="24"/>
      <c r="G21" s="23"/>
      <c r="H21" s="23"/>
      <c r="I21" s="24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1570340</v>
      </c>
      <c r="D2" s="6">
        <f>SUM(D4:D90)</f>
        <v>1385613</v>
      </c>
      <c r="E2" s="6">
        <f>C2-D2</f>
        <v>184727</v>
      </c>
      <c r="F2" s="7">
        <f>IFERROR(E2/D2, 0)</f>
        <v>0.13331788890548804</v>
      </c>
      <c r="G2" s="6">
        <f>SUM(G4:G90)</f>
        <v>0</v>
      </c>
      <c r="H2" s="8">
        <f>C2-G2</f>
        <v>1570340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1570340</v>
      </c>
      <c r="D4" s="14">
        <f>SUM(Apr!D4, May!D4, Jun!D4)</f>
        <v>1385613</v>
      </c>
      <c r="E4" s="14">
        <f>IF(AND(ISNUMBER(C4),ISNUMBER(D4)), C4-D4, "")</f>
        <v>184727</v>
      </c>
      <c r="F4" s="15">
        <f>IFERROR(E4/D4, "")</f>
        <v>0.13331788890548804</v>
      </c>
      <c r="G4" s="16"/>
      <c r="H4" s="16">
        <f>SUM(Apr!H4, May!H4, Jun!H4)</f>
        <v>-134660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3"/>
      <c r="G22" s="23"/>
      <c r="H22" s="23"/>
      <c r="I22" s="23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>
      <c r="A5" s="23"/>
      <c r="B5" s="23"/>
      <c r="C5" s="23"/>
      <c r="D5" s="23"/>
      <c r="E5" s="23"/>
      <c r="F5" s="23"/>
      <c r="G5" s="23"/>
      <c r="H5" s="23"/>
      <c r="I5" s="23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>
      <c r="A5" s="23"/>
      <c r="B5" s="23"/>
      <c r="C5" s="23"/>
      <c r="D5" s="23"/>
      <c r="E5" s="23"/>
      <c r="F5" s="23"/>
      <c r="G5" s="23"/>
      <c r="H5" s="23"/>
      <c r="I5" s="23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11" sqref="J11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2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91.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t="s">
        <v>56</v>
      </c>
    </row>
    <row r="3" spans="1:7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5">
      <c r="A4" t="s">
        <v>60</v>
      </c>
      <c r="B4" t="s">
        <v>61</v>
      </c>
      <c r="C4" s="4" t="s">
        <v>62</v>
      </c>
      <c r="D4" t="s">
        <v>63</v>
      </c>
      <c r="E4" t="s">
        <v>64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2024-07-16T03:15:19Z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