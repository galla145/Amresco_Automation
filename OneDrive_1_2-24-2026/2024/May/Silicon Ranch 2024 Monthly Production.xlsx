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y/"/>
    </mc:Choice>
  </mc:AlternateContent>
  <xr:revisionPtr revIDLastSave="25" documentId="13_ncr:1_{1B704E21-539A-4200-B7B9-DA46521413ED}" xr6:coauthVersionLast="47" xr6:coauthVersionMax="47" xr10:uidLastSave="{596F653C-314D-4554-AA4D-E05F98087A7C}"/>
  <bookViews>
    <workbookView xWindow="-28920" yWindow="64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Jun" sheetId="19" r:id="rId10"/>
    <sheet name="Jul" sheetId="26" r:id="rId11"/>
    <sheet name="Aug" sheetId="27" r:id="rId12"/>
    <sheet name="May" sheetId="20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1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0" hidden="1">Jul!$A$2:$I$2</definedName>
    <definedName name="_xlnm._FilterDatabase" localSheetId="9" hidden="1">Jun!$A$2:$I$2</definedName>
    <definedName name="_xlnm._FilterDatabase" localSheetId="7" hidden="1">Mar!$A$2:$I$2</definedName>
    <definedName name="_xlnm._FilterDatabase" localSheetId="12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4" l="1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I25" i="21" s="1"/>
  <c r="E25" i="21"/>
  <c r="F25" i="21" s="1"/>
  <c r="E24" i="21"/>
  <c r="F24" i="21" s="1"/>
  <c r="E23" i="21"/>
  <c r="F23" i="21" s="1"/>
  <c r="E22" i="21"/>
  <c r="F22" i="21"/>
  <c r="E21" i="21"/>
  <c r="F21" i="21" s="1"/>
  <c r="E20" i="21"/>
  <c r="F20" i="21" s="1"/>
  <c r="E19" i="21"/>
  <c r="F19" i="21" s="1"/>
  <c r="E18" i="21"/>
  <c r="F18" i="21"/>
  <c r="H23" i="4"/>
  <c r="I23" i="4" s="1"/>
  <c r="H24" i="4"/>
  <c r="I24" i="4" s="1"/>
  <c r="H25" i="4"/>
  <c r="I25" i="4" s="1"/>
  <c r="I22" i="4"/>
  <c r="E25" i="4"/>
  <c r="F25" i="4"/>
  <c r="E24" i="4"/>
  <c r="F24" i="4" s="1"/>
  <c r="E23" i="4"/>
  <c r="F23" i="4"/>
  <c r="E22" i="4"/>
  <c r="F22" i="4"/>
  <c r="E21" i="4"/>
  <c r="F21" i="4" s="1"/>
  <c r="E20" i="4"/>
  <c r="F20" i="4" s="1"/>
  <c r="E19" i="4"/>
  <c r="F19" i="4" s="1"/>
  <c r="E18" i="4"/>
  <c r="F18" i="4"/>
  <c r="I18" i="4"/>
  <c r="I19" i="4"/>
  <c r="H18" i="4"/>
  <c r="H19" i="4"/>
  <c r="H20" i="4"/>
  <c r="I20" i="4" s="1"/>
  <c r="H21" i="4"/>
  <c r="I21" i="4" s="1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18" i="3" l="1"/>
  <c r="E19" i="3"/>
  <c r="E20" i="3"/>
  <c r="E21" i="3"/>
  <c r="E22" i="3"/>
  <c r="E23" i="3"/>
  <c r="E24" i="3"/>
  <c r="E25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E20" i="18" l="1"/>
  <c r="F20" i="18" s="1"/>
  <c r="E17" i="18"/>
  <c r="F17" i="18" s="1"/>
  <c r="E23" i="34"/>
  <c r="F23" i="34" s="1"/>
  <c r="E22" i="34"/>
  <c r="F22" i="34" s="1"/>
  <c r="E19" i="34"/>
  <c r="F19" i="34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E18" i="34"/>
  <c r="F18" i="34" s="1"/>
  <c r="E21" i="34"/>
  <c r="F21" i="34" s="1"/>
  <c r="E25" i="34"/>
  <c r="F25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D25" i="1"/>
  <c r="G25" i="1"/>
  <c r="C25" i="30"/>
  <c r="E25" i="30" s="1"/>
  <c r="F25" i="30" s="1"/>
  <c r="D25" i="30"/>
  <c r="H25" i="30"/>
  <c r="I25" i="30" s="1"/>
  <c r="C18" i="30"/>
  <c r="D18" i="30"/>
  <c r="H18" i="30"/>
  <c r="I18" i="30" s="1"/>
  <c r="C19" i="30"/>
  <c r="E19" i="30" s="1"/>
  <c r="F19" i="30" s="1"/>
  <c r="D19" i="30"/>
  <c r="H19" i="30"/>
  <c r="I19" i="30" s="1"/>
  <c r="C20" i="30"/>
  <c r="D20" i="30"/>
  <c r="E20" i="30" s="1"/>
  <c r="F20" i="30" s="1"/>
  <c r="H20" i="30"/>
  <c r="I20" i="30" s="1"/>
  <c r="C21" i="30"/>
  <c r="E21" i="30" s="1"/>
  <c r="F21" i="30" s="1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F25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H16" i="3"/>
  <c r="I16" i="3" s="1"/>
  <c r="E17" i="3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H5" i="3"/>
  <c r="I5" i="3" s="1"/>
  <c r="E6" i="3"/>
  <c r="H6" i="3"/>
  <c r="I6" i="3" s="1"/>
  <c r="E7" i="3"/>
  <c r="H7" i="3"/>
  <c r="I7" i="3" s="1"/>
  <c r="E8" i="3"/>
  <c r="H8" i="3"/>
  <c r="I8" i="3" s="1"/>
  <c r="E9" i="3"/>
  <c r="H9" i="3"/>
  <c r="I9" i="3" s="1"/>
  <c r="E10" i="3"/>
  <c r="H10" i="3"/>
  <c r="I10" i="3" s="1"/>
  <c r="E11" i="3"/>
  <c r="H11" i="3"/>
  <c r="I11" i="3" s="1"/>
  <c r="E12" i="3"/>
  <c r="H12" i="3"/>
  <c r="I12" i="3" s="1"/>
  <c r="E13" i="3"/>
  <c r="H13" i="3"/>
  <c r="I13" i="3" s="1"/>
  <c r="E14" i="3"/>
  <c r="H14" i="3"/>
  <c r="I14" i="3"/>
  <c r="E15" i="3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34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D7" i="18"/>
  <c r="C7" i="18"/>
  <c r="E7" i="18" s="1"/>
  <c r="F7" i="18" s="1"/>
  <c r="D6" i="18"/>
  <c r="C6" i="18"/>
  <c r="D5" i="18"/>
  <c r="C5" i="18"/>
  <c r="E5" i="18" s="1"/>
  <c r="F5" i="18" s="1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I16" i="21" l="1"/>
  <c r="H16" i="18"/>
  <c r="I16" i="18" s="1"/>
  <c r="E16" i="18"/>
  <c r="F16" i="18" s="1"/>
  <c r="E15" i="18"/>
  <c r="F15" i="18" s="1"/>
  <c r="E12" i="18"/>
  <c r="F12" i="18" s="1"/>
  <c r="E9" i="18"/>
  <c r="F9" i="18" s="1"/>
  <c r="D2" i="18"/>
  <c r="E8" i="18"/>
  <c r="F8" i="18" s="1"/>
  <c r="E6" i="18"/>
  <c r="F6" i="18" s="1"/>
  <c r="E4" i="18"/>
  <c r="F4" i="18" s="1"/>
  <c r="I17" i="21"/>
  <c r="H17" i="18"/>
  <c r="I17" i="18" s="1"/>
  <c r="E24" i="1"/>
  <c r="F24" i="1" s="1"/>
  <c r="E23" i="1"/>
  <c r="F23" i="1" s="1"/>
  <c r="H17" i="1"/>
  <c r="I17" i="1" s="1"/>
  <c r="H16" i="1"/>
  <c r="I16" i="1" s="1"/>
  <c r="E21" i="1"/>
  <c r="F21" i="1" s="1"/>
  <c r="I25" i="72"/>
  <c r="H25" i="34"/>
  <c r="I25" i="34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5" i="1"/>
  <c r="I25" i="1" s="1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<sst xmlns="http://schemas.openxmlformats.org/spreadsheetml/2006/main" count="379" uniqueCount="134">
  <si>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</si>
  <si>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</si>
  <si>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</si>
  <si>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</si>
  <si>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</si>
  <si>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</si>
  <si>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</si>
  <si>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</si>
  <si>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</si>
  <si>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</si>
  <si>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</si>
  <si>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</si>
  <si>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</si>
  <si>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</si>
  <si>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</si>
  <si>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</si>
  <si>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</si>
  <si>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</si>
  <si>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</si>
  <si>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</si>
  <si>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</si>
  <si>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</si>
  <si>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</si>
  <si>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</si>
  <si>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</si>
  <si>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</si>
  <si>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</si>
  <si>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</si>
  <si>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</si>
  <si>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</si>
  <si>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</si>
  <si>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</si>
  <si>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</si>
  <si>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</si>
  <si>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</si>
  <si>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</si>
  <si>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</si>
  <si>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</si>
  <si>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</si>
  <si>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</si>
  <si>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</si>
  <si>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</si>
  <si>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</si>
  <si>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</si>
  <si>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</si>
  <si>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</si>
  <si>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</si>
  <si>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</si>
  <si>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</si>
  <si>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</si>
  <si>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</si>
  <si>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</si>
  <si>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</si>
  <si>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</si>
  <si>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</si>
  <si>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</si>
  <si>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</si>
  <si>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</si>
  <si>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</si>
  <si>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</si>
  <si>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</si>
  <si>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</si>
  <si>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</si>
  <si>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</si>
  <si>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</si>
  <si>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</si>
  <si>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</si>
  <si>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</si>
  <si>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</si>
  <si>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</si>
  <si>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</si>
  <si>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</si>
  <si>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</si>
  <si>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</si>
  <si>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</si>
  <si>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</si>
  <si>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</si>
  <si>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</si>
  <si>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</si>
  <si>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</si>
  <si>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</si>
  <si>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</si>
  <si>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</si>
  <si>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</si>
  <si>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</si>
  <si>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</si>
  <si>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</si>
  <si>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</si>
  <si>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</si>
  <si>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</si>
  <si>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FA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</si>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</sst>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8" dataCellStyle="Normal 2"/>
    <tableColumn id="1" xr3:uid="{9A753695-C18C-437C-AD9C-C2CE5C1A806E}" name="Site" dataDxfId="57" dataCellStyle="Normal 2"/>
    <tableColumn id="2" xr3:uid="{250F229D-34D2-4043-BE8F-6D9C210E223F}" name="State" dataDxfId="56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4" sqref="H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4" t="str" cm="1">
        <f t="array" ref="A1">portfolio</f>
        <v>Silicon Ranch</v>
      </c>
      <c r="B1" s="64"/>
      <c r="C1" s="64"/>
      <c r="D1" s="65" t="s">
        <v>0</v>
      </c>
      <c r="E1" s="65"/>
      <c r="F1" s="65"/>
      <c r="G1" s="63" t="s">
        <v>1</v>
      </c>
      <c r="H1" s="63"/>
      <c r="I1" s="63"/>
    </row>
    <row r="2" spans="1:9" ht="19.5" customHeight="1" x14ac:dyDescent="0.25">
      <c r="A2" s="66" t="s">
        <v>2</v>
      </c>
      <c r="B2" s="66"/>
      <c r="C2" s="5">
        <f>SUM(C4:C100)</f>
        <v>1674447.35</v>
      </c>
      <c r="D2" s="5">
        <f>SUM(D4:D100)</f>
        <v>0</v>
      </c>
      <c r="E2" s="5">
        <f>C2-D2</f>
        <v>1674447.35</v>
      </c>
      <c r="F2" s="6">
        <f>IFERROR(E2/D2, 0)</f>
        <v>0</v>
      </c>
      <c r="G2" s="5">
        <f>SUM(G4:G100)</f>
        <v>4271439.9709999999</v>
      </c>
      <c r="H2" s="7">
        <f>C2-G2</f>
        <v>-2596992.6209999998</v>
      </c>
      <c r="I2" s="6">
        <f>IFERROR(H2/G2, 0)</f>
        <v>-0.60798996091053803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5" x14ac:dyDescent="0.35">
      <c r="A4" s="53" t="str" cm="1">
        <f t="array" ref="A4:A25">Sites[Site]</f>
        <v>Iron Mountain - Windsor</v>
      </c>
      <c r="B4" s="32" t="str" cm="1">
        <f t="array" ref="B4:B25">Sites[State]</f>
        <v>CT</v>
      </c>
      <c r="C4" s="24">
        <f>SUM('1st Qtr'!C4, '2nd Qtr'!C4, '3rd Qtr'!C4, '4th Qtr'!C4)</f>
        <v>113333.75</v>
      </c>
      <c r="D4" s="13">
        <f>SUM('1st Qtr'!D4, '2nd Qtr'!D4, '3rd Qtr'!D4, '4th Qtr'!D4)</f>
        <v>0</v>
      </c>
      <c r="E4" s="13">
        <f>IF(AND(ISNUMBER(C4),ISNUMBER(D4)), C4-D4, "")</f>
        <v>113333.75</v>
      </c>
      <c r="F4" s="14" t="str">
        <f>IFERROR(E4/D4, "")</f>
        <v/>
      </c>
      <c r="G4" s="15">
        <f>SUM('1st Qtr'!G4, '2nd Qtr'!G4, '3rd Qtr'!G4, '4th Qtr'!G4)</f>
        <v>123014.50000000001</v>
      </c>
      <c r="H4" s="15">
        <f>SUM('1st Qtr'!H4, '2nd Qtr'!H4, '3rd Qtr'!H4, '4th Qtr'!H4)</f>
        <v>-9680.7500000000036</v>
      </c>
      <c r="I4" s="16">
        <f>IFERROR(H4/G4, "")</f>
        <v>-7.8696007381243702E-2</v>
      </c>
    </row>
    <row r="5" spans="1:9" ht="15.5" x14ac:dyDescent="0.25">
      <c r="A5" s="54" t="str">
        <v>Kohls - Auburn</v>
      </c>
      <c r="B5" s="3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SUM('1st Qtr'!G5, '2nd Qtr'!G5, '3rd Qtr'!G5, '4th Qtr'!G5)</f>
        <v>119512.79000000001</v>
      </c>
      <c r="H5" s="20">
        <f>SUM(Jan!H5, Feb!H5, Mar!H5)</f>
        <v>5388.09</v>
      </c>
      <c r="I5" s="19">
        <f>IFERROR(H5/G5, "")</f>
        <v>4.5083793960462304E-2</v>
      </c>
    </row>
    <row r="6" spans="1:9" ht="15.5" x14ac:dyDescent="0.25">
      <c r="A6" s="55" t="str">
        <v>Kohls - Bensalem</v>
      </c>
      <c r="B6" s="28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SUM('1st Qtr'!G6, '2nd Qtr'!G6, '3rd Qtr'!G6, '4th Qtr'!G6)</f>
        <v>137653.25</v>
      </c>
      <c r="H6" s="15">
        <f>SUM(Jan!H6, Feb!H6, Mar!H6)</f>
        <v>1265.9800000000014</v>
      </c>
      <c r="I6" s="16">
        <f t="shared" ref="I6:I15" si="2">IFERROR(H6/G6, "")</f>
        <v>9.1968769353429815E-3</v>
      </c>
    </row>
    <row r="7" spans="1:9" ht="15.5" x14ac:dyDescent="0.25">
      <c r="A7" s="54" t="str">
        <v>Kohls - Brick</v>
      </c>
      <c r="B7" s="3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SUM('1st Qtr'!G7, '2nd Qtr'!G7, '3rd Qtr'!G7, '4th Qtr'!G7)</f>
        <v>163134.47999999998</v>
      </c>
      <c r="H7" s="20">
        <f>SUM(Jan!H7, Feb!H7, Mar!H7)</f>
        <v>-1190.8600000000006</v>
      </c>
      <c r="I7" s="19">
        <f t="shared" si="2"/>
        <v>-7.2998669563908297E-3</v>
      </c>
    </row>
    <row r="8" spans="1:9" ht="15.5" x14ac:dyDescent="0.25">
      <c r="A8" s="55" t="str">
        <v>Kohls - Buffalo</v>
      </c>
      <c r="B8" s="28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SUM('1st Qtr'!G8, '2nd Qtr'!G8, '3rd Qtr'!G8, '4th Qtr'!G8)</f>
        <v>150367.43</v>
      </c>
      <c r="H8" s="15">
        <f>SUM(Jan!H8, Feb!H8, Mar!H8)</f>
        <v>-818.3700000000008</v>
      </c>
      <c r="I8" s="16">
        <f t="shared" si="2"/>
        <v>-5.4424684920132025E-3</v>
      </c>
    </row>
    <row r="9" spans="1:9" ht="15.5" x14ac:dyDescent="0.25">
      <c r="A9" s="54" t="str">
        <v>Kohls - Canton</v>
      </c>
      <c r="B9" s="3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SUM('1st Qtr'!G9, '2nd Qtr'!G9, '3rd Qtr'!G9, '4th Qtr'!G9)</f>
        <v>53186.86</v>
      </c>
      <c r="H9" s="20">
        <f>SUM(Jan!H9, Feb!H9, Mar!H9)</f>
        <v>509.94999999999982</v>
      </c>
      <c r="I9" s="19">
        <f t="shared" si="2"/>
        <v>9.5878944536300845E-3</v>
      </c>
    </row>
    <row r="10" spans="1:9" ht="15.5" x14ac:dyDescent="0.25">
      <c r="A10" s="55" t="str">
        <v>Kohls - East Amherst</v>
      </c>
      <c r="B10" s="28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SUM('1st Qtr'!G10, '2nd Qtr'!G10, '3rd Qtr'!G10, '4th Qtr'!G10)</f>
        <v>136562.08000000002</v>
      </c>
      <c r="H10" s="15">
        <f>SUM(Jan!H10, Feb!H10, Mar!H10)</f>
        <v>-2308.6900000000005</v>
      </c>
      <c r="I10" s="16">
        <f t="shared" si="2"/>
        <v>-1.6905791124446845E-2</v>
      </c>
    </row>
    <row r="11" spans="1:9" ht="15.5" x14ac:dyDescent="0.25">
      <c r="A11" s="54" t="str">
        <v>Kohls - East Brunswick</v>
      </c>
      <c r="B11" s="3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SUM('1st Qtr'!G11, '2nd Qtr'!G11, '3rd Qtr'!G11, '4th Qtr'!G11)</f>
        <v>212930.71</v>
      </c>
      <c r="H11" s="20">
        <f>SUM(Jan!H11, Feb!H11, Mar!H11)</f>
        <v>-20451.719999999998</v>
      </c>
      <c r="I11" s="19">
        <f t="shared" si="2"/>
        <v>-9.6048709930098855E-2</v>
      </c>
    </row>
    <row r="12" spans="1:9" ht="15.5" x14ac:dyDescent="0.25">
      <c r="A12" s="55" t="str">
        <v>Kohls - Edgewood</v>
      </c>
      <c r="B12" s="28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SUM('1st Qtr'!G12, '2nd Qtr'!G12, '3rd Qtr'!G12, '4th Qtr'!G12)</f>
        <v>1140846.19</v>
      </c>
      <c r="H12" s="15">
        <f>SUM(Jan!H12, Feb!H12, Mar!H12)</f>
        <v>-55603.870000000024</v>
      </c>
      <c r="I12" s="16">
        <f t="shared" si="2"/>
        <v>-4.873914686080516E-2</v>
      </c>
    </row>
    <row r="13" spans="1:9" ht="15.5" x14ac:dyDescent="0.25">
      <c r="A13" s="54" t="str">
        <v>Kohls - Granite Run</v>
      </c>
      <c r="B13" s="3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SUM('1st Qtr'!G13, '2nd Qtr'!G13, '3rd Qtr'!G13, '4th Qtr'!G13)</f>
        <v>137717.70000000001</v>
      </c>
      <c r="H13" s="20">
        <f>SUM(Jan!H13, Feb!H13, Mar!H13)</f>
        <v>-2068.1600000000035</v>
      </c>
      <c r="I13" s="19">
        <f t="shared" si="2"/>
        <v>-1.5017387017064643E-2</v>
      </c>
    </row>
    <row r="14" spans="1:9" ht="15.5" x14ac:dyDescent="0.25">
      <c r="A14" s="55" t="str">
        <v>Kohls - Greece</v>
      </c>
      <c r="B14" s="28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SUM('1st Qtr'!G14, '2nd Qtr'!G14, '3rd Qtr'!G14, '4th Qtr'!G14)</f>
        <v>143804.97999999998</v>
      </c>
      <c r="H14" s="15">
        <f>SUM(Jan!H14, Feb!H14, Mar!H14)</f>
        <v>-11100.830000000002</v>
      </c>
      <c r="I14" s="16">
        <f t="shared" si="2"/>
        <v>-7.7193640999080868E-2</v>
      </c>
    </row>
    <row r="15" spans="1:9" ht="15.5" x14ac:dyDescent="0.25">
      <c r="A15" s="54" t="str">
        <v>Kohls - Hanover</v>
      </c>
      <c r="B15" s="3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SUM('1st Qtr'!G15, '2nd Qtr'!G15, '3rd Qtr'!G15, '4th Qtr'!G15)</f>
        <v>155333.59999999998</v>
      </c>
      <c r="H15" s="20">
        <f>SUM(Jan!H15, Feb!H15, Mar!H15)</f>
        <v>-9545.6699999999983</v>
      </c>
      <c r="I15" s="19">
        <f t="shared" si="2"/>
        <v>-6.1452705660591141E-2</v>
      </c>
    </row>
    <row r="16" spans="1:9" ht="15.5" x14ac:dyDescent="0.25">
      <c r="A16" s="55" t="str">
        <v>Kohls - Horsehead</v>
      </c>
      <c r="B16" s="28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9" si="3">IF(AND(ISNUMBER(C16),ISNUMBER(D16)), C16-D16, "")</f>
        <v>44058</v>
      </c>
      <c r="F16" s="14" t="str">
        <f t="shared" ref="F16:F19" si="4">IFERROR(E16/D16, "")</f>
        <v/>
      </c>
      <c r="G16" s="15">
        <f>SUM('1st Qtr'!G16, '2nd Qtr'!G16, '3rd Qtr'!G16, '4th Qtr'!G16)</f>
        <v>118664.52</v>
      </c>
      <c r="H16" s="15">
        <f>SUM(Jan!H16, Feb!H16, Mar!H16)</f>
        <v>-9727.880000000001</v>
      </c>
      <c r="I16" s="16">
        <f t="shared" ref="I16:I19" si="5">IFERROR(H16/G16, "")</f>
        <v>-8.1977999826738451E-2</v>
      </c>
    </row>
    <row r="17" spans="1:9" ht="15.5" x14ac:dyDescent="0.25">
      <c r="A17" s="54" t="str">
        <v>Kohls - Hudson</v>
      </c>
      <c r="B17" s="3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SUM('1st Qtr'!G17, '2nd Qtr'!G17, '3rd Qtr'!G17, '4th Qtr'!G17)</f>
        <v>130102.19</v>
      </c>
      <c r="H17" s="20">
        <f>SUM(Jan!H17, Feb!H17, Mar!H17)</f>
        <v>-40461.81</v>
      </c>
      <c r="I17" s="19">
        <f t="shared" si="5"/>
        <v>-0.31100022220994128</v>
      </c>
    </row>
    <row r="18" spans="1:9" ht="12.75" customHeight="1" x14ac:dyDescent="0.25">
      <c r="A18" s="55" t="str">
        <v>Kohls - Ithaca</v>
      </c>
      <c r="B18" s="28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SUM('1st Qtr'!G18, '2nd Qtr'!G18, '3rd Qtr'!G18, '4th Qtr'!G18)</f>
        <v>132880.02000000002</v>
      </c>
      <c r="H18" s="15">
        <f>SUM(Jan!H18, Feb!H18, Mar!H18)</f>
        <v>-13588.449999999999</v>
      </c>
      <c r="I18" s="16">
        <f t="shared" si="5"/>
        <v>-0.10226104722139565</v>
      </c>
    </row>
    <row r="19" spans="1:9" ht="15.5" x14ac:dyDescent="0.25">
      <c r="A19" s="54" t="str">
        <v>Kohls - Kingston</v>
      </c>
      <c r="B19" s="3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si="3"/>
        <v>87519</v>
      </c>
      <c r="F19" s="19" t="str">
        <f t="shared" si="4"/>
        <v/>
      </c>
      <c r="G19" s="20">
        <f>SUM('1st Qtr'!G19, '2nd Qtr'!G19, '3rd Qtr'!G19, '4th Qtr'!G19)</f>
        <v>201850.87100000001</v>
      </c>
      <c r="H19" s="20">
        <f>SUM(Jan!H19, Feb!H19, Mar!H19)</f>
        <v>-1325.5890000000036</v>
      </c>
      <c r="I19" s="19">
        <f t="shared" si="5"/>
        <v>-6.567170076764264E-3</v>
      </c>
    </row>
    <row r="20" spans="1:9" ht="15.5" x14ac:dyDescent="0.25">
      <c r="A20" s="55" t="str">
        <v>Kohls - Mechanicsburg</v>
      </c>
      <c r="B20" s="28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ref="E20:E25" si="6">IF(AND(ISNUMBER(C20),ISNUMBER(D20)), C20-D20, "")</f>
        <v>83627</v>
      </c>
      <c r="F20" s="14" t="str">
        <f t="shared" ref="F20:F25" si="7">IFERROR(E20/D20, "")</f>
        <v/>
      </c>
      <c r="G20" s="15">
        <f>SUM('1st Qtr'!G20, '2nd Qtr'!G20, '3rd Qtr'!G20, '4th Qtr'!G20)</f>
        <v>179740.01</v>
      </c>
      <c r="H20" s="15">
        <f>SUM(Jan!H20, Feb!H20, Mar!H20)</f>
        <v>-821.72000000000116</v>
      </c>
      <c r="I20" s="16">
        <f t="shared" ref="I20:I25" si="8">IFERROR(H20/G20, "")</f>
        <v>-4.5717144446581542E-3</v>
      </c>
    </row>
    <row r="21" spans="1:9" ht="15.5" x14ac:dyDescent="0.25">
      <c r="A21" s="54" t="str">
        <v>Kohls - Middletown</v>
      </c>
      <c r="B21" s="3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SUM('1st Qtr'!G21, '2nd Qtr'!G21, '3rd Qtr'!G21, '4th Qtr'!G21)</f>
        <v>252655.91</v>
      </c>
      <c r="H21" s="20">
        <f>SUM(Jan!H21, Feb!H21, Mar!H21)</f>
        <v>-88345.459999999992</v>
      </c>
      <c r="I21" s="19">
        <f t="shared" si="8"/>
        <v>-0.34966710258232231</v>
      </c>
    </row>
    <row r="22" spans="1:9" ht="15.5" x14ac:dyDescent="0.25">
      <c r="A22" s="55" t="str">
        <v>Kohls - North Amherst</v>
      </c>
      <c r="B22" s="28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SUM('1st Qtr'!G22, '2nd Qtr'!G22, '3rd Qtr'!G22, '4th Qtr'!G22)</f>
        <v>126121.83</v>
      </c>
      <c r="H22" s="15">
        <f>SUM(Jan!H22, Feb!H22, Mar!H22)</f>
        <v>-6786.4499999999989</v>
      </c>
      <c r="I22" s="16">
        <f t="shared" si="8"/>
        <v>-5.3808686410592034E-2</v>
      </c>
    </row>
    <row r="23" spans="1:9" ht="15.5" x14ac:dyDescent="0.25">
      <c r="A23" s="54" t="str">
        <v>Kohls - Staten Island</v>
      </c>
      <c r="B23" s="3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SUM('1st Qtr'!G23, '2nd Qtr'!G23, '3rd Qtr'!G23, '4th Qtr'!G23)</f>
        <v>151868.16</v>
      </c>
      <c r="H23" s="20">
        <f>SUM(Jan!H23, Feb!H23, Mar!H23)</f>
        <v>-8920.7000000000007</v>
      </c>
      <c r="I23" s="19">
        <f t="shared" si="8"/>
        <v>-5.8739764806526928E-2</v>
      </c>
    </row>
    <row r="24" spans="1:9" ht="15.5" x14ac:dyDescent="0.25">
      <c r="A24" s="55" t="str">
        <v>Kohls - Warminster</v>
      </c>
      <c r="B24" s="28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SUM('1st Qtr'!G24, '2nd Qtr'!G24, '3rd Qtr'!G24, '4th Qtr'!G24)</f>
        <v>160563.65</v>
      </c>
      <c r="H24" s="15">
        <f>SUM(Jan!H24, Feb!H24, Mar!H24)</f>
        <v>-40277.78</v>
      </c>
      <c r="I24" s="16">
        <f t="shared" si="8"/>
        <v>-0.25085241896282251</v>
      </c>
    </row>
    <row r="25" spans="1:9" ht="15.5" x14ac:dyDescent="0.25">
      <c r="A25" s="54" t="str">
        <v xml:space="preserve">Kohls - Waterbury </v>
      </c>
      <c r="B25" s="3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15">
        <f>Jan!G25+Feb!G25+Mar!G25+Apr!G25+May!G25</f>
        <v>142928.24</v>
      </c>
      <c r="H25" s="20">
        <f>SUM(Jan!H25, Feb!H25, Mar!H25)</f>
        <v>-2028.6800000000021</v>
      </c>
      <c r="I25" s="19">
        <f t="shared" si="8"/>
        <v>-1.4193696081334257E-2</v>
      </c>
    </row>
    <row r="26" spans="1:9" ht="13" x14ac:dyDescent="0.3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" x14ac:dyDescent="0.3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" x14ac:dyDescent="0.3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" x14ac:dyDescent="0.3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" x14ac:dyDescent="0.3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" x14ac:dyDescent="0.3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" x14ac:dyDescent="0.3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G4" sqref="G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4" t="str" cm="1">
        <f t="array" ref="A1">portfolio</f>
        <v>Silicon Ranch</v>
      </c>
      <c r="B1" s="64"/>
      <c r="C1" s="64"/>
      <c r="D1" s="65" t="s">
        <v>10</v>
      </c>
      <c r="E1" s="65"/>
      <c r="F1" s="65"/>
      <c r="G1" s="63" t="s">
        <v>11</v>
      </c>
      <c r="H1" s="63"/>
      <c r="I1" s="63"/>
    </row>
    <row r="2" spans="1:9" ht="19.5" customHeight="1" x14ac:dyDescent="0.25">
      <c r="A2" s="66" t="s">
        <v>2</v>
      </c>
      <c r="B2" s="66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 t="e">
        <f>SUM(G4:G100)</f>
        <v>#REF!</v>
      </c>
      <c r="H2" s="7" t="e">
        <f>C2-G2</f>
        <v>#REF!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5" x14ac:dyDescent="0.2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5" x14ac:dyDescent="0.25">
      <c r="A5" s="51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5" x14ac:dyDescent="0.25">
      <c r="A6" s="50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5" x14ac:dyDescent="0.25">
      <c r="A7" s="51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5" x14ac:dyDescent="0.25">
      <c r="A8" s="50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5" x14ac:dyDescent="0.25">
      <c r="A9" s="51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5" x14ac:dyDescent="0.25">
      <c r="A10" s="50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5" x14ac:dyDescent="0.25">
      <c r="A11" s="51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5" x14ac:dyDescent="0.25">
      <c r="A12" s="50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5" x14ac:dyDescent="0.25">
      <c r="A13" s="51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5" x14ac:dyDescent="0.25">
      <c r="A14" s="50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5" x14ac:dyDescent="0.25">
      <c r="A15" s="51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5" x14ac:dyDescent="0.25">
      <c r="A16" s="50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5" x14ac:dyDescent="0.25">
      <c r="A17" s="51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 x14ac:dyDescent="0.25">
      <c r="A18" s="50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5" x14ac:dyDescent="0.25">
      <c r="A19" s="51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5" x14ac:dyDescent="0.25">
      <c r="A20" s="50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5" x14ac:dyDescent="0.25">
      <c r="A21" s="51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5" x14ac:dyDescent="0.25">
      <c r="A22" s="50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5" x14ac:dyDescent="0.25">
      <c r="A23" s="51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5" x14ac:dyDescent="0.25">
      <c r="A24" s="50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5" x14ac:dyDescent="0.25">
      <c r="A25" s="51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 t="e">
        <f>SUM(Jan!G25, Feb!G25, Mar!#REF!)</f>
        <v>#REF!</v>
      </c>
      <c r="H25" s="20">
        <f>SUM(Jan!H25, Feb!H25, Mar!H25)</f>
        <v>-2028.6800000000021</v>
      </c>
      <c r="I25" s="16" t="str">
        <f t="shared" si="8"/>
        <v/>
      </c>
    </row>
    <row r="26" spans="1:9" ht="14.5" x14ac:dyDescent="0.3">
      <c r="A26" s="21"/>
      <c r="B26" s="10"/>
      <c r="C26" s="21"/>
      <c r="D26" s="21"/>
      <c r="E26" s="21"/>
      <c r="F26" s="21"/>
      <c r="G26" s="21"/>
      <c r="H26" s="21"/>
      <c r="I26" s="21"/>
    </row>
    <row r="27" spans="1:9" ht="13" x14ac:dyDescent="0.3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" x14ac:dyDescent="0.3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" x14ac:dyDescent="0.3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" x14ac:dyDescent="0.3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" x14ac:dyDescent="0.3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" x14ac:dyDescent="0.3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C33" sqref="C33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4" t="str" cm="1">
        <f t="array" ref="A1">portfolio</f>
        <v>Silicon Ranch</v>
      </c>
      <c r="B1" s="64"/>
      <c r="C1" s="64"/>
      <c r="D1" s="65" t="s">
        <v>12</v>
      </c>
      <c r="E1" s="65"/>
      <c r="F1" s="65"/>
      <c r="G1" s="63" t="s">
        <v>13</v>
      </c>
      <c r="H1" s="63"/>
      <c r="I1" s="63"/>
    </row>
    <row r="2" spans="1:9" ht="19.5" customHeight="1" x14ac:dyDescent="0.25">
      <c r="A2" s="66" t="s">
        <v>2</v>
      </c>
      <c r="B2" s="66"/>
      <c r="C2" s="5">
        <f>SUM(C4:C100)</f>
        <v>1962094.8</v>
      </c>
      <c r="D2" s="5">
        <f>SUM(D4:D100)</f>
        <v>0</v>
      </c>
      <c r="E2" s="5">
        <f>C2-D2</f>
        <v>1962094.8</v>
      </c>
      <c r="F2" s="6">
        <f>IFERROR(E2/D2, 0)</f>
        <v>0</v>
      </c>
      <c r="G2" s="5">
        <f>SUM(G4:G100)</f>
        <v>2348284.182</v>
      </c>
      <c r="H2" s="7">
        <f>C2-G2</f>
        <v>-386189.38199999998</v>
      </c>
      <c r="I2" s="6">
        <f>IFERROR(H2/G2, 0)</f>
        <v>-0.16445598235520542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5" x14ac:dyDescent="0.2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63413</v>
      </c>
      <c r="D4" s="13">
        <f>SUM(Apr!D4, May!D4, Jun!D4)</f>
        <v>0</v>
      </c>
      <c r="E4" s="13">
        <f>IF(AND(ISNUMBER(C4),ISNUMBER(D4)), C4-D4, "")</f>
        <v>63413</v>
      </c>
      <c r="F4" s="14" t="str">
        <f>IFERROR(E4/D4, "")</f>
        <v/>
      </c>
      <c r="G4" s="15">
        <f>SUM(Apr!G4, May!G4, Jun!G4)</f>
        <v>65708.260000000009</v>
      </c>
      <c r="H4" s="15">
        <f>SUM(Apr!H4, May!H4, Jun!H4)</f>
        <v>-2295.260000000002</v>
      </c>
      <c r="I4" s="16">
        <f>IFERROR(H4/G4, "")</f>
        <v>-3.4931072592699938E-2</v>
      </c>
    </row>
    <row r="5" spans="1:9" ht="15.5" x14ac:dyDescent="0.25">
      <c r="A5" s="51" t="str">
        <v>Kohls - Auburn</v>
      </c>
      <c r="B5" s="10" t="str">
        <v>NY</v>
      </c>
      <c r="C5" s="11">
        <f>SUM(Apr!C5, May!C5, Jun!C5)</f>
        <v>69501</v>
      </c>
      <c r="D5" s="18">
        <f>SUM(Apr!D5, May!D5, Jun!D5)</f>
        <v>0</v>
      </c>
      <c r="E5" s="18">
        <f t="shared" ref="E5:E15" si="0">IF(AND(ISNUMBER(C5),ISNUMBER(D5)), C5-D5, "")</f>
        <v>69501</v>
      </c>
      <c r="F5" s="19" t="str">
        <f>IFERROR(E5/D5, "")</f>
        <v/>
      </c>
      <c r="G5" s="20">
        <f>SUM(Apr!G5, May!G5, Jun!G5)</f>
        <v>80100.88</v>
      </c>
      <c r="H5" s="20">
        <f>SUM(Apr!H5, May!H5, Jun!H5)</f>
        <v>-10599.879999999997</v>
      </c>
      <c r="I5" s="19">
        <f>IFERROR(H5/G5, "")</f>
        <v>-0.13233162981480348</v>
      </c>
    </row>
    <row r="6" spans="1:9" ht="15.5" x14ac:dyDescent="0.25">
      <c r="A6" s="50" t="str">
        <v>Kohls - Bensalem</v>
      </c>
      <c r="B6" s="9" t="str">
        <v>PA</v>
      </c>
      <c r="C6" s="24">
        <f>SUM(Apr!C6, May!C6, Jun!C6)</f>
        <v>73357</v>
      </c>
      <c r="D6" s="13">
        <f>SUM(Apr!D6, May!D6, Jun!D6)</f>
        <v>0</v>
      </c>
      <c r="E6" s="13">
        <f t="shared" si="0"/>
        <v>73357</v>
      </c>
      <c r="F6" s="14" t="str">
        <f t="shared" ref="F6:F15" si="1">IFERROR(E6/D6, "")</f>
        <v/>
      </c>
      <c r="G6" s="15">
        <f>SUM(Apr!G6, May!G6, Jun!G6)</f>
        <v>71991.23</v>
      </c>
      <c r="H6" s="15">
        <f>SUM(Apr!H6, May!H6, Jun!H6)</f>
        <v>1365.7700000000041</v>
      </c>
      <c r="I6" s="16">
        <f t="shared" ref="I6:I15" si="2">IFERROR(H6/G6, "")</f>
        <v>1.8971338592214691E-2</v>
      </c>
    </row>
    <row r="7" spans="1:9" ht="15.5" x14ac:dyDescent="0.25">
      <c r="A7" s="51" t="str">
        <v>Kohls - Brick</v>
      </c>
      <c r="B7" s="10" t="str">
        <v>NJ</v>
      </c>
      <c r="C7" s="11">
        <f>SUM(Apr!C7, May!C7, Jun!C7)</f>
        <v>81922</v>
      </c>
      <c r="D7" s="18">
        <f>SUM(Apr!D7, May!D7, Jun!D7)</f>
        <v>0</v>
      </c>
      <c r="E7" s="18">
        <f t="shared" si="0"/>
        <v>81922</v>
      </c>
      <c r="F7" s="19" t="str">
        <f t="shared" si="1"/>
        <v/>
      </c>
      <c r="G7" s="20">
        <f>SUM(Apr!G7, May!G7, Jun!G7)</f>
        <v>87853.62</v>
      </c>
      <c r="H7" s="20">
        <f>SUM(Apr!H7, May!H7, Jun!H7)</f>
        <v>-5931.6199999999953</v>
      </c>
      <c r="I7" s="19">
        <f t="shared" si="2"/>
        <v>-6.7517081254022268E-2</v>
      </c>
    </row>
    <row r="8" spans="1:9" ht="15.5" x14ac:dyDescent="0.25">
      <c r="A8" s="50" t="str">
        <v>Kohls - Buffalo</v>
      </c>
      <c r="B8" s="9" t="str">
        <v>NY</v>
      </c>
      <c r="C8" s="24">
        <f>SUM(Apr!C8, May!C8, Jun!C8)</f>
        <v>85537</v>
      </c>
      <c r="D8" s="13">
        <f>SUM(Apr!D8, May!D8, Jun!D8)</f>
        <v>0</v>
      </c>
      <c r="E8" s="13">
        <f t="shared" si="0"/>
        <v>85537</v>
      </c>
      <c r="F8" s="14" t="str">
        <f t="shared" si="1"/>
        <v/>
      </c>
      <c r="G8" s="15">
        <f>SUM(Apr!G8, May!G8, Jun!G8)</f>
        <v>95640.06</v>
      </c>
      <c r="H8" s="15">
        <f>SUM(Apr!H8, May!H8, Jun!H8)</f>
        <v>-10103.059999999998</v>
      </c>
      <c r="I8" s="16">
        <f t="shared" si="2"/>
        <v>-0.10563627835448867</v>
      </c>
    </row>
    <row r="9" spans="1:9" ht="15.5" x14ac:dyDescent="0.25">
      <c r="A9" s="51" t="str">
        <v>Kohls - Canton</v>
      </c>
      <c r="B9" s="10" t="str">
        <v>CT</v>
      </c>
      <c r="C9" s="11">
        <f>SUM(Apr!C9, May!C9, Jun!C9)</f>
        <v>31136</v>
      </c>
      <c r="D9" s="18">
        <f>SUM(Apr!D9, May!D9, Jun!D9)</f>
        <v>0</v>
      </c>
      <c r="E9" s="18">
        <f t="shared" si="0"/>
        <v>31136</v>
      </c>
      <c r="F9" s="19" t="str">
        <f t="shared" si="1"/>
        <v/>
      </c>
      <c r="G9" s="20">
        <f>SUM(Apr!G9, May!G9, Jun!G9)</f>
        <v>29131.809999999998</v>
      </c>
      <c r="H9" s="20">
        <f>SUM(Apr!H9, May!H9, Jun!H9)</f>
        <v>2004.1900000000005</v>
      </c>
      <c r="I9" s="19">
        <f t="shared" si="2"/>
        <v>6.8797304389943525E-2</v>
      </c>
    </row>
    <row r="10" spans="1:9" ht="15.5" x14ac:dyDescent="0.25">
      <c r="A10" s="50" t="str">
        <v>Kohls - East Amherst</v>
      </c>
      <c r="B10" s="9" t="str">
        <v>NY</v>
      </c>
      <c r="C10" s="24">
        <f>SUM(Apr!C10, May!C10, Jun!C10)</f>
        <v>78995</v>
      </c>
      <c r="D10" s="13">
        <f>SUM(Apr!D10, May!D10, Jun!D10)</f>
        <v>0</v>
      </c>
      <c r="E10" s="13">
        <f t="shared" si="0"/>
        <v>78995</v>
      </c>
      <c r="F10" s="14" t="str">
        <f t="shared" si="1"/>
        <v/>
      </c>
      <c r="G10" s="15">
        <f>SUM(Apr!G10, May!G10, Jun!G10)</f>
        <v>85013.39</v>
      </c>
      <c r="H10" s="15">
        <f>SUM(Apr!H10, May!H10, Jun!H10)</f>
        <v>-6018.3899999999994</v>
      </c>
      <c r="I10" s="16">
        <f t="shared" si="2"/>
        <v>-7.0793436186934774E-2</v>
      </c>
    </row>
    <row r="11" spans="1:9" ht="15.5" x14ac:dyDescent="0.25">
      <c r="A11" s="51" t="str">
        <v>Kohls - East Brunswick</v>
      </c>
      <c r="B11" s="10" t="str">
        <v>NJ</v>
      </c>
      <c r="C11" s="11">
        <f>SUM(Apr!C11, May!C11, Jun!C11)</f>
        <v>69426</v>
      </c>
      <c r="D11" s="18">
        <f>SUM(Apr!D11, May!D11, Jun!D11)</f>
        <v>0</v>
      </c>
      <c r="E11" s="18">
        <f t="shared" si="0"/>
        <v>69426</v>
      </c>
      <c r="F11" s="19" t="str">
        <f t="shared" si="1"/>
        <v/>
      </c>
      <c r="G11" s="20">
        <f>SUM(Apr!G11, May!G11, Jun!G11)</f>
        <v>112485.98999999999</v>
      </c>
      <c r="H11" s="20">
        <f>SUM(Apr!H11, May!H11, Jun!H11)</f>
        <v>-43059.99</v>
      </c>
      <c r="I11" s="19">
        <f t="shared" si="2"/>
        <v>-0.3828031384175043</v>
      </c>
    </row>
    <row r="12" spans="1:9" ht="15.5" x14ac:dyDescent="0.25">
      <c r="A12" s="50" t="str">
        <v>Kohls - Edgewood</v>
      </c>
      <c r="B12" s="9" t="str">
        <v>MD</v>
      </c>
      <c r="C12" s="24">
        <f>SUM(Apr!C12, May!C12, Jun!C12)</f>
        <v>454758</v>
      </c>
      <c r="D12" s="13">
        <f>SUM(Apr!D12, May!D12, Jun!D12)</f>
        <v>0</v>
      </c>
      <c r="E12" s="13">
        <f t="shared" si="0"/>
        <v>454758</v>
      </c>
      <c r="F12" s="14" t="str">
        <f t="shared" si="1"/>
        <v/>
      </c>
      <c r="G12" s="15">
        <f>SUM(Apr!G12, May!G12, Jun!G12)</f>
        <v>596180.32000000007</v>
      </c>
      <c r="H12" s="15">
        <f>SUM(Apr!H12, May!H12, Jun!H12)</f>
        <v>-141422.32</v>
      </c>
      <c r="I12" s="16">
        <f t="shared" si="2"/>
        <v>-0.237214002635981</v>
      </c>
    </row>
    <row r="13" spans="1:9" ht="15.5" x14ac:dyDescent="0.25">
      <c r="A13" s="51" t="str">
        <v>Kohls - Granite Run</v>
      </c>
      <c r="B13" s="10" t="str">
        <v>PA</v>
      </c>
      <c r="C13" s="11">
        <f>SUM(Apr!C13, May!C13, Jun!C13)</f>
        <v>68212</v>
      </c>
      <c r="D13" s="18">
        <f>SUM(Apr!D13, May!D13, Jun!D13)</f>
        <v>0</v>
      </c>
      <c r="E13" s="18">
        <f t="shared" si="0"/>
        <v>68212</v>
      </c>
      <c r="F13" s="19" t="str">
        <f t="shared" si="1"/>
        <v/>
      </c>
      <c r="G13" s="20">
        <f>SUM(Apr!G13, May!G13, Jun!G13)</f>
        <v>72000.540000000008</v>
      </c>
      <c r="H13" s="20">
        <f>SUM(Apr!H13, May!H13, Jun!H13)</f>
        <v>-3788.5400000000009</v>
      </c>
      <c r="I13" s="19">
        <f t="shared" si="2"/>
        <v>-5.2618216474487556E-2</v>
      </c>
    </row>
    <row r="14" spans="1:9" ht="15.5" x14ac:dyDescent="0.25">
      <c r="A14" s="50" t="str">
        <v>Kohls - Greece</v>
      </c>
      <c r="B14" s="9" t="str">
        <v>NY</v>
      </c>
      <c r="C14" s="24">
        <f>SUM(Apr!C14, May!C14, Jun!C14)</f>
        <v>68457</v>
      </c>
      <c r="D14" s="13">
        <f>SUM(Apr!D14, May!D14, Jun!D14)</f>
        <v>0</v>
      </c>
      <c r="E14" s="13">
        <f t="shared" si="0"/>
        <v>68457</v>
      </c>
      <c r="F14" s="14" t="str">
        <f t="shared" si="1"/>
        <v/>
      </c>
      <c r="G14" s="15">
        <f>SUM(Apr!G14, May!G14, Jun!G14)</f>
        <v>91846.15</v>
      </c>
      <c r="H14" s="15">
        <f>SUM(Apr!H14, May!H14, Jun!H14)</f>
        <v>-23389.15</v>
      </c>
      <c r="I14" s="16">
        <f t="shared" si="2"/>
        <v>-0.25465574768240151</v>
      </c>
    </row>
    <row r="15" spans="1:9" ht="15.5" x14ac:dyDescent="0.25">
      <c r="A15" s="51" t="str">
        <v>Kohls - Hanover</v>
      </c>
      <c r="B15" s="10" t="str">
        <v>PA</v>
      </c>
      <c r="C15" s="11">
        <f>SUM(Apr!C15, May!C15, Jun!C15)</f>
        <v>41923</v>
      </c>
      <c r="D15" s="18">
        <f>SUM(Apr!D15, May!D15, Jun!D15)</f>
        <v>0</v>
      </c>
      <c r="E15" s="18">
        <f t="shared" si="0"/>
        <v>41923</v>
      </c>
      <c r="F15" s="19" t="str">
        <f t="shared" si="1"/>
        <v/>
      </c>
      <c r="G15" s="20">
        <f>SUM(Apr!G15, May!G15, Jun!G15)</f>
        <v>81594.929999999993</v>
      </c>
      <c r="H15" s="20">
        <f>SUM(Apr!H15, May!H15, Jun!H15)</f>
        <v>-39671.93</v>
      </c>
      <c r="I15" s="19">
        <f t="shared" si="2"/>
        <v>-0.48620582185682376</v>
      </c>
    </row>
    <row r="16" spans="1:9" ht="15.5" x14ac:dyDescent="0.25">
      <c r="A16" s="50" t="str">
        <v>Kohls - Horsehead</v>
      </c>
      <c r="B16" s="9" t="str">
        <v>NY</v>
      </c>
      <c r="C16" s="24">
        <f>SUM(Apr!C16, May!C16, Jun!C16)</f>
        <v>60704</v>
      </c>
      <c r="D16" s="13">
        <f>SUM(Apr!D16, May!D16, Jun!D16)</f>
        <v>0</v>
      </c>
      <c r="E16" s="13">
        <f t="shared" ref="E16:E18" si="3">IF(AND(ISNUMBER(C16),ISNUMBER(D16)), C16-D16, "")</f>
        <v>60704</v>
      </c>
      <c r="F16" s="14" t="str">
        <f t="shared" ref="F16:F18" si="4">IFERROR(E16/D16, "")</f>
        <v/>
      </c>
      <c r="G16" s="15">
        <f>SUM(Apr!G16, May!G16, Jun!G16)</f>
        <v>64878.64</v>
      </c>
      <c r="H16" s="15">
        <f>SUM(Apr!H16, May!H16, Jun!H16)</f>
        <v>-4174.6400000000031</v>
      </c>
      <c r="I16" s="16">
        <f t="shared" ref="I16:I18" si="5">IFERROR(H16/G16, "")</f>
        <v>-6.434536852190495E-2</v>
      </c>
    </row>
    <row r="17" spans="1:9" ht="15.5" x14ac:dyDescent="0.25">
      <c r="A17" s="51" t="str">
        <v>Kohls - Hudson</v>
      </c>
      <c r="B17" s="10" t="str">
        <v>NY</v>
      </c>
      <c r="C17" s="24">
        <f>SUM(Apr!C17, May!C17, Jun!C17)</f>
        <v>60016</v>
      </c>
      <c r="D17" s="13">
        <f>SUM(Apr!D17, May!D17, Jun!D17)</f>
        <v>0</v>
      </c>
      <c r="E17" s="13">
        <f t="shared" si="3"/>
        <v>60016</v>
      </c>
      <c r="F17" s="14" t="str">
        <f t="shared" si="4"/>
        <v/>
      </c>
      <c r="G17" s="20">
        <f>SUM(Apr!G17, May!G17, Jun!G17)</f>
        <v>68812.38</v>
      </c>
      <c r="H17" s="15">
        <f>SUM(Apr!H17, May!H17, Jun!H17)</f>
        <v>-8796.380000000001</v>
      </c>
      <c r="I17" s="16">
        <f t="shared" si="5"/>
        <v>-0.12783135825268652</v>
      </c>
    </row>
    <row r="18" spans="1:9" ht="12.75" customHeight="1" x14ac:dyDescent="0.25">
      <c r="A18" s="50" t="str">
        <v>Kohls - Ithaca</v>
      </c>
      <c r="B18" s="9" t="str">
        <v>NY</v>
      </c>
      <c r="C18" s="11">
        <f>SUM(Apr!C18, May!C18, Jun!C18)</f>
        <v>64257</v>
      </c>
      <c r="D18" s="18">
        <f>SUM(Apr!D18, May!D18, Jun!D18)</f>
        <v>0</v>
      </c>
      <c r="E18" s="18">
        <f t="shared" si="3"/>
        <v>64257</v>
      </c>
      <c r="F18" s="19" t="str">
        <f t="shared" si="4"/>
        <v/>
      </c>
      <c r="G18" s="15">
        <f>SUM(Apr!G18, May!G18, Jun!G18)</f>
        <v>75831.570000000007</v>
      </c>
      <c r="H18" s="20">
        <f>SUM(Apr!H18, May!H18, Jun!H18)</f>
        <v>-11574.57</v>
      </c>
      <c r="I18" s="19">
        <f t="shared" si="5"/>
        <v>-0.15263524149638466</v>
      </c>
    </row>
    <row r="19" spans="1:9" ht="15.5" x14ac:dyDescent="0.25">
      <c r="A19" s="51" t="str">
        <v>Kohls - Kingston</v>
      </c>
      <c r="B19" s="10" t="str">
        <v>NY</v>
      </c>
      <c r="C19" s="24">
        <f>SUM(Apr!C19, May!C19, Jun!C19)</f>
        <v>89216</v>
      </c>
      <c r="D19" s="13">
        <f>SUM(Apr!D19, May!D19, Jun!D19)</f>
        <v>0</v>
      </c>
      <c r="E19" s="13">
        <f t="shared" ref="E19:E25" si="6">IF(AND(ISNUMBER(C19),ISNUMBER(D19)), C19-D19, "")</f>
        <v>89216</v>
      </c>
      <c r="F19" s="14" t="str">
        <f t="shared" ref="F19:F25" si="7">IFERROR(E19/D19, "")</f>
        <v/>
      </c>
      <c r="G19" s="20">
        <f>SUM(Apr!G19, May!G19, Jun!G19)</f>
        <v>113006.28200000001</v>
      </c>
      <c r="H19" s="15">
        <f>SUM(Apr!H19, May!H19, Jun!H19)</f>
        <v>-23790.281999999999</v>
      </c>
      <c r="I19" s="16">
        <f t="shared" ref="I19:I25" si="8">IFERROR(H19/G19, "")</f>
        <v>-0.21052176550680604</v>
      </c>
    </row>
    <row r="20" spans="1:9" ht="15.5" x14ac:dyDescent="0.25">
      <c r="A20" s="50" t="str">
        <v>Kohls - Mechanicsburg</v>
      </c>
      <c r="B20" s="9" t="str">
        <v>PA</v>
      </c>
      <c r="C20" s="24">
        <f>SUM(Apr!C20, May!C20, Jun!C20)</f>
        <v>88858</v>
      </c>
      <c r="D20" s="13">
        <f>SUM(Apr!D20, May!D20, Jun!D20)</f>
        <v>0</v>
      </c>
      <c r="E20" s="13">
        <f t="shared" si="6"/>
        <v>88858</v>
      </c>
      <c r="F20" s="14" t="str">
        <f t="shared" si="7"/>
        <v/>
      </c>
      <c r="G20" s="15">
        <f>SUM(Apr!G20, May!G20, Jun!G20)</f>
        <v>95291.290000000008</v>
      </c>
      <c r="H20" s="15">
        <f>SUM(Apr!H20, May!H20, Jun!H20)</f>
        <v>-6433.2900000000009</v>
      </c>
      <c r="I20" s="16">
        <f t="shared" si="8"/>
        <v>-6.7511836601225575E-2</v>
      </c>
    </row>
    <row r="21" spans="1:9" ht="15.5" x14ac:dyDescent="0.25">
      <c r="A21" s="51" t="str">
        <v>Kohls - Middletown</v>
      </c>
      <c r="B21" s="10" t="str">
        <v>NJ</v>
      </c>
      <c r="C21" s="11">
        <f>SUM(Apr!C21, May!C21, Jun!C21)</f>
        <v>115987</v>
      </c>
      <c r="D21" s="18">
        <f>SUM(Apr!D21, May!D21, Jun!D21)</f>
        <v>0</v>
      </c>
      <c r="E21" s="18">
        <f t="shared" si="6"/>
        <v>115987</v>
      </c>
      <c r="F21" s="19" t="str">
        <f t="shared" si="7"/>
        <v/>
      </c>
      <c r="G21" s="20">
        <f>SUM(Apr!G21, May!G21, Jun!G21)</f>
        <v>133599.45000000001</v>
      </c>
      <c r="H21" s="20">
        <f>SUM(Apr!H21, May!H21, Jun!H21)</f>
        <v>-17612.450000000004</v>
      </c>
      <c r="I21" s="19">
        <f t="shared" si="8"/>
        <v>-0.13183025828324893</v>
      </c>
    </row>
    <row r="22" spans="1:9" ht="15.5" x14ac:dyDescent="0.25">
      <c r="A22" s="50" t="str">
        <v>Kohls - North Amherst</v>
      </c>
      <c r="B22" s="9" t="str">
        <v>NY</v>
      </c>
      <c r="C22" s="24">
        <f>SUM(Apr!C22, May!C22, Jun!C22)</f>
        <v>60508</v>
      </c>
      <c r="D22" s="13">
        <f>SUM(Apr!D22, May!D22, Jun!D22)</f>
        <v>0</v>
      </c>
      <c r="E22" s="13">
        <f t="shared" si="6"/>
        <v>60508</v>
      </c>
      <c r="F22" s="14" t="str">
        <f t="shared" si="7"/>
        <v/>
      </c>
      <c r="G22" s="15">
        <f>SUM(Apr!G22, May!G22, Jun!G22)</f>
        <v>81564.38</v>
      </c>
      <c r="H22" s="15">
        <f>SUM(Apr!H22, May!H22, Jun!H22)</f>
        <v>-21056.379999999997</v>
      </c>
      <c r="I22" s="16">
        <f t="shared" si="8"/>
        <v>-0.25815656295064093</v>
      </c>
    </row>
    <row r="23" spans="1:9" ht="15.5" x14ac:dyDescent="0.25">
      <c r="A23" s="51" t="str">
        <v>Kohls - Staten Island</v>
      </c>
      <c r="B23" s="10" t="str">
        <v>NY</v>
      </c>
      <c r="C23" s="24">
        <f>SUM(Apr!C23, May!C23, Jun!C23)</f>
        <v>71995.799999999988</v>
      </c>
      <c r="D23" s="13">
        <f>SUM(Apr!D23, May!D23, Jun!D23)</f>
        <v>0</v>
      </c>
      <c r="E23" s="13">
        <f t="shared" si="6"/>
        <v>71995.799999999988</v>
      </c>
      <c r="F23" s="14" t="str">
        <f t="shared" si="7"/>
        <v/>
      </c>
      <c r="G23" s="20">
        <f>SUM(Apr!G23, May!G23, Jun!G23)</f>
        <v>78466.429999999993</v>
      </c>
      <c r="H23" s="15">
        <f>SUM(Apr!H23, May!H23, Jun!H23)</f>
        <v>-6470.6300000000047</v>
      </c>
      <c r="I23" s="16">
        <f t="shared" si="8"/>
        <v>-8.2463672681425737E-2</v>
      </c>
    </row>
    <row r="24" spans="1:9" ht="15.5" x14ac:dyDescent="0.25">
      <c r="A24" s="50" t="str">
        <v>Kohls - Warminster</v>
      </c>
      <c r="B24" s="9" t="str">
        <v>PA</v>
      </c>
      <c r="C24" s="11">
        <f>SUM(Apr!C24, May!C24, Jun!C24)</f>
        <v>87269</v>
      </c>
      <c r="D24" s="18">
        <f>SUM(Apr!D24, May!D24, Jun!D24)</f>
        <v>0</v>
      </c>
      <c r="E24" s="18">
        <f t="shared" si="6"/>
        <v>87269</v>
      </c>
      <c r="F24" s="19" t="str">
        <f t="shared" si="7"/>
        <v/>
      </c>
      <c r="G24" s="15">
        <f>SUM(Apr!G24, May!G24, Jun!G24)</f>
        <v>87827.01999999999</v>
      </c>
      <c r="H24" s="20">
        <f>SUM(Apr!H24, May!H24, Jun!H24)</f>
        <v>-558.0199999999968</v>
      </c>
      <c r="I24" s="19">
        <f t="shared" si="8"/>
        <v>-6.3536255698986126E-3</v>
      </c>
    </row>
    <row r="25" spans="1:9" ht="15.5" x14ac:dyDescent="0.25">
      <c r="A25" s="51" t="str">
        <v xml:space="preserve">Kohls - Waterbury </v>
      </c>
      <c r="B25" s="10" t="str">
        <v>CT</v>
      </c>
      <c r="C25" s="24">
        <f>SUM(Apr!C25, May!C25, Jun!C25)</f>
        <v>76647</v>
      </c>
      <c r="D25" s="13">
        <f>SUM(Apr!D25, May!D25, Jun!D25)</f>
        <v>0</v>
      </c>
      <c r="E25" s="13">
        <f t="shared" si="6"/>
        <v>76647</v>
      </c>
      <c r="F25" s="14" t="str">
        <f t="shared" si="7"/>
        <v/>
      </c>
      <c r="G25" s="20">
        <f>SUM(Apr!G25, May!G25, Jun!G25)</f>
        <v>79459.56</v>
      </c>
      <c r="H25" s="15">
        <f>SUM(Apr!H25, May!H25, Jun!H25)</f>
        <v>-2812.5599999999977</v>
      </c>
      <c r="I25" s="16">
        <f t="shared" si="8"/>
        <v>-3.5396118478380673E-2</v>
      </c>
    </row>
    <row r="26" spans="1:9" ht="13" x14ac:dyDescent="0.3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" x14ac:dyDescent="0.3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" x14ac:dyDescent="0.3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" x14ac:dyDescent="0.3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" x14ac:dyDescent="0.3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" x14ac:dyDescent="0.3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" x14ac:dyDescent="0.3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A4" sqref="A4:A2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4" t="str" cm="1">
        <f t="array" ref="A1">portfolio</f>
        <v>Silicon Ranch</v>
      </c>
      <c r="B1" s="64"/>
      <c r="C1" s="64"/>
      <c r="D1" s="65" t="s">
        <v>14</v>
      </c>
      <c r="E1" s="65"/>
      <c r="F1" s="65"/>
      <c r="G1" s="63" t="s">
        <v>15</v>
      </c>
      <c r="H1" s="63"/>
      <c r="I1" s="63"/>
    </row>
    <row r="2" spans="1:9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5" x14ac:dyDescent="0.2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5" x14ac:dyDescent="0.25">
      <c r="A5" s="51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5" x14ac:dyDescent="0.25">
      <c r="A6" s="50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5" x14ac:dyDescent="0.25">
      <c r="A7" s="51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5" x14ac:dyDescent="0.25">
      <c r="A8" s="50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5" x14ac:dyDescent="0.25">
      <c r="A9" s="51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5" x14ac:dyDescent="0.25">
      <c r="A10" s="50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5" x14ac:dyDescent="0.25">
      <c r="A11" s="51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5" x14ac:dyDescent="0.25">
      <c r="A12" s="50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5" x14ac:dyDescent="0.25">
      <c r="A13" s="51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5" x14ac:dyDescent="0.25">
      <c r="A14" s="50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5" x14ac:dyDescent="0.25">
      <c r="A15" s="51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5" x14ac:dyDescent="0.25">
      <c r="A16" s="50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5" x14ac:dyDescent="0.25">
      <c r="A17" s="51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 x14ac:dyDescent="0.25">
      <c r="A18" s="50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5" x14ac:dyDescent="0.25">
      <c r="A19" s="51" t="str">
        <v>Kohls - Kingston</v>
      </c>
      <c r="B19" s="17" t="str">
        <v>NY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5" x14ac:dyDescent="0.25">
      <c r="A20" s="50" t="str">
        <v>Kohls - Mechanicsburg</v>
      </c>
      <c r="B20" s="12" t="str">
        <v>PA</v>
      </c>
      <c r="C20" s="24">
        <f>SUM(Jul!C20, Aug!C20, Sep!C20)</f>
        <v>0</v>
      </c>
      <c r="D20" s="13">
        <f>SUM(Jul!D20, Aug!D20, Sep!D20)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/>
      <c r="H20" s="15">
        <f>SUM(Jul!H20, Aug!H20, Sep!H20)</f>
        <v>0</v>
      </c>
      <c r="I20" s="16" t="str">
        <f t="shared" ref="I20:I25" si="8">IFERROR(H20/G20, "")</f>
        <v/>
      </c>
    </row>
    <row r="21" spans="1:9" ht="15.5" x14ac:dyDescent="0.25">
      <c r="A21" s="51" t="str">
        <v>Kohls - Middletown</v>
      </c>
      <c r="B21" s="17" t="str">
        <v>NJ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5" x14ac:dyDescent="0.25">
      <c r="A22" s="50" t="str">
        <v>Kohls - North Amherst</v>
      </c>
      <c r="B22" s="12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5" x14ac:dyDescent="0.25">
      <c r="A23" s="51" t="str">
        <v>Kohls - Staten Island</v>
      </c>
      <c r="B23" s="17" t="str">
        <v>NY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5" x14ac:dyDescent="0.25">
      <c r="A24" s="50" t="str">
        <v>Kohls - Warminster</v>
      </c>
      <c r="B24" s="12" t="str">
        <v>PA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5" x14ac:dyDescent="0.25">
      <c r="A25" s="51" t="str">
        <v xml:space="preserve">Kohls - Waterbury </v>
      </c>
      <c r="B25" s="17" t="str">
        <v>CT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5" x14ac:dyDescent="0.3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5" x14ac:dyDescent="0.3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5" x14ac:dyDescent="0.3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5" x14ac:dyDescent="0.3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5" x14ac:dyDescent="0.3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5" x14ac:dyDescent="0.3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3" x14ac:dyDescent="0.3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A4" sqref="A4:A2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64" t="str" cm="1">
        <f t="array" ref="A1">portfolio</f>
        <v>Silicon Ranch</v>
      </c>
      <c r="B1" s="64"/>
      <c r="C1" s="64"/>
      <c r="D1" s="65" t="s">
        <v>16</v>
      </c>
      <c r="E1" s="65"/>
      <c r="F1" s="65"/>
      <c r="G1" s="63" t="s">
        <v>17</v>
      </c>
      <c r="H1" s="63"/>
      <c r="I1" s="63"/>
    </row>
    <row r="2" spans="1:9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5" x14ac:dyDescent="0.2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5" x14ac:dyDescent="0.25">
      <c r="A5" s="51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5" x14ac:dyDescent="0.25">
      <c r="A6" s="50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5" x14ac:dyDescent="0.25">
      <c r="A7" s="51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5" x14ac:dyDescent="0.25">
      <c r="A8" s="50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5" x14ac:dyDescent="0.25">
      <c r="A9" s="51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5" x14ac:dyDescent="0.25">
      <c r="A10" s="50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5" x14ac:dyDescent="0.25">
      <c r="A11" s="51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5" x14ac:dyDescent="0.25">
      <c r="A12" s="50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5" x14ac:dyDescent="0.25">
      <c r="A13" s="51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5" x14ac:dyDescent="0.25">
      <c r="A14" s="50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5" x14ac:dyDescent="0.25">
      <c r="A15" s="51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5" x14ac:dyDescent="0.25">
      <c r="A16" s="50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5" x14ac:dyDescent="0.25">
      <c r="A17" s="51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 x14ac:dyDescent="0.25">
      <c r="A18" s="50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5" x14ac:dyDescent="0.25">
      <c r="A19" s="51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5" x14ac:dyDescent="0.25">
      <c r="A20" s="50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5" x14ac:dyDescent="0.25">
      <c r="A21" s="51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5" x14ac:dyDescent="0.25">
      <c r="A22" s="50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5" x14ac:dyDescent="0.25">
      <c r="A23" s="51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5" x14ac:dyDescent="0.25">
      <c r="A24" s="50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5" x14ac:dyDescent="0.25">
      <c r="A25" s="51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5" x14ac:dyDescent="0.25">
      <c r="A26" s="17"/>
      <c r="B26" s="10"/>
      <c r="C26" s="47"/>
      <c r="D26" s="18"/>
      <c r="E26" s="18"/>
      <c r="F26" s="19"/>
      <c r="G26" s="20"/>
      <c r="H26" s="20"/>
      <c r="I26" s="19"/>
    </row>
    <row r="27" spans="1:9" ht="14.5" x14ac:dyDescent="0.3">
      <c r="A27" s="21"/>
      <c r="B27" s="10"/>
      <c r="C27" s="47"/>
      <c r="D27" s="18"/>
      <c r="E27" s="18"/>
      <c r="F27" s="19"/>
      <c r="G27" s="20"/>
      <c r="H27" s="20"/>
      <c r="I27" s="19"/>
    </row>
    <row r="28" spans="1:9" ht="14.5" x14ac:dyDescent="0.3">
      <c r="A28" s="21"/>
      <c r="B28" s="10"/>
      <c r="C28" s="47"/>
      <c r="D28" s="18"/>
      <c r="E28" s="18"/>
      <c r="F28" s="19"/>
      <c r="G28" s="20"/>
      <c r="H28" s="20"/>
      <c r="I28" s="19"/>
    </row>
    <row r="29" spans="1:9" ht="14.5" x14ac:dyDescent="0.3">
      <c r="A29" s="21"/>
      <c r="B29" s="10"/>
      <c r="C29" s="47"/>
      <c r="D29" s="18"/>
      <c r="E29" s="18"/>
      <c r="F29" s="19"/>
      <c r="G29" s="20"/>
      <c r="H29" s="20"/>
      <c r="I29" s="19"/>
    </row>
    <row r="30" spans="1:9" ht="14.5" x14ac:dyDescent="0.3">
      <c r="A30" s="21"/>
      <c r="B30" s="10"/>
      <c r="C30" s="47"/>
      <c r="D30" s="18"/>
      <c r="E30" s="18"/>
      <c r="F30" s="19"/>
      <c r="G30" s="20"/>
      <c r="H30" s="20"/>
      <c r="I30" s="19"/>
    </row>
    <row r="31" spans="1:9" ht="13" x14ac:dyDescent="0.3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" x14ac:dyDescent="0.3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" x14ac:dyDescent="0.3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" x14ac:dyDescent="0.3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" x14ac:dyDescent="0.3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" x14ac:dyDescent="0.3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" x14ac:dyDescent="0.3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" x14ac:dyDescent="0.3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9" activePane="bottomRight" state="frozen"/>
      <selection pane="topRight"/>
      <selection pane="bottomLeft"/>
      <selection pane="bottomRight" activeCell="G25" sqref="G25"/>
    </sheetView>
  </sheetViews>
  <sheetFormatPr defaultRowHeight="14" x14ac:dyDescent="0.3"/>
  <cols>
    <col min="1" max="1" width="24.54296875" bestFit="1" customWidth="1"/>
    <col min="2" max="2" width="5.7265625" style="34" bestFit="1" customWidth="1"/>
    <col min="3" max="3" width="8.81640625" bestFit="1" customWidth="1"/>
    <col min="4" max="4" width="9.1796875" customWidth="1"/>
    <col min="5" max="5" width="8.81640625" bestFit="1" customWidth="1"/>
    <col min="6" max="6" width="4.26953125" style="1" bestFit="1" customWidth="1"/>
    <col min="7" max="7" width="11" bestFit="1" customWidth="1"/>
    <col min="8" max="8" width="9.54296875" bestFit="1" customWidth="1"/>
    <col min="9" max="9" width="6.54296875" style="1" bestFit="1" customWidth="1"/>
    <col min="10" max="10" width="55" customWidth="1"/>
    <col min="11" max="11" width="20.54296875" bestFit="1" customWidth="1"/>
    <col min="12" max="20" width="9.1796875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18</v>
      </c>
      <c r="E1" s="65"/>
      <c r="F1" s="65"/>
      <c r="G1" s="63" t="s">
        <v>19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9" x14ac:dyDescent="0.25">
      <c r="A5" s="54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5" x14ac:dyDescent="0.25">
      <c r="A6" s="55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5" x14ac:dyDescent="0.25">
      <c r="A7" s="54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5" x14ac:dyDescent="0.25">
      <c r="A8" s="55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5" x14ac:dyDescent="0.25">
      <c r="A9" s="54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5" x14ac:dyDescent="0.25">
      <c r="A10" s="55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5" x14ac:dyDescent="0.25">
      <c r="A11" s="54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5" x14ac:dyDescent="0.25">
      <c r="A12" s="55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5" x14ac:dyDescent="0.25">
      <c r="A13" s="54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5" x14ac:dyDescent="0.25">
      <c r="A14" s="55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5" x14ac:dyDescent="0.25">
      <c r="A15" s="54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5" x14ac:dyDescent="0.25">
      <c r="A16" s="55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5" x14ac:dyDescent="0.25">
      <c r="A17" s="54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5" x14ac:dyDescent="0.25">
      <c r="A18" s="55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5" x14ac:dyDescent="0.25">
      <c r="A19" s="54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5" x14ac:dyDescent="0.25">
      <c r="A20" s="55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5" x14ac:dyDescent="0.25">
      <c r="A21" s="54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5" x14ac:dyDescent="0.25">
      <c r="A22" s="55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5" x14ac:dyDescent="0.25">
      <c r="A23" s="54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9" x14ac:dyDescent="0.25">
      <c r="A24" s="55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5" x14ac:dyDescent="0.25">
      <c r="A25" s="54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4.5" x14ac:dyDescent="0.3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5" priority="4" stopIfTrue="1" operator="lessThanOrEqual">
      <formula>-0.1</formula>
    </cfRule>
    <cfRule type="expression" dxfId="44" priority="5">
      <formula>AND(ISNUMBER(F2), F2&gt;=0.1)</formula>
    </cfRule>
  </conditionalFormatting>
  <conditionalFormatting sqref="F26:F99">
    <cfRule type="cellIs" dxfId="43" priority="1" stopIfTrue="1" operator="lessThanOrEqual">
      <formula>-0.1</formula>
    </cfRule>
    <cfRule type="expression" dxfId="42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D19" sqref="D19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36</v>
      </c>
      <c r="E1" s="65"/>
      <c r="F1" s="65"/>
      <c r="G1" s="63" t="s">
        <v>37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5" x14ac:dyDescent="0.25">
      <c r="A5" s="54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5" x14ac:dyDescent="0.25">
      <c r="A6" s="55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5" x14ac:dyDescent="0.25">
      <c r="A7" s="54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9" x14ac:dyDescent="0.25">
      <c r="A8" s="55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5" x14ac:dyDescent="0.25">
      <c r="A9" s="54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5" x14ac:dyDescent="0.25">
      <c r="A10" s="55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5" x14ac:dyDescent="0.25">
      <c r="A11" s="54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5" x14ac:dyDescent="0.25">
      <c r="A12" s="55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5" x14ac:dyDescent="0.25">
      <c r="A13" s="54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5" x14ac:dyDescent="0.25">
      <c r="A14" s="55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5" x14ac:dyDescent="0.25">
      <c r="A15" s="54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5" x14ac:dyDescent="0.25">
      <c r="A16" s="55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5" x14ac:dyDescent="0.25">
      <c r="A17" s="54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 x14ac:dyDescent="0.35">
      <c r="A18" s="53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5" x14ac:dyDescent="0.25">
      <c r="A19" s="54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5" x14ac:dyDescent="0.25">
      <c r="A20" s="55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5" x14ac:dyDescent="0.25">
      <c r="A21" s="54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5" x14ac:dyDescent="0.25">
      <c r="A22" s="55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5" x14ac:dyDescent="0.25">
      <c r="A23" s="54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5" x14ac:dyDescent="0.25">
      <c r="A24" s="55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5" x14ac:dyDescent="0.25">
      <c r="A25" s="54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4.5" x14ac:dyDescent="0.35">
      <c r="A26" s="21"/>
      <c r="B26" s="33"/>
      <c r="C26" s="21"/>
      <c r="D26" s="21"/>
      <c r="E26" s="21"/>
      <c r="F26" s="19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19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26:F100">
    <cfRule type="cellIs" dxfId="41" priority="1" stopIfTrue="1" operator="lessThanOrEqual">
      <formula>-0.1</formula>
    </cfRule>
    <cfRule type="expression" dxfId="4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AE7" sqref="AE7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42</v>
      </c>
      <c r="E1" s="65"/>
      <c r="F1" s="65"/>
      <c r="G1" s="63" t="s">
        <v>43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5" x14ac:dyDescent="0.3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7" t="s">
        <v>44</v>
      </c>
      <c r="K21" s="56" t="s">
        <v>41</v>
      </c>
    </row>
    <row r="22" spans="1:11" ht="15.5" x14ac:dyDescent="0.2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5" x14ac:dyDescent="0.2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J30" sqref="A28:J30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47</v>
      </c>
      <c r="E1" s="65"/>
      <c r="F1" s="65"/>
      <c r="G1" s="63" t="s">
        <v>48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8"/>
      <c r="K9" s="43"/>
    </row>
    <row r="10" spans="1:11" ht="15.5" x14ac:dyDescent="0.2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9" x14ac:dyDescent="0.2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7" t="s">
        <v>49</v>
      </c>
      <c r="K15" s="57" t="s">
        <v>50</v>
      </c>
    </row>
    <row r="16" spans="1:11" ht="15.5" x14ac:dyDescent="0.2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9"/>
      <c r="K16" s="59"/>
    </row>
    <row r="17" spans="1:11" ht="15.5" x14ac:dyDescent="0.2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7"/>
      <c r="K17" s="61"/>
    </row>
    <row r="18" spans="1:11" ht="15.5" x14ac:dyDescent="0.3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9"/>
      <c r="K18" s="59"/>
    </row>
    <row r="19" spans="1:11" ht="29" x14ac:dyDescent="0.2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7" t="s">
        <v>51</v>
      </c>
      <c r="K19" s="57" t="s">
        <v>52</v>
      </c>
    </row>
    <row r="20" spans="1:11" ht="15.5" x14ac:dyDescent="0.2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9"/>
      <c r="K20" s="59"/>
    </row>
    <row r="21" spans="1:11" ht="15.5" x14ac:dyDescent="0.2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7" t="s">
        <v>53</v>
      </c>
      <c r="K21" s="57" t="s">
        <v>54</v>
      </c>
    </row>
    <row r="22" spans="1:11" ht="15.5" x14ac:dyDescent="0.2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60"/>
      <c r="K22" s="59"/>
    </row>
    <row r="23" spans="1:11" ht="15.5" x14ac:dyDescent="0.3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2"/>
      <c r="K23" s="62"/>
    </row>
    <row r="24" spans="1:11" ht="15.5" x14ac:dyDescent="0.2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J28" sqref="A22:J28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63</v>
      </c>
      <c r="E1" s="65"/>
      <c r="F1" s="65"/>
      <c r="G1" s="63" t="s">
        <v>64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0 I4:I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A18" sqref="A18:K25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65</v>
      </c>
      <c r="E1" s="65"/>
      <c r="F1" s="65"/>
      <c r="G1" s="63" t="s">
        <v>66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A18" sqref="A18:K25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67</v>
      </c>
      <c r="E1" s="65"/>
      <c r="F1" s="65"/>
      <c r="G1" s="63" t="s">
        <v>68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A11" sqref="A11:XFD11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55</v>
      </c>
      <c r="E1" s="65"/>
      <c r="F1" s="65"/>
      <c r="G1" s="63" t="s">
        <v>56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5" x14ac:dyDescent="0.2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9" x14ac:dyDescent="0.2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5" x14ac:dyDescent="0.2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9" x14ac:dyDescent="0.2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5" x14ac:dyDescent="0.2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H31" sqref="H31:H32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69</v>
      </c>
      <c r="E1" s="65"/>
      <c r="F1" s="65"/>
      <c r="G1" s="63" t="s">
        <v>70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A18" sqref="A18:K25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71</v>
      </c>
      <c r="E1" s="65"/>
      <c r="F1" s="65"/>
      <c r="G1" s="63" t="s">
        <v>72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A18" sqref="A18:K25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73</v>
      </c>
      <c r="E1" s="65"/>
      <c r="F1" s="65"/>
      <c r="G1" s="63" t="s">
        <v>74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topRight"/>
      <selection pane="bottomLeft"/>
      <selection pane="bottomRight" activeCell="H31" sqref="H31"/>
    </sheetView>
  </sheetViews>
  <sheetFormatPr defaultRowHeight="14" x14ac:dyDescent="0.3"/>
  <cols>
    <col min="1" max="1" width="35.81640625" bestFit="1" customWidth="1"/>
    <col min="2" max="2" width="8.453125" style="34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64" t="str" cm="1">
        <f t="array" ref="A1">portfolio</f>
        <v>Silicon Ranch</v>
      </c>
      <c r="B1" s="64"/>
      <c r="C1" s="64"/>
      <c r="D1" s="65" t="s">
        <v>75</v>
      </c>
      <c r="E1" s="65"/>
      <c r="F1" s="65"/>
      <c r="G1" s="63" t="s">
        <v>76</v>
      </c>
      <c r="H1" s="63"/>
      <c r="I1" s="63"/>
      <c r="J1" s="4"/>
      <c r="K1" s="4"/>
    </row>
    <row r="2" spans="1:11" ht="19.5" customHeight="1" x14ac:dyDescent="0.25">
      <c r="A2" s="66" t="s">
        <v>2</v>
      </c>
      <c r="B2" s="6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3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5" x14ac:dyDescent="0.3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5" x14ac:dyDescent="0.2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5" x14ac:dyDescent="0.2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5" x14ac:dyDescent="0.2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5" x14ac:dyDescent="0.2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5" x14ac:dyDescent="0.2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5" x14ac:dyDescent="0.2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5" x14ac:dyDescent="0.2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5" x14ac:dyDescent="0.2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5" x14ac:dyDescent="0.2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5" x14ac:dyDescent="0.2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5" x14ac:dyDescent="0.2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5" x14ac:dyDescent="0.2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5" x14ac:dyDescent="0.2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35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5" x14ac:dyDescent="0.2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5" x14ac:dyDescent="0.2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5" x14ac:dyDescent="0.2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5" x14ac:dyDescent="0.2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5" x14ac:dyDescent="0.2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5" x14ac:dyDescent="0.2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5" x14ac:dyDescent="0.2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5" x14ac:dyDescent="0.3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5" x14ac:dyDescent="0.3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5" x14ac:dyDescent="0.3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5" x14ac:dyDescent="0.3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5" x14ac:dyDescent="0.3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5" x14ac:dyDescent="0.3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5" x14ac:dyDescent="0.3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5" x14ac:dyDescent="0.3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5" x14ac:dyDescent="0.3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5" x14ac:dyDescent="0.3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5" x14ac:dyDescent="0.3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5" x14ac:dyDescent="0.3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5" x14ac:dyDescent="0.3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5" x14ac:dyDescent="0.3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5" x14ac:dyDescent="0.3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5" x14ac:dyDescent="0.3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5" x14ac:dyDescent="0.3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5" x14ac:dyDescent="0.3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5" x14ac:dyDescent="0.3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5" x14ac:dyDescent="0.3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5" x14ac:dyDescent="0.3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5" x14ac:dyDescent="0.3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5" x14ac:dyDescent="0.3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5" x14ac:dyDescent="0.3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5" x14ac:dyDescent="0.3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5" x14ac:dyDescent="0.3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5" x14ac:dyDescent="0.3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5" x14ac:dyDescent="0.3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5" x14ac:dyDescent="0.3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5" x14ac:dyDescent="0.3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5" x14ac:dyDescent="0.3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5" x14ac:dyDescent="0.3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5" x14ac:dyDescent="0.3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5" x14ac:dyDescent="0.3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5" x14ac:dyDescent="0.3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5" x14ac:dyDescent="0.3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5" x14ac:dyDescent="0.3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5" x14ac:dyDescent="0.3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5" x14ac:dyDescent="0.3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5" x14ac:dyDescent="0.3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5" x14ac:dyDescent="0.3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5" x14ac:dyDescent="0.3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5" x14ac:dyDescent="0.3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5" x14ac:dyDescent="0.3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5" x14ac:dyDescent="0.3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5" x14ac:dyDescent="0.3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5" x14ac:dyDescent="0.3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5" x14ac:dyDescent="0.3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5" x14ac:dyDescent="0.3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5" x14ac:dyDescent="0.3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5" x14ac:dyDescent="0.3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5" x14ac:dyDescent="0.3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5" x14ac:dyDescent="0.3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5" x14ac:dyDescent="0.3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5" x14ac:dyDescent="0.3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5" x14ac:dyDescent="0.3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5" x14ac:dyDescent="0.3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5" x14ac:dyDescent="0.3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5" x14ac:dyDescent="0.3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5" x14ac:dyDescent="0.3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5" x14ac:dyDescent="0.3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5" x14ac:dyDescent="0.3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5" x14ac:dyDescent="0.3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5" x14ac:dyDescent="0.3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5" x14ac:dyDescent="0.3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5" x14ac:dyDescent="0.3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5" x14ac:dyDescent="0.3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5" x14ac:dyDescent="0.3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5" x14ac:dyDescent="0.3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5" x14ac:dyDescent="0.3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5" x14ac:dyDescent="0.3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5" x14ac:dyDescent="0.3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5" x14ac:dyDescent="0.3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5" x14ac:dyDescent="0.3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5" x14ac:dyDescent="0.3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5" x14ac:dyDescent="0.3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5" x14ac:dyDescent="0.3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5" x14ac:dyDescent="0.3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5" x14ac:dyDescent="0.3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5" x14ac:dyDescent="0.3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5" x14ac:dyDescent="0.3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5" x14ac:dyDescent="0.3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5" x14ac:dyDescent="0.3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5" x14ac:dyDescent="0.3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5" x14ac:dyDescent="0.3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5" x14ac:dyDescent="0.3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5" x14ac:dyDescent="0.3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5" x14ac:dyDescent="0.3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5" x14ac:dyDescent="0.3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5" x14ac:dyDescent="0.3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5" x14ac:dyDescent="0.3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5" x14ac:dyDescent="0.3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5" x14ac:dyDescent="0.3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5" x14ac:dyDescent="0.3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5" x14ac:dyDescent="0.3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5" x14ac:dyDescent="0.3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5" x14ac:dyDescent="0.3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5" x14ac:dyDescent="0.3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5" x14ac:dyDescent="0.3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5" x14ac:dyDescent="0.3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5" x14ac:dyDescent="0.3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5" x14ac:dyDescent="0.3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5" x14ac:dyDescent="0.3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5" x14ac:dyDescent="0.3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5" x14ac:dyDescent="0.3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5" x14ac:dyDescent="0.3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5" x14ac:dyDescent="0.3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5" x14ac:dyDescent="0.3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5" x14ac:dyDescent="0.3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5" x14ac:dyDescent="0.3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5" x14ac:dyDescent="0.3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5" x14ac:dyDescent="0.3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5" x14ac:dyDescent="0.3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5" x14ac:dyDescent="0.3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5" x14ac:dyDescent="0.3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5" x14ac:dyDescent="0.3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5" x14ac:dyDescent="0.3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5" x14ac:dyDescent="0.3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5" x14ac:dyDescent="0.3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5" x14ac:dyDescent="0.3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5" x14ac:dyDescent="0.3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5" x14ac:dyDescent="0.3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5" x14ac:dyDescent="0.3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5" x14ac:dyDescent="0.3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5" x14ac:dyDescent="0.3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5" x14ac:dyDescent="0.3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5" x14ac:dyDescent="0.3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5" x14ac:dyDescent="0.3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5" x14ac:dyDescent="0.3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5" x14ac:dyDescent="0.3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5" x14ac:dyDescent="0.3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5" x14ac:dyDescent="0.3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5" x14ac:dyDescent="0.3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5" x14ac:dyDescent="0.3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5" x14ac:dyDescent="0.3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5" x14ac:dyDescent="0.3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5" x14ac:dyDescent="0.3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5" x14ac:dyDescent="0.3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5" x14ac:dyDescent="0.3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5" x14ac:dyDescent="0.3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5" x14ac:dyDescent="0.3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5" x14ac:dyDescent="0.3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5" x14ac:dyDescent="0.3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5" x14ac:dyDescent="0.3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5" x14ac:dyDescent="0.3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5" x14ac:dyDescent="0.3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5" x14ac:dyDescent="0.3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5" x14ac:dyDescent="0.3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5" x14ac:dyDescent="0.3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5" x14ac:dyDescent="0.3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5" x14ac:dyDescent="0.3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5" x14ac:dyDescent="0.3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5" x14ac:dyDescent="0.3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5" x14ac:dyDescent="0.3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5" x14ac:dyDescent="0.3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5" x14ac:dyDescent="0.3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5" x14ac:dyDescent="0.3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5" x14ac:dyDescent="0.3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5" x14ac:dyDescent="0.3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5" x14ac:dyDescent="0.3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5" x14ac:dyDescent="0.3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5" x14ac:dyDescent="0.3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5" x14ac:dyDescent="0.3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5" x14ac:dyDescent="0.3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5" x14ac:dyDescent="0.3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5" x14ac:dyDescent="0.3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5" x14ac:dyDescent="0.3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5" x14ac:dyDescent="0.3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5" x14ac:dyDescent="0.3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5" x14ac:dyDescent="0.3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5" x14ac:dyDescent="0.3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5" x14ac:dyDescent="0.3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5" x14ac:dyDescent="0.3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5" x14ac:dyDescent="0.3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5" x14ac:dyDescent="0.3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5" x14ac:dyDescent="0.3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5" x14ac:dyDescent="0.3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5" x14ac:dyDescent="0.3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5" x14ac:dyDescent="0.3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5" x14ac:dyDescent="0.3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5" x14ac:dyDescent="0.3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5" x14ac:dyDescent="0.3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5" x14ac:dyDescent="0.3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5" x14ac:dyDescent="0.3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5" x14ac:dyDescent="0.3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5" x14ac:dyDescent="0.3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5" x14ac:dyDescent="0.3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5" x14ac:dyDescent="0.3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5" x14ac:dyDescent="0.3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5" x14ac:dyDescent="0.3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5" x14ac:dyDescent="0.3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5" x14ac:dyDescent="0.3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5" x14ac:dyDescent="0.3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5" x14ac:dyDescent="0.3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5" x14ac:dyDescent="0.3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5" x14ac:dyDescent="0.3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5" x14ac:dyDescent="0.3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5" x14ac:dyDescent="0.3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5" x14ac:dyDescent="0.3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5" x14ac:dyDescent="0.3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5" x14ac:dyDescent="0.3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5" x14ac:dyDescent="0.3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5" x14ac:dyDescent="0.3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5" x14ac:dyDescent="0.3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5" x14ac:dyDescent="0.3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5" x14ac:dyDescent="0.3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5" x14ac:dyDescent="0.3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5" x14ac:dyDescent="0.3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5" x14ac:dyDescent="0.3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5" x14ac:dyDescent="0.3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5" x14ac:dyDescent="0.3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5" x14ac:dyDescent="0.3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5" x14ac:dyDescent="0.3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5" x14ac:dyDescent="0.3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5" x14ac:dyDescent="0.3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5" x14ac:dyDescent="0.3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5" x14ac:dyDescent="0.3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5" x14ac:dyDescent="0.3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5" x14ac:dyDescent="0.3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5" x14ac:dyDescent="0.3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5" x14ac:dyDescent="0.3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5" x14ac:dyDescent="0.3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5" x14ac:dyDescent="0.3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5" x14ac:dyDescent="0.3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5" x14ac:dyDescent="0.3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5" x14ac:dyDescent="0.3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5" x14ac:dyDescent="0.3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5" x14ac:dyDescent="0.3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5" x14ac:dyDescent="0.3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5" x14ac:dyDescent="0.3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5" x14ac:dyDescent="0.3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5" x14ac:dyDescent="0.3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5" x14ac:dyDescent="0.3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5" x14ac:dyDescent="0.3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5" x14ac:dyDescent="0.3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5" x14ac:dyDescent="0.3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5" x14ac:dyDescent="0.3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5" x14ac:dyDescent="0.3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5" x14ac:dyDescent="0.3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5" x14ac:dyDescent="0.3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5" x14ac:dyDescent="0.3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5" x14ac:dyDescent="0.3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5" x14ac:dyDescent="0.3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5" x14ac:dyDescent="0.3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5" x14ac:dyDescent="0.3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5" x14ac:dyDescent="0.3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5" x14ac:dyDescent="0.3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5" x14ac:dyDescent="0.3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5" x14ac:dyDescent="0.3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5" x14ac:dyDescent="0.3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5" x14ac:dyDescent="0.3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5" x14ac:dyDescent="0.3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5" x14ac:dyDescent="0.3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5" x14ac:dyDescent="0.3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5" x14ac:dyDescent="0.3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5" x14ac:dyDescent="0.3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5" x14ac:dyDescent="0.3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5" x14ac:dyDescent="0.3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5" x14ac:dyDescent="0.3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5" x14ac:dyDescent="0.3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5" x14ac:dyDescent="0.3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5" x14ac:dyDescent="0.3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5" x14ac:dyDescent="0.3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5" x14ac:dyDescent="0.3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5" x14ac:dyDescent="0.3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5" x14ac:dyDescent="0.3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5" x14ac:dyDescent="0.3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5" x14ac:dyDescent="0.3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5" x14ac:dyDescent="0.3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5" x14ac:dyDescent="0.3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5" x14ac:dyDescent="0.3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5" x14ac:dyDescent="0.3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5" x14ac:dyDescent="0.3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5" x14ac:dyDescent="0.3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5" x14ac:dyDescent="0.3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5" x14ac:dyDescent="0.3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5" x14ac:dyDescent="0.3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5" x14ac:dyDescent="0.3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5" x14ac:dyDescent="0.3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5" x14ac:dyDescent="0.3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5" x14ac:dyDescent="0.3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5" x14ac:dyDescent="0.3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5" x14ac:dyDescent="0.3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5" x14ac:dyDescent="0.3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5" x14ac:dyDescent="0.3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5" x14ac:dyDescent="0.3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5" x14ac:dyDescent="0.3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5" x14ac:dyDescent="0.3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5" x14ac:dyDescent="0.3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5" x14ac:dyDescent="0.3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5" x14ac:dyDescent="0.3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5" x14ac:dyDescent="0.3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5" x14ac:dyDescent="0.3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5" x14ac:dyDescent="0.3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5" x14ac:dyDescent="0.3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5" x14ac:dyDescent="0.3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5" x14ac:dyDescent="0.3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5" x14ac:dyDescent="0.3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5" x14ac:dyDescent="0.3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5" x14ac:dyDescent="0.3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5" x14ac:dyDescent="0.3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5" x14ac:dyDescent="0.3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5" x14ac:dyDescent="0.3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5" x14ac:dyDescent="0.3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5" x14ac:dyDescent="0.3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5" x14ac:dyDescent="0.3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5" x14ac:dyDescent="0.3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5" x14ac:dyDescent="0.3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5" x14ac:dyDescent="0.3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5" x14ac:dyDescent="0.3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5" x14ac:dyDescent="0.3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5" x14ac:dyDescent="0.3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5" x14ac:dyDescent="0.3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5" x14ac:dyDescent="0.3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5" x14ac:dyDescent="0.3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5" x14ac:dyDescent="0.3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conditionalFormatting sqref="F4:F100 I4:I100">
    <cfRule type="cellIs" dxfId="1" priority="1" stopIfTrue="1" operator="lessThanOrEqual">
      <formula>-0.1</formula>
    </cfRule>
    <cfRule type="expression" dxfId="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H30" sqref="H30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24.1796875" customWidth="1"/>
    <col min="6" max="10" width="9.1796875" customWidth="1"/>
    <col min="11" max="12" width="22" bestFit="1" customWidth="1"/>
    <col min="13" max="14" width="9.1796875" customWidth="1"/>
  </cols>
  <sheetData>
    <row r="1" spans="1:12" ht="12.75" customHeight="1" x14ac:dyDescent="0.25">
      <c r="A1" t="s">
        <v>77</v>
      </c>
      <c r="B1" t="s">
        <v>78</v>
      </c>
    </row>
    <row r="3" spans="1:12" ht="12.5" x14ac:dyDescent="0.25">
      <c r="A3" t="s">
        <v>79</v>
      </c>
      <c r="B3" t="s">
        <v>3</v>
      </c>
      <c r="C3" t="s">
        <v>4</v>
      </c>
      <c r="D3" t="s">
        <v>80</v>
      </c>
      <c r="E3" s="2" t="s">
        <v>81</v>
      </c>
    </row>
    <row r="4" spans="1:12" ht="14.5" x14ac:dyDescent="0.35">
      <c r="A4" s="52" t="s">
        <v>82</v>
      </c>
      <c r="B4" t="s">
        <v>83</v>
      </c>
      <c r="C4" s="49" t="s">
        <v>84</v>
      </c>
      <c r="D4" s="48" t="s">
        <v>85</v>
      </c>
      <c r="E4" t="s">
        <v>86</v>
      </c>
      <c r="G4" s="3"/>
    </row>
    <row r="5" spans="1:12" ht="14.5" x14ac:dyDescent="0.35">
      <c r="A5" s="52" t="s">
        <v>87</v>
      </c>
      <c r="B5" t="s">
        <v>88</v>
      </c>
      <c r="C5" s="49" t="s">
        <v>89</v>
      </c>
      <c r="D5" s="48" t="s">
        <v>90</v>
      </c>
      <c r="E5" t="s">
        <v>86</v>
      </c>
      <c r="G5" s="3"/>
    </row>
    <row r="6" spans="1:12" ht="14.5" x14ac:dyDescent="0.35">
      <c r="A6" s="52" t="s">
        <v>91</v>
      </c>
      <c r="B6" t="s">
        <v>92</v>
      </c>
      <c r="C6" s="49" t="s">
        <v>93</v>
      </c>
      <c r="D6" s="48" t="s">
        <v>90</v>
      </c>
      <c r="E6" t="s">
        <v>86</v>
      </c>
      <c r="G6" s="3"/>
    </row>
    <row r="7" spans="1:12" ht="12.75" customHeight="1" x14ac:dyDescent="0.25">
      <c r="A7" s="52" t="s">
        <v>94</v>
      </c>
      <c r="B7" t="s">
        <v>95</v>
      </c>
      <c r="C7" s="49" t="s">
        <v>96</v>
      </c>
      <c r="D7" s="48" t="s">
        <v>90</v>
      </c>
      <c r="E7" t="s">
        <v>86</v>
      </c>
    </row>
    <row r="8" spans="1:12" ht="12.75" customHeight="1" x14ac:dyDescent="0.25">
      <c r="A8" s="52" t="s">
        <v>97</v>
      </c>
      <c r="B8" t="s">
        <v>98</v>
      </c>
      <c r="C8" s="49" t="s">
        <v>89</v>
      </c>
      <c r="D8" s="48" t="s">
        <v>90</v>
      </c>
      <c r="E8" t="s">
        <v>86</v>
      </c>
    </row>
    <row r="9" spans="1:12" ht="12.75" customHeight="1" x14ac:dyDescent="0.25">
      <c r="A9" s="52" t="s">
        <v>99</v>
      </c>
      <c r="B9" t="s">
        <v>100</v>
      </c>
      <c r="C9" s="49" t="s">
        <v>84</v>
      </c>
      <c r="D9" s="48" t="s">
        <v>90</v>
      </c>
      <c r="E9" t="s">
        <v>86</v>
      </c>
    </row>
    <row r="10" spans="1:12" ht="12.75" customHeight="1" x14ac:dyDescent="0.25">
      <c r="A10" s="52" t="s">
        <v>101</v>
      </c>
      <c r="B10" t="s">
        <v>102</v>
      </c>
      <c r="C10" s="49" t="s">
        <v>89</v>
      </c>
      <c r="D10" s="48" t="s">
        <v>90</v>
      </c>
      <c r="E10" t="s">
        <v>86</v>
      </c>
      <c r="K10" s="44"/>
      <c r="L10" s="44"/>
    </row>
    <row r="11" spans="1:12" ht="12.75" customHeight="1" x14ac:dyDescent="0.25">
      <c r="A11" s="52" t="s">
        <v>103</v>
      </c>
      <c r="B11" t="s">
        <v>104</v>
      </c>
      <c r="C11" s="49" t="s">
        <v>96</v>
      </c>
      <c r="D11" s="48" t="s">
        <v>90</v>
      </c>
      <c r="E11" t="s">
        <v>86</v>
      </c>
      <c r="K11" s="44"/>
      <c r="L11" s="44"/>
    </row>
    <row r="12" spans="1:12" ht="12.75" customHeight="1" x14ac:dyDescent="0.25">
      <c r="A12" s="52" t="s">
        <v>105</v>
      </c>
      <c r="B12" t="s">
        <v>106</v>
      </c>
      <c r="C12" s="49" t="s">
        <v>107</v>
      </c>
      <c r="D12" s="48" t="s">
        <v>90</v>
      </c>
      <c r="E12" t="s">
        <v>86</v>
      </c>
      <c r="K12" s="44"/>
      <c r="L12" s="44"/>
    </row>
    <row r="13" spans="1:12" ht="12.75" customHeight="1" x14ac:dyDescent="0.25">
      <c r="A13" s="52" t="s">
        <v>108</v>
      </c>
      <c r="B13" t="s">
        <v>109</v>
      </c>
      <c r="C13" s="49" t="s">
        <v>93</v>
      </c>
      <c r="D13" s="48" t="s">
        <v>90</v>
      </c>
      <c r="E13" t="s">
        <v>86</v>
      </c>
      <c r="K13" s="44"/>
      <c r="L13" s="44"/>
    </row>
    <row r="14" spans="1:12" ht="12.75" customHeight="1" x14ac:dyDescent="0.25">
      <c r="A14" s="52" t="s">
        <v>110</v>
      </c>
      <c r="B14" t="s">
        <v>111</v>
      </c>
      <c r="C14" s="49" t="s">
        <v>89</v>
      </c>
      <c r="D14" s="48" t="s">
        <v>90</v>
      </c>
      <c r="E14" t="s">
        <v>86</v>
      </c>
      <c r="K14" s="44"/>
      <c r="L14" s="44"/>
    </row>
    <row r="15" spans="1:12" ht="12.75" customHeight="1" x14ac:dyDescent="0.25">
      <c r="A15" s="52" t="s">
        <v>112</v>
      </c>
      <c r="B15" t="s">
        <v>113</v>
      </c>
      <c r="C15" s="49" t="s">
        <v>93</v>
      </c>
      <c r="D15" s="48" t="s">
        <v>90</v>
      </c>
      <c r="E15" t="s">
        <v>86</v>
      </c>
      <c r="K15" s="44"/>
      <c r="L15" s="44"/>
    </row>
    <row r="16" spans="1:12" ht="12.75" customHeight="1" x14ac:dyDescent="0.25">
      <c r="A16" s="52" t="s">
        <v>114</v>
      </c>
      <c r="B16" t="s">
        <v>115</v>
      </c>
      <c r="C16" s="49" t="s">
        <v>89</v>
      </c>
      <c r="D16" s="48" t="s">
        <v>90</v>
      </c>
      <c r="E16" t="s">
        <v>86</v>
      </c>
      <c r="K16" s="44"/>
      <c r="L16" s="44"/>
    </row>
    <row r="17" spans="1:12" ht="12.75" customHeight="1" x14ac:dyDescent="0.25">
      <c r="A17" s="52" t="s">
        <v>116</v>
      </c>
      <c r="B17" t="s">
        <v>117</v>
      </c>
      <c r="C17" s="49" t="s">
        <v>89</v>
      </c>
      <c r="D17" s="48" t="s">
        <v>90</v>
      </c>
      <c r="E17" t="s">
        <v>86</v>
      </c>
      <c r="K17" s="44"/>
      <c r="L17" s="44"/>
    </row>
    <row r="18" spans="1:12" ht="12.75" customHeight="1" x14ac:dyDescent="0.25">
      <c r="A18" s="52" t="s">
        <v>118</v>
      </c>
      <c r="B18" t="s">
        <v>119</v>
      </c>
      <c r="C18" s="49" t="s">
        <v>89</v>
      </c>
      <c r="D18" s="48" t="s">
        <v>90</v>
      </c>
      <c r="E18" t="s">
        <v>86</v>
      </c>
      <c r="K18" s="44"/>
      <c r="L18" s="44"/>
    </row>
    <row r="19" spans="1:12" ht="12.75" customHeight="1" x14ac:dyDescent="0.25">
      <c r="A19" s="52" t="s">
        <v>120</v>
      </c>
      <c r="B19" t="s">
        <v>121</v>
      </c>
      <c r="C19" s="49" t="s">
        <v>89</v>
      </c>
      <c r="D19" s="48" t="s">
        <v>90</v>
      </c>
      <c r="E19" t="s">
        <v>86</v>
      </c>
      <c r="K19" s="44"/>
      <c r="L19" s="44"/>
    </row>
    <row r="20" spans="1:12" ht="12.75" customHeight="1" x14ac:dyDescent="0.25">
      <c r="A20" s="52" t="s">
        <v>122</v>
      </c>
      <c r="B20" t="s">
        <v>123</v>
      </c>
      <c r="C20" s="49" t="s">
        <v>93</v>
      </c>
      <c r="D20" s="48" t="s">
        <v>90</v>
      </c>
      <c r="E20" t="s">
        <v>86</v>
      </c>
      <c r="K20" s="44"/>
      <c r="L20" s="44"/>
    </row>
    <row r="21" spans="1:12" ht="12.75" customHeight="1" x14ac:dyDescent="0.25">
      <c r="A21" s="52" t="s">
        <v>124</v>
      </c>
      <c r="B21" t="s">
        <v>125</v>
      </c>
      <c r="C21" s="49" t="s">
        <v>96</v>
      </c>
      <c r="D21" s="48" t="s">
        <v>90</v>
      </c>
      <c r="E21" t="s">
        <v>86</v>
      </c>
      <c r="K21" s="44"/>
      <c r="L21" s="44"/>
    </row>
    <row r="22" spans="1:12" ht="12.75" customHeight="1" x14ac:dyDescent="0.25">
      <c r="A22" s="52" t="s">
        <v>126</v>
      </c>
      <c r="B22" t="s">
        <v>127</v>
      </c>
      <c r="C22" s="49" t="s">
        <v>89</v>
      </c>
      <c r="D22" s="48" t="s">
        <v>90</v>
      </c>
      <c r="E22" t="s">
        <v>86</v>
      </c>
      <c r="K22" s="44"/>
      <c r="L22" s="44"/>
    </row>
    <row r="23" spans="1:12" ht="12.75" customHeight="1" x14ac:dyDescent="0.25">
      <c r="A23" s="52" t="s">
        <v>128</v>
      </c>
      <c r="B23" t="s">
        <v>129</v>
      </c>
      <c r="C23" s="49" t="s">
        <v>89</v>
      </c>
      <c r="D23" s="48" t="s">
        <v>90</v>
      </c>
      <c r="E23" t="s">
        <v>86</v>
      </c>
      <c r="K23" s="44"/>
      <c r="L23" s="44"/>
    </row>
    <row r="24" spans="1:12" ht="12.75" customHeight="1" x14ac:dyDescent="0.25">
      <c r="A24" s="52" t="s">
        <v>130</v>
      </c>
      <c r="B24" t="s">
        <v>131</v>
      </c>
      <c r="C24" s="49" t="s">
        <v>93</v>
      </c>
      <c r="D24" s="48" t="s">
        <v>90</v>
      </c>
      <c r="E24" t="s">
        <v>86</v>
      </c>
      <c r="K24" s="44"/>
      <c r="L24" s="44"/>
    </row>
    <row r="25" spans="1:12" ht="12.75" customHeight="1" x14ac:dyDescent="0.25">
      <c r="A25" s="52" t="s">
        <v>132</v>
      </c>
      <c r="B25" t="s">
        <v>133</v>
      </c>
      <c r="C25" s="49" t="s">
        <v>84</v>
      </c>
      <c r="D25" s="48" t="s">
        <v>90</v>
      </c>
      <c r="E25" t="s">
        <v>86</v>
      </c>
      <c r="K25" s="44"/>
      <c r="L25" s="44"/>
    </row>
    <row r="26" spans="1:12" ht="12.75" customHeight="1" x14ac:dyDescent="0.25">
      <c r="K26" s="44"/>
      <c r="L26" s="44"/>
    </row>
    <row r="27" spans="1:12" ht="12.75" customHeight="1" x14ac:dyDescent="0.25">
      <c r="K27" s="44"/>
      <c r="L27" s="44"/>
    </row>
    <row r="28" spans="1:12" ht="12.75" customHeight="1" x14ac:dyDescent="0.25">
      <c r="K28" s="44"/>
      <c r="L28" s="44"/>
    </row>
    <row r="29" spans="1:12" ht="12.75" customHeight="1" x14ac:dyDescent="0.25">
      <c r="K29" s="44"/>
      <c r="L29" s="44"/>
    </row>
    <row r="30" spans="1:12" ht="12.75" customHeight="1" x14ac:dyDescent="0.25">
      <c r="K30" s="44"/>
      <c r="L30" s="44"/>
    </row>
    <row r="31" spans="1:12" ht="12.75" customHeight="1" x14ac:dyDescent="0.25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AE3E9DE5-0108-4619-8E19-8683271855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8D732231-4216-4543-A665-18A2886B0EB7}">
  <ds:schemaRefs>
    <ds:schemaRef ds:uri="http://purl.org/dc/elements/1.1/"/>
    <ds:schemaRef ds:uri="http://purl.org/dc/terms/"/>
    <ds:schemaRef ds:uri="http://schemas.microsoft.com/sharepoint/v3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ddcd8467-55ca-498e-a9f8-86795db5db7a"/>
    <ds:schemaRef ds:uri="7f39bfab-6331-41a1-b6d4-5b974a316951"/>
    <ds:schemaRef ds:uri="http://schemas.microsoft.com/office/2006/metadata/properties"/>
  </ds:schemaRefs>
</ds:datastoreItem>
</file>

<file path=customXml/itemProps9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2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Jun</vt:lpstr>
      <vt:lpstr>Jul</vt:lpstr>
      <vt:lpstr>Aug</vt:lpstr>
      <vt:lpstr>May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2025-06-17T20:34:41Z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2025-06-17T19:36:30Z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7abaa322-3099-41c0-8ef7-753e6cb9f142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