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5" documentId="13_ncr:1_{9D827383-9318-4FB7-9381-3BD93B6E7A4A}" xr6:coauthVersionLast="47" xr6:coauthVersionMax="47" xr10:uidLastSave="{F94E3E63-740F-4FF5-8A21-E9D553D1FBFF}"/>
  <bookViews>
    <workbookView xWindow="-120" yWindow="-120" windowWidth="29040" windowHeight="15720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8" l="1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E5" i="18" s="1"/>
  <c r="F5" i="18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G2" i="18"/>
  <c r="E4" i="18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<sst xmlns="http://schemas.openxmlformats.org/spreadsheetml/2006/main" count="277" uniqueCount="76">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</sst>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C18" sqref="C1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SUM(C4:C80)</f>
        <v>2111033.25</v>
      </c>
      <c r="D2" s="5">
        <f>SUM(D4:D80)</f>
        <v>2160755.3350999998</v>
      </c>
      <c r="E2" s="5">
        <f>C2-D2</f>
        <v>-49722.085099999793</v>
      </c>
      <c r="F2" s="6">
        <f>IFERROR(E2/D2, 0)</f>
        <v>-2.3011436923143662E-2</v>
      </c>
      <c r="G2" s="5">
        <f>SUM(G4:G80)</f>
        <v>6080592.9140000008</v>
      </c>
      <c r="H2" s="7">
        <f>C2-G2</f>
        <v>-3969559.6640000008</v>
      </c>
      <c r="I2" s="6">
        <f>IFERROR(H2/G2, 0)</f>
        <v>-0.65282444000821993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484102.75</v>
      </c>
      <c r="D4" s="35">
        <f>SUM('1st Qtr'!D4, '2nd Qtr'!D4, '3rd Qtr'!D4, '4th Qtr'!D4)</f>
        <v>422831.70600000001</v>
      </c>
      <c r="E4" s="35">
        <f>IF(AND(ISNUMBER(C4),ISNUMBER(D4)), C4-D4, "")</f>
        <v>61271.043999999994</v>
      </c>
      <c r="F4" s="36">
        <f>IFERROR(E4/D4, "")</f>
        <v>0.14490645599788582</v>
      </c>
      <c r="G4" s="37">
        <f>SUM('1st Qtr'!G4, '2nd Qtr'!G4, '3rd Qtr'!G4, '4th Qtr'!G4)</f>
        <v>373763.98400000005</v>
      </c>
      <c r="H4" s="37">
        <f>SUM('1st Qtr'!H4, '2nd Qtr'!H4, '3rd Qtr'!H4, '4th Qtr'!H4)</f>
        <v>110338.76599999999</v>
      </c>
      <c r="I4" s="38">
        <f>IFERROR(H4/G4, "")</f>
        <v>0.29520973320960742</v>
      </c>
    </row>
    <row r="5" spans="1:9" ht="15.75">
      <c r="A5" s="39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SUM('1st Qtr'!G5, '2nd Qtr'!G5, '3rd Qtr'!G5, '4th Qtr'!G5)</f>
        <v>3194985.3600000003</v>
      </c>
      <c r="H5" s="44">
        <f>SUM(Jan!H5, Feb!H5, Mar!H5)</f>
        <v>-293031.94999999995</v>
      </c>
      <c r="I5" s="43">
        <f>IFERROR(H5/G5, "")</f>
        <v>-9.1716210555656486E-2</v>
      </c>
    </row>
    <row r="6" spans="1:9" ht="15.75">
      <c r="A6" s="32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SUM('1st Qtr'!G6, '2nd Qtr'!G6, '3rd Qtr'!G6, '4th Qtr'!G6)</f>
        <v>2511843.5699999998</v>
      </c>
      <c r="H6" s="37">
        <f>SUM(Jan!H6, Feb!H6, Mar!H6)</f>
        <v>-439892.42000000004</v>
      </c>
      <c r="I6" s="38">
        <f t="shared" ref="I6" si="2">IFERROR(H6/G6, "")</f>
        <v>-0.17512731495456943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18" sqref="E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229797.5</v>
      </c>
      <c r="D4" s="35">
        <f>SUM(Jan!D4, Feb!D4, Mar!D4)</f>
        <v>205242.87599999999</v>
      </c>
      <c r="E4" s="35">
        <f>IF(AND(ISNUMBER(C4),ISNUMBER(D4)), C4-D4, "")</f>
        <v>24554.624000000011</v>
      </c>
      <c r="F4" s="36">
        <f>IFERROR(E4/D4, "")</f>
        <v>0.11963691251334839</v>
      </c>
      <c r="G4" s="37">
        <f>SUM(Jan!G4, Feb!G4, Mar!G4)</f>
        <v>205591.58000000002</v>
      </c>
      <c r="H4" s="37">
        <f>SUM(Jan!H4, Feb!H4, Mar!H4)</f>
        <v>24205.919999999998</v>
      </c>
      <c r="I4" s="38">
        <f>IFERROR(H4/G4, "")</f>
        <v>0.11773789568619492</v>
      </c>
    </row>
    <row r="5" spans="1:9" ht="15.75">
      <c r="A5" s="46" t="str">
        <v>Bullis</v>
      </c>
      <c r="B5" s="40" t="str">
        <v>NY</v>
      </c>
      <c r="C5" s="41">
        <f>SUM(Jan!C5, Feb!C5, Mar!C5)</f>
        <v>1076204</v>
      </c>
      <c r="D5" s="42">
        <f>SUM(Jan!D5, Feb!D5, Mar!D5)</f>
        <v>1128123.0819999999</v>
      </c>
      <c r="E5" s="42">
        <f t="shared" ref="E5:E6" si="0">IF(AND(ISNUMBER(C5),ISNUMBER(D5)), C5-D5, "")</f>
        <v>-51919.081999999937</v>
      </c>
      <c r="F5" s="43">
        <f>IFERROR(E5/D5, "")</f>
        <v>-4.6022533204404324E-2</v>
      </c>
      <c r="G5" s="44">
        <f>SUM(Jan!G5, Feb!G5, Mar!G5)</f>
        <v>1369235.95</v>
      </c>
      <c r="H5" s="44">
        <f>SUM(Jan!H5, Feb!H5, Mar!H5)</f>
        <v>-293031.94999999995</v>
      </c>
      <c r="I5" s="43">
        <f>IFERROR(H5/G5, "")</f>
        <v>-0.21401128855841095</v>
      </c>
    </row>
    <row r="6" spans="1:9" ht="15.75">
      <c r="A6" s="45" t="str">
        <v>Rock Island</v>
      </c>
      <c r="B6" s="33" t="str">
        <v>NY</v>
      </c>
      <c r="C6" s="34">
        <f>SUM(Jan!C6, Feb!C6, Mar!C6)</f>
        <v>550726.5</v>
      </c>
      <c r="D6" s="35">
        <f>SUM(Jan!D6, Feb!D6, Mar!D6)</f>
        <v>609800.54709999997</v>
      </c>
      <c r="E6" s="35">
        <f t="shared" si="0"/>
        <v>-59074.047099999967</v>
      </c>
      <c r="F6" s="36">
        <f t="shared" ref="F6" si="1">IFERROR(E6/D6, "")</f>
        <v>-9.6874375369021326E-2</v>
      </c>
      <c r="G6" s="37">
        <f>SUM(Jan!G6, Feb!G6, Mar!G6)</f>
        <v>990618.92</v>
      </c>
      <c r="H6" s="37">
        <f>SUM(Jan!H6, Feb!H6, Mar!H6)</f>
        <v>-439892.42000000004</v>
      </c>
      <c r="I6" s="38">
        <f t="shared" ref="I6" si="2">IFERROR(H6/G6, "")</f>
        <v>-0.44405816517213303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E20" sqref="E20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SUM(C4:C80)</f>
        <v>3196999.25</v>
      </c>
      <c r="D2" s="5">
        <f>SUM(D4:D80)</f>
        <v>3271347.6110000005</v>
      </c>
      <c r="E2" s="5">
        <f>C2-D2</f>
        <v>-74348.361000000499</v>
      </c>
      <c r="F2" s="6">
        <f>IFERROR(E2/D2, 0)</f>
        <v>-2.2727135676441721E-2</v>
      </c>
      <c r="G2" s="5">
        <f>SUM(G4:G80)</f>
        <v>3515146.4640000002</v>
      </c>
      <c r="H2" s="7">
        <f>C2-G2</f>
        <v>-318147.21400000015</v>
      </c>
      <c r="I2" s="6">
        <f>IFERROR(H2/G2, 0)</f>
        <v>-9.0507527142402497E-2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254305.25</v>
      </c>
      <c r="D4" s="35">
        <f>SUM(Apr!D4, May!D4, Jun!D4)</f>
        <v>217588.83000000002</v>
      </c>
      <c r="E4" s="35">
        <f>IF(AND(ISNUMBER(C4),ISNUMBER(D4)), C4-D4, "")</f>
        <v>36716.419999999984</v>
      </c>
      <c r="F4" s="36">
        <f>IFERROR(E4/D4, "")</f>
        <v>0.16874220979082419</v>
      </c>
      <c r="G4" s="37">
        <f>SUM(Apr!G4, May!G4, Jun!G4)</f>
        <v>168172.40400000001</v>
      </c>
      <c r="H4" s="37">
        <f>SUM(Apr!H4, May!H4, Jun!H4)</f>
        <v>86132.84599999999</v>
      </c>
      <c r="I4" s="38">
        <f>IFERROR(H4/G4, "")</f>
        <v>0.51216991582043381</v>
      </c>
    </row>
    <row r="5" spans="1:9" ht="15.75">
      <c r="A5" s="46" t="str">
        <v>Bullis</v>
      </c>
      <c r="B5" s="40" t="str">
        <v>NY</v>
      </c>
      <c r="C5" s="41">
        <f>SUM(Apr!C5, May!C5, Jun!C5)</f>
        <v>1611223</v>
      </c>
      <c r="D5" s="42">
        <f>SUM(Apr!D5, May!D5, Jun!D5)</f>
        <v>1591767.067</v>
      </c>
      <c r="E5" s="42">
        <f t="shared" ref="E5:E6" si="0">IF(AND(ISNUMBER(C5),ISNUMBER(D5)), C5-D5, "")</f>
        <v>19455.932999999961</v>
      </c>
      <c r="F5" s="43">
        <f>IFERROR(E5/D5, "")</f>
        <v>1.2222851825090537E-2</v>
      </c>
      <c r="G5" s="14">
        <f>SUM(Apr!G5, May!G5, Jun!G5)</f>
        <v>1825749.4100000001</v>
      </c>
      <c r="H5" s="44">
        <f>SUM(Apr!H5, May!H5, Jun!H5)</f>
        <v>-214526.41000000003</v>
      </c>
      <c r="I5" s="43">
        <f>IFERROR(H5/G5, "")</f>
        <v>-0.11750046793113848</v>
      </c>
    </row>
    <row r="6" spans="1:9" ht="15.75">
      <c r="A6" s="45" t="str">
        <v>Rock Island</v>
      </c>
      <c r="B6" s="33" t="str">
        <v>NY</v>
      </c>
      <c r="C6" s="34">
        <f>SUM(Apr!C6, May!C6, Jun!C6)</f>
        <v>1331471</v>
      </c>
      <c r="D6" s="35">
        <f>SUM(Apr!D6, May!D6, Jun!D6)</f>
        <v>1461991.7140000002</v>
      </c>
      <c r="E6" s="35">
        <f t="shared" si="0"/>
        <v>-130520.71400000015</v>
      </c>
      <c r="F6" s="36">
        <f t="shared" ref="F6" si="1">IFERROR(E6/D6, "")</f>
        <v>-8.9275960150893258E-2</v>
      </c>
      <c r="G6" s="37">
        <f>SUM(Apr!G6, May!G6, Jun!G6)</f>
        <v>1521224.65</v>
      </c>
      <c r="H6" s="37">
        <f>SUM(Apr!H6, May!H6, Jun!H6)</f>
        <v>-189753.65000000002</v>
      </c>
      <c r="I6" s="38">
        <f t="shared" ref="I6" si="2">IFERROR(H6/G6, "")</f>
        <v>-0.12473742783486978</v>
      </c>
    </row>
    <row r="7" spans="1:9">
      <c r="A7" s="14"/>
      <c r="B7" s="14"/>
      <c r="C7" s="14"/>
      <c r="D7" s="14"/>
      <c r="E7" s="14"/>
      <c r="F7" s="14"/>
      <c r="G7" s="14"/>
      <c r="H7" s="14"/>
      <c r="I7" s="14"/>
    </row>
    <row r="8" spans="1:9">
      <c r="A8" s="14"/>
      <c r="B8" s="14"/>
      <c r="C8" s="14"/>
      <c r="D8" s="14"/>
      <c r="E8" s="14"/>
      <c r="F8" s="14"/>
      <c r="G8" s="14"/>
      <c r="H8" s="14"/>
      <c r="I8" s="14"/>
    </row>
    <row r="9" spans="1:9">
      <c r="A9" s="14"/>
      <c r="B9" s="14"/>
      <c r="C9" s="14"/>
      <c r="D9" s="14"/>
      <c r="E9" s="14"/>
      <c r="F9" s="14"/>
      <c r="G9" s="14"/>
      <c r="H9" s="14"/>
      <c r="I9" s="14"/>
    </row>
    <row r="10" spans="1:9">
      <c r="A10" s="14"/>
      <c r="B10" s="14"/>
      <c r="C10" s="14"/>
      <c r="D10" s="14"/>
      <c r="E10" s="14"/>
      <c r="F10" s="14"/>
      <c r="G10" s="14"/>
      <c r="H10" s="14"/>
      <c r="I10" s="14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D20" sqref="D20:D21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SUM(Jul!H4, Aug!H4, Sep!H4)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SUM(Jul!C5, Aug!C5, Sep!C5)</f>
        <v>0</v>
      </c>
      <c r="D5" s="42">
        <f>SUM(Jul!D5, Aug!D5, Sep!D5)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SUM(Jul!H5, Aug!H5, Sep!H5)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SUM(Jul!H6, Aug!H6, Sep!H6)</f>
        <v>0</v>
      </c>
      <c r="I6" s="38" t="str">
        <f t="shared" ref="I6" si="2">IFERROR(H6/G6, "")</f>
        <v/>
      </c>
    </row>
    <row r="7" spans="1:9" ht="15.75">
      <c r="A7" s="10"/>
      <c r="B7" s="14"/>
      <c r="C7" s="14"/>
      <c r="D7" s="14"/>
      <c r="E7" s="14"/>
      <c r="F7" s="14"/>
      <c r="G7" s="14"/>
      <c r="H7" s="14"/>
      <c r="I7" s="14"/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Renewable Properties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75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75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5">
      <c r="A7" s="14"/>
      <c r="B7" s="9"/>
      <c r="C7" s="28"/>
      <c r="D7" s="11"/>
      <c r="E7" s="11"/>
      <c r="F7" s="12"/>
      <c r="G7" s="13"/>
      <c r="H7" s="13"/>
      <c r="I7" s="12"/>
    </row>
    <row r="8" spans="1:9" ht="15">
      <c r="A8" s="14"/>
      <c r="B8" s="9"/>
      <c r="C8" s="28"/>
      <c r="D8" s="11"/>
      <c r="E8" s="11"/>
      <c r="F8" s="12"/>
      <c r="G8" s="13"/>
      <c r="H8" s="13"/>
      <c r="I8" s="12"/>
    </row>
    <row r="9" spans="1:9" ht="15">
      <c r="A9" s="14"/>
      <c r="B9" s="9"/>
      <c r="C9" s="28"/>
      <c r="D9" s="11"/>
      <c r="E9" s="11"/>
      <c r="F9" s="12"/>
      <c r="G9" s="13"/>
      <c r="H9" s="13"/>
      <c r="I9" s="12"/>
    </row>
    <row r="10" spans="1:9" ht="15">
      <c r="A10" s="14"/>
      <c r="B10" s="9"/>
      <c r="C10" s="28"/>
      <c r="D10" s="11"/>
      <c r="E10" s="11"/>
      <c r="F10" s="12"/>
      <c r="G10" s="13"/>
      <c r="H10" s="13"/>
      <c r="I10" s="12"/>
    </row>
    <row r="11" spans="1:9">
      <c r="A11" s="14"/>
      <c r="B11" s="14"/>
      <c r="C11" s="14"/>
      <c r="D11" s="14"/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5"/>
      <c r="G13" s="14"/>
      <c r="H13" s="14"/>
      <c r="I13" s="15"/>
    </row>
    <row r="14" spans="1:9">
      <c r="A14" s="14"/>
      <c r="B14" s="14"/>
      <c r="C14" s="14"/>
      <c r="D14" s="14"/>
      <c r="E14" s="14"/>
      <c r="F14" s="15"/>
      <c r="G14" s="14"/>
      <c r="H14" s="14"/>
      <c r="I14" s="15"/>
    </row>
    <row r="15" spans="1:9">
      <c r="A15" s="14"/>
      <c r="B15" s="14"/>
      <c r="C15" s="14"/>
      <c r="D15" s="14"/>
      <c r="E15" s="14"/>
      <c r="F15" s="15"/>
      <c r="G15" s="14"/>
      <c r="H15" s="14"/>
      <c r="I15" s="15"/>
    </row>
    <row r="16" spans="1:9">
      <c r="A16" s="14"/>
      <c r="B16" s="14"/>
      <c r="C16" s="14"/>
      <c r="D16" s="14"/>
      <c r="E16" s="14"/>
      <c r="F16" s="15"/>
      <c r="G16" s="14"/>
      <c r="H16" s="14"/>
      <c r="I16" s="15"/>
    </row>
    <row r="17" spans="1:9">
      <c r="A17" s="14"/>
      <c r="B17" s="14"/>
      <c r="C17" s="14"/>
      <c r="D17" s="14"/>
      <c r="E17" s="14"/>
      <c r="F17" s="15"/>
      <c r="G17" s="14"/>
      <c r="H17" s="14"/>
      <c r="I17" s="15"/>
    </row>
    <row r="18" spans="1:9">
      <c r="A18" s="14"/>
      <c r="B18" s="14"/>
      <c r="C18" s="14"/>
      <c r="D18" s="14"/>
      <c r="E18" s="14"/>
      <c r="F18" s="15"/>
      <c r="G18" s="14"/>
      <c r="H18" s="14"/>
      <c r="I18" s="15"/>
    </row>
    <row r="19" spans="1:9">
      <c r="A19" s="14"/>
      <c r="B19" s="14"/>
      <c r="C19" s="14"/>
      <c r="D19" s="14"/>
      <c r="E19" s="14"/>
      <c r="F19" s="15"/>
      <c r="G19" s="14"/>
      <c r="H19" s="14"/>
      <c r="I19" s="15"/>
    </row>
    <row r="20" spans="1:9">
      <c r="A20" s="14"/>
      <c r="B20" s="14"/>
      <c r="C20" s="14"/>
      <c r="D20" s="14"/>
      <c r="E20" s="14"/>
      <c r="F20" s="15"/>
      <c r="G20" s="14"/>
      <c r="H20" s="14"/>
      <c r="I20" s="15"/>
    </row>
    <row r="21" spans="1:9">
      <c r="A21" s="14"/>
      <c r="B21" s="14"/>
      <c r="C21" s="14"/>
      <c r="D21" s="14"/>
      <c r="E21" s="14"/>
      <c r="F21" s="15"/>
      <c r="G21" s="14"/>
      <c r="H21" s="14"/>
      <c r="I21" s="15"/>
    </row>
    <row r="22" spans="1:9">
      <c r="A22" s="14"/>
      <c r="B22" s="14"/>
      <c r="C22" s="14"/>
      <c r="D22" s="14"/>
      <c r="E22" s="14"/>
      <c r="F22" s="15"/>
      <c r="G22" s="14"/>
      <c r="H22" s="14"/>
      <c r="I22" s="15"/>
    </row>
    <row r="23" spans="1:9">
      <c r="A23" s="14"/>
      <c r="B23" s="14"/>
      <c r="C23" s="14"/>
      <c r="D23" s="14"/>
      <c r="E23" s="14"/>
      <c r="F23" s="15"/>
      <c r="G23" s="14"/>
      <c r="H23" s="14"/>
      <c r="I23" s="15"/>
    </row>
    <row r="24" spans="1:9">
      <c r="A24" s="14"/>
      <c r="B24" s="14"/>
      <c r="C24" s="14"/>
      <c r="D24" s="14"/>
      <c r="E24" s="14"/>
      <c r="F24" s="15"/>
      <c r="G24" s="14"/>
      <c r="H24" s="14"/>
      <c r="I24" s="15"/>
    </row>
    <row r="25" spans="1:9">
      <c r="A25" s="14"/>
      <c r="B25" s="14"/>
      <c r="C25" s="14"/>
      <c r="D25" s="14"/>
      <c r="E25" s="14"/>
      <c r="F25" s="15"/>
      <c r="G25" s="14"/>
      <c r="H25" s="14"/>
      <c r="I25" s="15"/>
    </row>
    <row r="26" spans="1:9">
      <c r="A26" s="14"/>
      <c r="B26" s="14"/>
      <c r="C26" s="14"/>
      <c r="D26" s="14"/>
      <c r="E26" s="14"/>
      <c r="F26" s="15"/>
      <c r="G26" s="14"/>
      <c r="H26" s="14"/>
      <c r="I26" s="15"/>
    </row>
    <row r="27" spans="1:9">
      <c r="A27" s="14"/>
      <c r="B27" s="14"/>
      <c r="C27" s="14"/>
      <c r="D27" s="14"/>
      <c r="E27" s="14"/>
      <c r="F27" s="15"/>
      <c r="G27" s="14"/>
      <c r="H27" s="14"/>
      <c r="I27" s="15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E15" sqref="E15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60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75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I16" sqref="I16"/>
      <selection pane="bottomLeft" activeCell="B15" sqref="B15"/>
      <selection pane="topRight" activeCell="B15" sqref="B15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28</v>
      </c>
      <c r="E1" s="68"/>
      <c r="F1" s="68"/>
      <c r="G1" s="66" t="s">
        <v>29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30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75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30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D4" sqref="D4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34</v>
      </c>
      <c r="E1" s="68"/>
      <c r="F1" s="68"/>
      <c r="G1" s="66" t="s">
        <v>35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109599.75</v>
      </c>
      <c r="D4" s="35">
        <v>91011.606</v>
      </c>
      <c r="E4" s="35">
        <f>IF(AND(ISNUMBER(C4),ISNUMBER(D4)), C4-D4, "")</f>
        <v>18588.144</v>
      </c>
      <c r="F4" s="36">
        <f>IFERROR(E4/D4, "")</f>
        <v>0.20423927031899647</v>
      </c>
      <c r="G4" s="37">
        <v>108406</v>
      </c>
      <c r="H4" s="37">
        <f>IF(AND(ISNUMBER(C4),ISNUMBER(G4)), C4-G4, "")</f>
        <v>1193.75</v>
      </c>
      <c r="I4" s="38">
        <f>IFERROR(H4/G4, "")</f>
        <v>1.1011844362858144E-2</v>
      </c>
      <c r="J4" s="57"/>
      <c r="K4" s="57"/>
    </row>
    <row r="5" spans="1:11" ht="30">
      <c r="A5" s="63" t="str">
        <v>Bullis</v>
      </c>
      <c r="B5" s="59" t="str">
        <v>NY</v>
      </c>
      <c r="C5" s="41">
        <v>576094</v>
      </c>
      <c r="D5" s="42">
        <v>584497.08200000005</v>
      </c>
      <c r="E5" s="42">
        <f t="shared" ref="E5:E6" si="0">IF(AND(ISNUMBER(C5),ISNUMBER(D5)), C5-D5, "")</f>
        <v>-8403.0820000000531</v>
      </c>
      <c r="F5" s="43">
        <f>IFERROR(E5/D5, "")</f>
        <v>-1.4376602140162698E-2</v>
      </c>
      <c r="G5" s="44">
        <v>680204.95</v>
      </c>
      <c r="H5" s="44">
        <f t="shared" ref="H5:H6" si="1">IF(AND(ISNUMBER(C5),ISNUMBER(G5)), C5-G5, "")</f>
        <v>-104110.94999999995</v>
      </c>
      <c r="I5" s="43">
        <f t="shared" ref="I5:I6" si="2">IFERROR(H5/G5, "")</f>
        <v>-0.15305820694189298</v>
      </c>
      <c r="J5" s="65" t="s">
        <v>36</v>
      </c>
      <c r="K5" s="65" t="s">
        <v>37</v>
      </c>
    </row>
    <row r="6" spans="1:11" ht="45">
      <c r="A6" s="64" t="str">
        <v>Rock Island</v>
      </c>
      <c r="B6" s="56" t="str">
        <v>NY</v>
      </c>
      <c r="C6" s="34">
        <v>550158</v>
      </c>
      <c r="D6" s="35">
        <v>608989.25399999996</v>
      </c>
      <c r="E6" s="35">
        <f t="shared" si="0"/>
        <v>-58831.253999999957</v>
      </c>
      <c r="F6" s="36">
        <f t="shared" ref="F6" si="3">IFERROR(E6/D6, "")</f>
        <v>-9.6604748956703207E-2</v>
      </c>
      <c r="G6" s="37">
        <v>600863.52</v>
      </c>
      <c r="H6" s="37">
        <f t="shared" si="1"/>
        <v>-50705.520000000019</v>
      </c>
      <c r="I6" s="38">
        <f t="shared" si="2"/>
        <v>-8.4387749151421304E-2</v>
      </c>
      <c r="J6" s="57" t="s">
        <v>38</v>
      </c>
      <c r="K6" s="57" t="s">
        <v>39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H4" activePane="bottomRight" state="frozen"/>
      <selection pane="bottomRight" activeCell="H5" sqref="H5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40</v>
      </c>
      <c r="E1" s="68"/>
      <c r="F1" s="68"/>
      <c r="G1" s="66" t="s">
        <v>41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131405.25</v>
      </c>
      <c r="D4" s="35">
        <v>110454.16</v>
      </c>
      <c r="E4" s="35">
        <f>IF(AND(ISNUMBER(C4),ISNUMBER(D4)), C4-D4, "")</f>
        <v>20951.089999999997</v>
      </c>
      <c r="F4" s="36">
        <f>IFERROR(E4/D4, "")</f>
        <v>0.18968131213889994</v>
      </c>
      <c r="G4" s="37">
        <v>118284.372</v>
      </c>
      <c r="H4" s="37">
        <f>IF(AND(ISNUMBER(C4),ISNUMBER(G4)), C4-G4, "")</f>
        <v>13120.877999999997</v>
      </c>
      <c r="I4" s="38">
        <f>IFERROR(H4/G4, "")</f>
        <v>0.11092655587671377</v>
      </c>
      <c r="J4" s="57"/>
      <c r="K4" s="57"/>
    </row>
    <row r="5" spans="1:11" ht="15.75">
      <c r="A5" s="63" t="str">
        <v>Bullis</v>
      </c>
      <c r="B5" s="59" t="str">
        <v>NY</v>
      </c>
      <c r="C5" s="42">
        <v>644409</v>
      </c>
      <c r="D5" s="42">
        <v>637554.67700000003</v>
      </c>
      <c r="E5" s="42">
        <f t="shared" ref="E5:E6" si="0">IF(AND(ISNUMBER(C5),ISNUMBER(D5)), C5-D5, "")</f>
        <v>6854.3229999999749</v>
      </c>
      <c r="F5" s="43">
        <f>IFERROR(E5/D5, "")</f>
        <v>1.0750957129281594E-2</v>
      </c>
      <c r="G5" s="44">
        <v>825963.54</v>
      </c>
      <c r="H5" s="44">
        <f t="shared" ref="H5:H6" si="1">IF(AND(ISNUMBER(C5),ISNUMBER(G5)), C5-G5, "")</f>
        <v>-181554.54000000004</v>
      </c>
      <c r="I5" s="43">
        <f t="shared" ref="I5:I6" si="2">IFERROR(H5/G5, "")</f>
        <v>-0.21980938771219857</v>
      </c>
      <c r="J5" s="60"/>
      <c r="K5" s="60"/>
    </row>
    <row r="6" spans="1:11" ht="45">
      <c r="A6" s="64" t="str">
        <v>Rock Island</v>
      </c>
      <c r="B6" s="56" t="str">
        <v>NY</v>
      </c>
      <c r="C6" s="34">
        <v>604873.5</v>
      </c>
      <c r="D6" s="35">
        <v>671134.67200000002</v>
      </c>
      <c r="E6" s="35">
        <f t="shared" si="0"/>
        <v>-66261.17200000002</v>
      </c>
      <c r="F6" s="36">
        <f t="shared" ref="F6" si="3">IFERROR(E6/D6, "")</f>
        <v>-9.8730068292463391E-2</v>
      </c>
      <c r="G6" s="37">
        <v>661577.9</v>
      </c>
      <c r="H6" s="37">
        <f t="shared" si="1"/>
        <v>-56704.400000000023</v>
      </c>
      <c r="I6" s="38">
        <f t="shared" si="2"/>
        <v>-8.5710843726793204E-2</v>
      </c>
      <c r="J6" s="57" t="s">
        <v>42</v>
      </c>
      <c r="K6" s="57" t="s">
        <v>43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E4" activePane="bottomRight" state="frozen"/>
      <selection pane="bottomRight" activeCell="G19" sqref="G19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44</v>
      </c>
      <c r="E1" s="68"/>
      <c r="F1" s="68"/>
      <c r="G1" s="66" t="s">
        <v>45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>
        <v>122900</v>
      </c>
      <c r="D4" s="35">
        <v>107134.67</v>
      </c>
      <c r="E4" s="35">
        <f>IF(AND(ISNUMBER(C4),ISNUMBER(D4)), C4-D4, "")</f>
        <v>15765.330000000002</v>
      </c>
      <c r="F4" s="36">
        <f>IFERROR(E4/D4, "")</f>
        <v>0.14715432455245347</v>
      </c>
      <c r="G4" s="37">
        <v>49888.031999999999</v>
      </c>
      <c r="H4" s="37">
        <f>IF(AND(ISNUMBER(C4),ISNUMBER(G4)), C4-G4, "")</f>
        <v>73011.967999999993</v>
      </c>
      <c r="I4" s="38">
        <f>IFERROR(H4/G4, "")</f>
        <v>1.4635167007590115</v>
      </c>
      <c r="J4" s="57"/>
      <c r="K4" s="57"/>
    </row>
    <row r="5" spans="1:11" ht="15.75">
      <c r="A5" s="63" t="str">
        <v>Bullis</v>
      </c>
      <c r="B5" s="59" t="str">
        <v>NY</v>
      </c>
      <c r="C5" s="41">
        <v>966814</v>
      </c>
      <c r="D5" s="42">
        <v>954212.39</v>
      </c>
      <c r="E5" s="42">
        <f t="shared" ref="E5:E6" si="0">IF(AND(ISNUMBER(C5),ISNUMBER(D5)), C5-D5, "")</f>
        <v>12601.609999999986</v>
      </c>
      <c r="F5" s="43">
        <f>IFERROR(E5/D5, "")</f>
        <v>1.3206294669889988E-2</v>
      </c>
      <c r="G5" s="44">
        <v>999785.87</v>
      </c>
      <c r="H5" s="44">
        <f t="shared" ref="H5:H6" si="1">IF(AND(ISNUMBER(C5),ISNUMBER(G5)), C5-G5, "")</f>
        <v>-32971.869999999995</v>
      </c>
      <c r="I5" s="43">
        <f t="shared" ref="I5:I6" si="2">IFERROR(H5/G5, "")</f>
        <v>-3.2978931778661763E-2</v>
      </c>
      <c r="J5" s="60"/>
      <c r="K5" s="60"/>
    </row>
    <row r="6" spans="1:11" ht="30.75">
      <c r="A6" s="64" t="str">
        <v>Rock Island</v>
      </c>
      <c r="B6" s="56" t="str">
        <v>NY</v>
      </c>
      <c r="C6" s="34">
        <v>726597.5</v>
      </c>
      <c r="D6" s="35">
        <v>790857.04200000002</v>
      </c>
      <c r="E6" s="35">
        <f t="shared" si="0"/>
        <v>-64259.542000000016</v>
      </c>
      <c r="F6" s="36">
        <f t="shared" ref="F6" si="3">IFERROR(E6/D6, "")</f>
        <v>-8.1253043960377372E-2</v>
      </c>
      <c r="G6" s="37">
        <v>859646.75</v>
      </c>
      <c r="H6" s="37">
        <f t="shared" si="1"/>
        <v>-133049.25</v>
      </c>
      <c r="I6" s="38">
        <f t="shared" si="2"/>
        <v>-0.15477200373292868</v>
      </c>
      <c r="J6" s="57" t="s">
        <v>46</v>
      </c>
      <c r="K6" s="57" t="s">
        <v>47</v>
      </c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7:F80 I7:I80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6 I4:I6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J18" sqref="J18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48</v>
      </c>
      <c r="E1" s="68"/>
      <c r="F1" s="68"/>
      <c r="G1" s="66" t="s">
        <v>49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50</v>
      </c>
      <c r="E1" s="68"/>
      <c r="F1" s="68"/>
      <c r="G1" s="66" t="s">
        <v>51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52</v>
      </c>
      <c r="E1" s="68"/>
      <c r="F1" s="68"/>
      <c r="G1" s="66" t="s">
        <v>53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54</v>
      </c>
      <c r="E1" s="68"/>
      <c r="F1" s="68"/>
      <c r="G1" s="66" t="s">
        <v>55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56</v>
      </c>
      <c r="E1" s="68"/>
      <c r="F1" s="68"/>
      <c r="G1" s="66" t="s">
        <v>57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58</v>
      </c>
      <c r="E1" s="68"/>
      <c r="F1" s="68"/>
      <c r="G1" s="66" t="s">
        <v>59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4.2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Renewable Properties</v>
      </c>
      <c r="B1" s="67"/>
      <c r="C1" s="67"/>
      <c r="D1" s="68" t="s">
        <v>60</v>
      </c>
      <c r="E1" s="68"/>
      <c r="F1" s="68"/>
      <c r="G1" s="66" t="s">
        <v>61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75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75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75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E37" sqref="E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5">
      <c r="A4" s="31" t="s">
        <v>67</v>
      </c>
      <c r="B4" t="s">
        <v>68</v>
      </c>
      <c r="C4" s="30" t="s">
        <v>69</v>
      </c>
      <c r="D4" s="29" t="s">
        <v>70</v>
      </c>
      <c r="E4" t="s">
        <v>71</v>
      </c>
      <c r="G4" s="3"/>
    </row>
    <row r="5" spans="1:12" ht="15">
      <c r="A5" s="31" t="s">
        <v>72</v>
      </c>
      <c r="B5" t="s">
        <v>72</v>
      </c>
      <c r="C5" s="30" t="s">
        <v>73</v>
      </c>
      <c r="D5" s="29" t="s">
        <v>70</v>
      </c>
      <c r="E5" t="s">
        <v>71</v>
      </c>
      <c r="G5" s="3"/>
    </row>
    <row r="6" spans="1:12" ht="15">
      <c r="A6" s="31" t="s">
        <v>74</v>
      </c>
      <c r="B6" t="s">
        <v>75</v>
      </c>
      <c r="C6" s="30" t="s">
        <v>73</v>
      </c>
      <c r="D6" s="29" t="s">
        <v>70</v>
      </c>
      <c r="E6" t="s">
        <v>71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2024-06-18T12:30:24Z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