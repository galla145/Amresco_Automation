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Client Report Templates/"/>
    </mc:Choice>
  </mc:AlternateContent>
  <xr:revisionPtr revIDLastSave="1734" documentId="8_{B2B8FB1C-BA1A-466B-89D1-D34D1DB127A7}" xr6:coauthVersionLast="47" xr6:coauthVersionMax="47" xr10:uidLastSave="{940D9444-82D0-4101-9995-B50FBA0A543A}"/>
  <bookViews>
    <workbookView xWindow="28680" yWindow="15855" windowWidth="29040" windowHeight="15720" tabRatio="866" firstSheet="17" activeTab="1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33" l="1"/>
  <c r="F18" i="33"/>
  <c r="H18" i="33"/>
  <c r="I18" i="33"/>
  <c r="E19" i="33"/>
  <c r="F19" i="33"/>
  <c r="H19" i="33"/>
  <c r="I19" i="33"/>
  <c r="E20" i="33"/>
  <c r="F20" i="33"/>
  <c r="H20" i="33"/>
  <c r="I20" i="33"/>
  <c r="E21" i="33"/>
  <c r="F21" i="33"/>
  <c r="H21" i="33"/>
  <c r="I21" i="33"/>
  <c r="E22" i="33"/>
  <c r="F22" i="33"/>
  <c r="H22" i="33"/>
  <c r="I22" i="33"/>
  <c r="E23" i="33"/>
  <c r="F23" i="33"/>
  <c r="H23" i="33"/>
  <c r="I23" i="33"/>
  <c r="E18" i="32"/>
  <c r="F18" i="32"/>
  <c r="H18" i="32"/>
  <c r="I18" i="32"/>
  <c r="E19" i="32"/>
  <c r="F19" i="32"/>
  <c r="H19" i="32"/>
  <c r="I19" i="32"/>
  <c r="E20" i="32"/>
  <c r="F20" i="32"/>
  <c r="H20" i="32"/>
  <c r="I20" i="32"/>
  <c r="E21" i="32"/>
  <c r="F21" i="32"/>
  <c r="H21" i="32"/>
  <c r="I21" i="32"/>
  <c r="E22" i="32"/>
  <c r="F22" i="32"/>
  <c r="H22" i="32"/>
  <c r="I22" i="32"/>
  <c r="E23" i="32"/>
  <c r="F23" i="32"/>
  <c r="H23" i="32"/>
  <c r="I23" i="32"/>
  <c r="E18" i="31"/>
  <c r="F18" i="31"/>
  <c r="H18" i="31"/>
  <c r="I18" i="31"/>
  <c r="E19" i="31"/>
  <c r="F19" i="31"/>
  <c r="H19" i="31"/>
  <c r="I19" i="31"/>
  <c r="E20" i="31"/>
  <c r="F20" i="31"/>
  <c r="H20" i="31"/>
  <c r="I20" i="31"/>
  <c r="E21" i="31"/>
  <c r="F21" i="31"/>
  <c r="H21" i="31"/>
  <c r="I21" i="31"/>
  <c r="E22" i="31"/>
  <c r="F22" i="31"/>
  <c r="H22" i="31"/>
  <c r="I22" i="31"/>
  <c r="E23" i="31"/>
  <c r="F23" i="31"/>
  <c r="H23" i="31"/>
  <c r="I23" i="31"/>
  <c r="E18" i="28"/>
  <c r="F18" i="28"/>
  <c r="H18" i="28"/>
  <c r="I18" i="28"/>
  <c r="E19" i="28"/>
  <c r="F19" i="28"/>
  <c r="H19" i="28"/>
  <c r="I19" i="28"/>
  <c r="E20" i="28"/>
  <c r="F20" i="28"/>
  <c r="H20" i="28"/>
  <c r="I20" i="28"/>
  <c r="E21" i="28"/>
  <c r="F21" i="28"/>
  <c r="H21" i="28"/>
  <c r="I21" i="28"/>
  <c r="E22" i="28"/>
  <c r="F22" i="28"/>
  <c r="H22" i="28"/>
  <c r="I22" i="28"/>
  <c r="E23" i="28"/>
  <c r="F23" i="28"/>
  <c r="H23" i="28"/>
  <c r="I23" i="28"/>
  <c r="E18" i="27"/>
  <c r="F18" i="27"/>
  <c r="H18" i="27"/>
  <c r="I18" i="27"/>
  <c r="E19" i="27"/>
  <c r="F19" i="27"/>
  <c r="H19" i="27"/>
  <c r="I19" i="27"/>
  <c r="E20" i="27"/>
  <c r="F20" i="27"/>
  <c r="H20" i="27"/>
  <c r="I20" i="27"/>
  <c r="E21" i="27"/>
  <c r="F21" i="27"/>
  <c r="H21" i="27"/>
  <c r="I21" i="27"/>
  <c r="E22" i="27"/>
  <c r="F22" i="27"/>
  <c r="H22" i="27"/>
  <c r="I22" i="27"/>
  <c r="E23" i="27"/>
  <c r="F23" i="27"/>
  <c r="H23" i="27"/>
  <c r="I23" i="27"/>
  <c r="E18" i="26"/>
  <c r="F18" i="26"/>
  <c r="H18" i="26"/>
  <c r="I18" i="26"/>
  <c r="E19" i="26"/>
  <c r="F19" i="26"/>
  <c r="H19" i="26"/>
  <c r="I19" i="26"/>
  <c r="E20" i="26"/>
  <c r="F20" i="26"/>
  <c r="H20" i="26"/>
  <c r="I20" i="26"/>
  <c r="E21" i="26"/>
  <c r="F21" i="26"/>
  <c r="H21" i="26"/>
  <c r="I21" i="26"/>
  <c r="E22" i="26"/>
  <c r="F22" i="26"/>
  <c r="H22" i="26"/>
  <c r="I22" i="26"/>
  <c r="E23" i="26"/>
  <c r="F23" i="26"/>
  <c r="H23" i="26"/>
  <c r="I23" i="26"/>
  <c r="E18" i="19"/>
  <c r="F18" i="19"/>
  <c r="H18" i="19"/>
  <c r="I18" i="19"/>
  <c r="E19" i="19"/>
  <c r="F19" i="19"/>
  <c r="H19" i="19"/>
  <c r="I19" i="19"/>
  <c r="E20" i="19"/>
  <c r="F20" i="19"/>
  <c r="H20" i="19"/>
  <c r="I20" i="19"/>
  <c r="E21" i="19"/>
  <c r="F21" i="19"/>
  <c r="H21" i="19"/>
  <c r="I21" i="19"/>
  <c r="E22" i="19"/>
  <c r="F22" i="19"/>
  <c r="H22" i="19"/>
  <c r="I22" i="19"/>
  <c r="E23" i="19"/>
  <c r="F23" i="19"/>
  <c r="H23" i="19"/>
  <c r="I23" i="19"/>
  <c r="E18" i="20"/>
  <c r="F18" i="20"/>
  <c r="H18" i="20"/>
  <c r="I18" i="20"/>
  <c r="E19" i="20"/>
  <c r="F19" i="20"/>
  <c r="H19" i="20"/>
  <c r="I19" i="20"/>
  <c r="E20" i="20"/>
  <c r="F20" i="20"/>
  <c r="H20" i="20"/>
  <c r="I20" i="20"/>
  <c r="E21" i="20"/>
  <c r="F21" i="20"/>
  <c r="H21" i="20"/>
  <c r="I21" i="20"/>
  <c r="E22" i="20"/>
  <c r="F22" i="20"/>
  <c r="H22" i="20"/>
  <c r="I22" i="20"/>
  <c r="E23" i="20"/>
  <c r="F23" i="20"/>
  <c r="H23" i="20"/>
  <c r="I23" i="20"/>
  <c r="E18" i="21"/>
  <c r="F18" i="21"/>
  <c r="H18" i="21"/>
  <c r="I18" i="21"/>
  <c r="E19" i="21"/>
  <c r="F19" i="21"/>
  <c r="H19" i="21"/>
  <c r="I19" i="21"/>
  <c r="E20" i="21"/>
  <c r="F20" i="21"/>
  <c r="H20" i="21"/>
  <c r="I20" i="21"/>
  <c r="E21" i="21"/>
  <c r="F21" i="21"/>
  <c r="H21" i="21"/>
  <c r="I21" i="21"/>
  <c r="E22" i="21"/>
  <c r="F22" i="21"/>
  <c r="H22" i="21"/>
  <c r="I22" i="21"/>
  <c r="E23" i="21"/>
  <c r="F23" i="21"/>
  <c r="H23" i="21"/>
  <c r="I23" i="21"/>
  <c r="E18" i="4"/>
  <c r="F18" i="4"/>
  <c r="H18" i="4"/>
  <c r="I18" i="4"/>
  <c r="E19" i="4"/>
  <c r="F19" i="4"/>
  <c r="H19" i="4"/>
  <c r="I19" i="4"/>
  <c r="E20" i="4"/>
  <c r="F20" i="4"/>
  <c r="H20" i="4"/>
  <c r="I20" i="4"/>
  <c r="E21" i="4"/>
  <c r="F21" i="4"/>
  <c r="H21" i="4"/>
  <c r="I21" i="4"/>
  <c r="E22" i="4"/>
  <c r="F22" i="4"/>
  <c r="H22" i="4"/>
  <c r="I22" i="4"/>
  <c r="E23" i="4"/>
  <c r="F23" i="4"/>
  <c r="H23" i="4"/>
  <c r="I23" i="4"/>
  <c r="E18" i="3"/>
  <c r="F18" i="3"/>
  <c r="H18" i="3"/>
  <c r="I18" i="3"/>
  <c r="E19" i="3"/>
  <c r="F19" i="3"/>
  <c r="H19" i="3"/>
  <c r="I19" i="3"/>
  <c r="E20" i="3"/>
  <c r="F20" i="3"/>
  <c r="H20" i="3"/>
  <c r="I20" i="3"/>
  <c r="E21" i="3"/>
  <c r="F21" i="3"/>
  <c r="H21" i="3"/>
  <c r="I21" i="3"/>
  <c r="E22" i="3"/>
  <c r="F22" i="3"/>
  <c r="H22" i="3"/>
  <c r="I22" i="3"/>
  <c r="E23" i="3"/>
  <c r="F23" i="3"/>
  <c r="H23" i="3"/>
  <c r="I23" i="3"/>
  <c r="E18" i="72"/>
  <c r="F18" i="72"/>
  <c r="H18" i="72"/>
  <c r="I18" i="72"/>
  <c r="E19" i="72"/>
  <c r="F19" i="72"/>
  <c r="H19" i="72"/>
  <c r="I19" i="72"/>
  <c r="E20" i="72"/>
  <c r="F20" i="72"/>
  <c r="H20" i="72"/>
  <c r="I20" i="72"/>
  <c r="E21" i="72"/>
  <c r="F21" i="72"/>
  <c r="H21" i="72"/>
  <c r="I21" i="72"/>
  <c r="E22" i="72"/>
  <c r="F22" i="72"/>
  <c r="H22" i="72"/>
  <c r="I22" i="72"/>
  <c r="E23" i="72"/>
  <c r="F23" i="72"/>
  <c r="H23" i="72"/>
  <c r="I23" i="72"/>
  <c r="C18" i="30"/>
  <c r="D18" i="30"/>
  <c r="E18" i="30"/>
  <c r="F18" i="30"/>
  <c r="H18" i="30"/>
  <c r="I18" i="30"/>
  <c r="C19" i="30"/>
  <c r="D19" i="30"/>
  <c r="E19" i="30"/>
  <c r="F19" i="30"/>
  <c r="H19" i="30"/>
  <c r="I19" i="30"/>
  <c r="C20" i="30"/>
  <c r="D20" i="30"/>
  <c r="E20" i="30"/>
  <c r="F20" i="30"/>
  <c r="H20" i="30"/>
  <c r="I20" i="30"/>
  <c r="C21" i="30"/>
  <c r="D21" i="30"/>
  <c r="E21" i="30"/>
  <c r="F21" i="30"/>
  <c r="H21" i="30"/>
  <c r="I21" i="30"/>
  <c r="C22" i="30"/>
  <c r="D22" i="30"/>
  <c r="E22" i="30"/>
  <c r="F22" i="30"/>
  <c r="H22" i="30"/>
  <c r="I22" i="30"/>
  <c r="C23" i="30"/>
  <c r="D23" i="30"/>
  <c r="E23" i="30"/>
  <c r="F23" i="30"/>
  <c r="H23" i="30"/>
  <c r="I23" i="30"/>
  <c r="C18" i="29"/>
  <c r="D18" i="29"/>
  <c r="E18" i="29"/>
  <c r="F18" i="29"/>
  <c r="H18" i="29"/>
  <c r="I18" i="29"/>
  <c r="C19" i="29"/>
  <c r="D19" i="29"/>
  <c r="E19" i="29"/>
  <c r="F19" i="29"/>
  <c r="H19" i="29"/>
  <c r="I19" i="29"/>
  <c r="C20" i="29"/>
  <c r="D20" i="29"/>
  <c r="E20" i="29"/>
  <c r="F20" i="29"/>
  <c r="H20" i="29"/>
  <c r="I20" i="29"/>
  <c r="C21" i="29"/>
  <c r="D21" i="29"/>
  <c r="E21" i="29"/>
  <c r="F21" i="29"/>
  <c r="H21" i="29"/>
  <c r="I21" i="29"/>
  <c r="C22" i="29"/>
  <c r="D22" i="29"/>
  <c r="E22" i="29"/>
  <c r="F22" i="29"/>
  <c r="H22" i="29"/>
  <c r="I22" i="29"/>
  <c r="C23" i="29"/>
  <c r="D23" i="29"/>
  <c r="E23" i="29"/>
  <c r="F23" i="29"/>
  <c r="H23" i="29"/>
  <c r="I23" i="29"/>
  <c r="C18" i="18"/>
  <c r="D18" i="18"/>
  <c r="E18" i="18"/>
  <c r="F18" i="18"/>
  <c r="H18" i="18"/>
  <c r="I18" i="18"/>
  <c r="C19" i="18"/>
  <c r="D19" i="18"/>
  <c r="E19" i="18"/>
  <c r="F19" i="18"/>
  <c r="H19" i="18"/>
  <c r="I19" i="18"/>
  <c r="C20" i="18"/>
  <c r="D20" i="18"/>
  <c r="E20" i="18"/>
  <c r="F20" i="18"/>
  <c r="H20" i="18"/>
  <c r="I20" i="18"/>
  <c r="C21" i="18"/>
  <c r="D21" i="18"/>
  <c r="E21" i="18"/>
  <c r="F21" i="18"/>
  <c r="H21" i="18"/>
  <c r="I21" i="18"/>
  <c r="C22" i="18"/>
  <c r="D22" i="18"/>
  <c r="E22" i="18"/>
  <c r="F22" i="18"/>
  <c r="H22" i="18"/>
  <c r="I22" i="18"/>
  <c r="C23" i="18"/>
  <c r="D23" i="18"/>
  <c r="E23" i="18"/>
  <c r="F23" i="18"/>
  <c r="H23" i="18"/>
  <c r="I23" i="18"/>
  <c r="C18" i="1"/>
  <c r="D18" i="1"/>
  <c r="E18" i="1"/>
  <c r="F18" i="1"/>
  <c r="G18" i="1"/>
  <c r="H18" i="1"/>
  <c r="I18" i="1"/>
  <c r="C19" i="1"/>
  <c r="D19" i="1"/>
  <c r="E19" i="1"/>
  <c r="F19" i="1"/>
  <c r="G19" i="1"/>
  <c r="H19" i="1"/>
  <c r="I19" i="1"/>
  <c r="C20" i="1"/>
  <c r="D20" i="1"/>
  <c r="E20" i="1"/>
  <c r="F20" i="1"/>
  <c r="G20" i="1"/>
  <c r="H20" i="1"/>
  <c r="I20" i="1"/>
  <c r="C21" i="1"/>
  <c r="D21" i="1"/>
  <c r="E21" i="1"/>
  <c r="F21" i="1"/>
  <c r="G21" i="1"/>
  <c r="H21" i="1"/>
  <c r="I21" i="1"/>
  <c r="C22" i="1"/>
  <c r="D22" i="1"/>
  <c r="E22" i="1"/>
  <c r="F22" i="1"/>
  <c r="G22" i="1"/>
  <c r="H22" i="1"/>
  <c r="I22" i="1"/>
  <c r="C23" i="1"/>
  <c r="D23" i="1"/>
  <c r="E23" i="1"/>
  <c r="F23" i="1"/>
  <c r="G23" i="1"/>
  <c r="H23" i="1"/>
  <c r="I23" i="1"/>
  <c r="C18" i="34"/>
  <c r="D18" i="34"/>
  <c r="E18" i="34"/>
  <c r="F18" i="34"/>
  <c r="H18" i="34"/>
  <c r="I18" i="34"/>
  <c r="C19" i="34"/>
  <c r="D19" i="34"/>
  <c r="E19" i="34"/>
  <c r="F19" i="34"/>
  <c r="H19" i="34"/>
  <c r="I19" i="34"/>
  <c r="C20" i="34"/>
  <c r="D20" i="34"/>
  <c r="E20" i="34"/>
  <c r="F20" i="34"/>
  <c r="H20" i="34"/>
  <c r="I20" i="34"/>
  <c r="C21" i="34"/>
  <c r="D21" i="34"/>
  <c r="E21" i="34"/>
  <c r="F21" i="34"/>
  <c r="H21" i="34"/>
  <c r="I21" i="34"/>
  <c r="C22" i="34"/>
  <c r="D22" i="34"/>
  <c r="E22" i="34"/>
  <c r="F22" i="34"/>
  <c r="H22" i="34"/>
  <c r="I22" i="34"/>
  <c r="C23" i="34"/>
  <c r="D23" i="34"/>
  <c r="E23" i="34"/>
  <c r="F23" i="34"/>
  <c r="H23" i="34"/>
  <c r="I23" i="34"/>
  <c r="C16" i="30"/>
  <c r="D16" i="30"/>
  <c r="E16" i="30"/>
  <c r="F16" i="30"/>
  <c r="H16" i="30"/>
  <c r="I16" i="30"/>
  <c r="C17" i="30"/>
  <c r="D17" i="30"/>
  <c r="E17" i="30"/>
  <c r="F17" i="30"/>
  <c r="H17" i="30"/>
  <c r="I17" i="30"/>
  <c r="C16" i="29"/>
  <c r="D16" i="29"/>
  <c r="E16" i="29"/>
  <c r="F16" i="29"/>
  <c r="H16" i="29"/>
  <c r="I16" i="29"/>
  <c r="C17" i="29"/>
  <c r="D17" i="29"/>
  <c r="E17" i="29"/>
  <c r="F17" i="29"/>
  <c r="H17" i="29"/>
  <c r="I17" i="29"/>
  <c r="C16" i="18"/>
  <c r="D16" i="18"/>
  <c r="E16" i="18"/>
  <c r="F16" i="18"/>
  <c r="H16" i="18"/>
  <c r="I16" i="18"/>
  <c r="C17" i="18"/>
  <c r="D17" i="18"/>
  <c r="E17" i="18"/>
  <c r="F17" i="18"/>
  <c r="H17" i="18"/>
  <c r="I17" i="18"/>
  <c r="C16" i="1"/>
  <c r="D16" i="1"/>
  <c r="E16" i="1"/>
  <c r="F16" i="1"/>
  <c r="G16" i="1"/>
  <c r="C17" i="1"/>
  <c r="D17" i="1"/>
  <c r="E17" i="1"/>
  <c r="F17" i="1"/>
  <c r="G17" i="1"/>
  <c r="C16" i="34"/>
  <c r="D16" i="34"/>
  <c r="E16" i="34"/>
  <c r="F16" i="34"/>
  <c r="C17" i="34"/>
  <c r="D17" i="34"/>
  <c r="E17" i="34"/>
  <c r="F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I17" i="21" s="1"/>
  <c r="E17" i="21"/>
  <c r="F17" i="21" s="1"/>
  <c r="H16" i="21"/>
  <c r="I16" i="21" s="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/>
  <c r="H16" i="3"/>
  <c r="I16" i="3"/>
  <c r="E17" i="3"/>
  <c r="F17" i="3"/>
  <c r="H17" i="3"/>
  <c r="I17" i="3"/>
  <c r="E16" i="72"/>
  <c r="F16" i="72"/>
  <c r="H16" i="72"/>
  <c r="I16" i="72"/>
  <c r="E17" i="72"/>
  <c r="F17" i="72"/>
  <c r="H17" i="72"/>
  <c r="I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/>
  <c r="E15" i="3"/>
  <c r="F15" i="3" s="1"/>
  <c r="H15" i="3"/>
  <c r="I15" i="3" s="1"/>
  <c r="G6" i="1"/>
  <c r="G7" i="1"/>
  <c r="G8" i="1"/>
  <c r="G9" i="1"/>
  <c r="G10" i="1"/>
  <c r="G11" i="1"/>
  <c r="G12" i="1"/>
  <c r="G13" i="1"/>
  <c r="G14" i="1"/>
  <c r="G15" i="1"/>
  <c r="G5" i="1"/>
  <c r="G4" i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G2" i="34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C5" i="30"/>
  <c r="E5" i="30" s="1"/>
  <c r="F5" i="30" s="1"/>
  <c r="D4" i="30"/>
  <c r="C4" i="30"/>
  <c r="E4" i="30" s="1"/>
  <c r="F4" i="30" s="1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E15" i="18" s="1"/>
  <c r="F15" i="18" s="1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E11" i="30"/>
  <c r="F11" i="30" s="1"/>
  <c r="D2" i="30"/>
  <c r="E13" i="29"/>
  <c r="F13" i="29" s="1"/>
  <c r="D2" i="18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H10" i="29" s="1"/>
  <c r="I10" i="29" s="1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I14" i="4"/>
  <c r="H14" i="4"/>
  <c r="F14" i="4"/>
  <c r="E14" i="4"/>
  <c r="H13" i="4"/>
  <c r="I13" i="4" s="1"/>
  <c r="E13" i="4"/>
  <c r="F13" i="4" s="1"/>
  <c r="H12" i="4"/>
  <c r="I12" i="4" s="1"/>
  <c r="F12" i="4"/>
  <c r="E12" i="4"/>
  <c r="I11" i="4"/>
  <c r="H11" i="4"/>
  <c r="E11" i="4"/>
  <c r="F11" i="4" s="1"/>
  <c r="H10" i="4"/>
  <c r="I10" i="4" s="1"/>
  <c r="E10" i="4"/>
  <c r="F10" i="4" s="1"/>
  <c r="I9" i="4"/>
  <c r="H9" i="4"/>
  <c r="F9" i="4"/>
  <c r="E9" i="4"/>
  <c r="H8" i="4"/>
  <c r="I8" i="4" s="1"/>
  <c r="E8" i="4"/>
  <c r="F8" i="4" s="1"/>
  <c r="H7" i="4"/>
  <c r="I7" i="4" s="1"/>
  <c r="E7" i="4"/>
  <c r="F7" i="4" s="1"/>
  <c r="I6" i="4"/>
  <c r="H6" i="4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H17" i="1" l="1"/>
  <c r="I17" i="1" s="1"/>
  <c r="H17" i="34"/>
  <c r="I17" i="34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F8" i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<sst xmlns="http://schemas.openxmlformats.org/spreadsheetml/2006/main" count="315" uniqueCount="94">
  <si>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</si>
  <si>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</si>
  <si>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</si>
  <si>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</si>
  <si>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</si>
  <si>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</si>
  <si>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</si>
  <si>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</si>
  <si>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</si>
  <si>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</si>
  <si>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</si>
  <si>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</si>
  <si>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</si>
  <si>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</si>
  <si>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</si>
  <si>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</si>
  <si>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</si>
  <si>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</si>
  <si>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</si>
  <si>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</si>
  <si>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</si>
  <si>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</si>
  <si>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</si>
  <si>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</si>
  <si>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</si>
  <si>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</si>
  <si>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</si>
  <si>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</si>
  <si>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</si>
  <si>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</si>
  <si>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</si>
  <si>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</si>
  <si>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</si>
  <si>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</si>
  <si>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</si>
  <si>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</si>
  <si>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</si>
  <si>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</si>
  <si>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</si>
  <si>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</si>
  <si>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</si>
  <si>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</si>
  <si>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</si>
  <si>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</si>
  <si>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</si>
  <si>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JLL</t>
  </si>
  <si>
    <t>Site DAS Name</t>
  </si>
  <si>
    <t>Update</t>
  </si>
  <si>
    <t>DAS</t>
  </si>
  <si>
    <t>Bank of America - AZW-167 (Bullhead City, AZ)</t>
  </si>
  <si>
    <t>Bullhead</t>
  </si>
  <si>
    <t>AZ</t>
  </si>
  <si>
    <t>Enlighten</t>
  </si>
  <si>
    <t>Bank of America - AZW-166 (Peoria, AZ)</t>
  </si>
  <si>
    <t>Peoria</t>
  </si>
  <si>
    <t>Bank of America - AZ5-135 (Midvale Park, AZ)</t>
  </si>
  <si>
    <t>Tucson</t>
  </si>
  <si>
    <t>Bank of America - FL7-551 (Hialeah Miami Springs, FL)</t>
  </si>
  <si>
    <t>Hialeah</t>
  </si>
  <si>
    <t>FL</t>
  </si>
  <si>
    <t>Bank of America - FLW-B75 (Jacksonville, FL)</t>
  </si>
  <si>
    <t>Jacksonville</t>
  </si>
  <si>
    <t>Bank of America - FLW-B89 (Miami Gardens, FL)</t>
  </si>
  <si>
    <t>Miami Gardens</t>
  </si>
  <si>
    <t>Bank of America - FL4-199 (North Fort Myers, FL)</t>
  </si>
  <si>
    <t>Fort Myers</t>
  </si>
  <si>
    <t>Bank of America - FLW-D01 (Orlando, FL)</t>
  </si>
  <si>
    <t>Orlando</t>
  </si>
  <si>
    <t>Bank of America - FL5-644 (Port St. Lucie, FL)</t>
  </si>
  <si>
    <t>Port St. Lucie</t>
  </si>
  <si>
    <t>Bank of America - FL2-201 (Tampa, FL)</t>
  </si>
  <si>
    <t>Tampa</t>
  </si>
  <si>
    <t>Bank of America - GA7-247 (Roswell, GA)</t>
  </si>
  <si>
    <t>Roswell</t>
  </si>
  <si>
    <t>GA</t>
  </si>
  <si>
    <t>Bank of America - NC2-225 (Charlotte, NC)</t>
  </si>
  <si>
    <t>Charlotte</t>
  </si>
  <si>
    <t>NC</t>
  </si>
  <si>
    <t>Bank of America - NC7-430 (Raleigh, NC)</t>
  </si>
  <si>
    <t>Raleigh</t>
  </si>
  <si>
    <t>Bank of America - TN3-844 (Cordova, TN)</t>
  </si>
  <si>
    <t>Cordova</t>
  </si>
  <si>
    <t>TN</t>
  </si>
  <si>
    <t>Bank of America - TX9-794 (Austin, TX)</t>
  </si>
  <si>
    <t>Austin</t>
  </si>
  <si>
    <t>TX</t>
  </si>
  <si>
    <t>Bank of America - TX2-736 (Frisco, TX)</t>
  </si>
  <si>
    <t>Frisco</t>
  </si>
  <si>
    <t>Bank of America - TX5-204 (Copperfield, TX) (240 VAC High Leg Delta) (FC - Copperfield (High Leg Delta))</t>
  </si>
  <si>
    <t>Houston</t>
  </si>
  <si>
    <t>Bank of America - TX2-796 (Plano, TX)</t>
  </si>
  <si>
    <t>Plano Bldg A</t>
  </si>
  <si>
    <t>Plano Bldg B</t>
  </si>
  <si>
    <t>Plano Bldg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</si>
</sst>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0" borderId="12" xfId="43" applyFont="1" applyBorder="1"/>
    <xf numFmtId="0" fontId="22" fillId="0" borderId="13" xfId="43" applyFont="1" applyBorder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3" totalsRowShown="0">
  <autoFilter ref="A3:E23" xr:uid="{C9C95D9E-67ED-41E0-9F41-9C3DA4ACF4CD}"/>
  <sortState xmlns:xlrd2="http://schemas.microsoft.com/office/spreadsheetml/2017/richdata2" ref="A4:E23">
    <sortCondition ref="C3:C23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4" activePane="bottomRight" state="frozen"/>
      <selection pane="bottomRight" activeCell="A14" sqref="A14:I23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JLL</v>
      </c>
      <c r="B1" s="47"/>
      <c r="C1" s="47"/>
      <c r="D1" s="48" t="s">
        <v>0</v>
      </c>
      <c r="E1" s="48"/>
      <c r="F1" s="48"/>
      <c r="G1" s="46" t="s">
        <v>1</v>
      </c>
      <c r="H1" s="46"/>
      <c r="I1" s="46"/>
    </row>
    <row r="2" spans="1:9" ht="19.5" customHeight="1">
      <c r="A2" s="49" t="s">
        <v>2</v>
      </c>
      <c r="B2" s="4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23">Sites[Site]</f>
        <v>Bullhead</v>
      </c>
      <c r="B4" s="9" t="str" cm="1">
        <f t="array" ref="B4:B23">Sites[State]</f>
        <v>AZ</v>
      </c>
      <c r="C4" s="24">
        <f>SUM('1st Qtr'!C4, '2nd Qtr'!C4, '3rd Qtr'!C4, '4th Qtr'!C4)</f>
        <v>0</v>
      </c>
      <c r="D4" s="13">
        <f>SUM('1st Qtr'!D4, '2nd Qtr'!D4, '3rd Qtr'!D4, '4th Qtr'!D4)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SUM('1st Qtr'!H4, '2nd Qtr'!H4, '3rd Qtr'!H4, '4th Qtr'!H4)</f>
        <v>0</v>
      </c>
      <c r="I4" s="16" t="str">
        <f>IFERROR(H4/G4, "")</f>
        <v/>
      </c>
    </row>
    <row r="5" spans="1:9" ht="15.75">
      <c r="A5" s="17" t="str">
        <v>Peoria</v>
      </c>
      <c r="B5" s="10" t="str">
        <v>AZ</v>
      </c>
      <c r="C5" s="11">
        <f>SUM(Jan!C5, Feb!C5, Mar!C5)</f>
        <v>0</v>
      </c>
      <c r="D5" s="18">
        <f>SUM(Jan!D5, Feb!D5, Mar!D5)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SUM(Jan!H5, Feb!H5, Mar!H5)</f>
        <v>0</v>
      </c>
      <c r="I5" s="19" t="str">
        <f>IFERROR(H5/G5, "")</f>
        <v/>
      </c>
    </row>
    <row r="6" spans="1:9" ht="15.75">
      <c r="A6" s="12" t="str">
        <v>Tucson</v>
      </c>
      <c r="B6" s="9" t="str">
        <v>AZ</v>
      </c>
      <c r="C6" s="24">
        <f>SUM(Jan!C6, Feb!C6, Mar!C6)</f>
        <v>0</v>
      </c>
      <c r="D6" s="13">
        <f>SUM(Jan!D6, Feb!D6, Mar!D6)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SUM(Jan!H6, Feb!H6, Mar!H6)</f>
        <v>0</v>
      </c>
      <c r="I6" s="16" t="str">
        <f t="shared" ref="I6:I15" si="2">IFERROR(H6/G6, "")</f>
        <v/>
      </c>
    </row>
    <row r="7" spans="1:9" ht="15.75">
      <c r="A7" s="17" t="str">
        <v>Hialeah</v>
      </c>
      <c r="B7" s="10" t="str">
        <v>FL</v>
      </c>
      <c r="C7" s="11">
        <f>SUM(Jan!C7, Feb!C7, Mar!C7)</f>
        <v>0</v>
      </c>
      <c r="D7" s="18">
        <f>SUM(Jan!D7, Feb!D7, Mar!D7)</f>
        <v>0</v>
      </c>
      <c r="E7" s="18">
        <f t="shared" si="0"/>
        <v>0</v>
      </c>
      <c r="F7" s="19" t="str">
        <f t="shared" si="1"/>
        <v/>
      </c>
      <c r="G7" s="20"/>
      <c r="H7" s="20">
        <f>SUM(Jan!H7, Feb!H7, Mar!H7)</f>
        <v>0</v>
      </c>
      <c r="I7" s="19" t="str">
        <f t="shared" si="2"/>
        <v/>
      </c>
    </row>
    <row r="8" spans="1:9" ht="15.75">
      <c r="A8" s="12" t="str">
        <v>Jacksonville</v>
      </c>
      <c r="B8" s="9" t="str">
        <v>FL</v>
      </c>
      <c r="C8" s="24">
        <f>SUM(Jan!C8, Feb!C8, Mar!C8)</f>
        <v>0</v>
      </c>
      <c r="D8" s="13">
        <f>SUM(Jan!D8, Feb!D8, Mar!D8)</f>
        <v>0</v>
      </c>
      <c r="E8" s="13">
        <f t="shared" si="0"/>
        <v>0</v>
      </c>
      <c r="F8" s="14" t="str">
        <f t="shared" si="1"/>
        <v/>
      </c>
      <c r="G8" s="15"/>
      <c r="H8" s="15">
        <f>SUM(Jan!H8, Feb!H8, Mar!H8)</f>
        <v>0</v>
      </c>
      <c r="I8" s="16" t="str">
        <f t="shared" si="2"/>
        <v/>
      </c>
    </row>
    <row r="9" spans="1:9" ht="15.75">
      <c r="A9" s="17" t="str">
        <v>Miami Gardens</v>
      </c>
      <c r="B9" s="10" t="str">
        <v>FL</v>
      </c>
      <c r="C9" s="11">
        <f>SUM(Jan!C9, Feb!C9, Mar!C9)</f>
        <v>0</v>
      </c>
      <c r="D9" s="18">
        <f>SUM(Jan!D9, Feb!D9, Mar!D9)</f>
        <v>0</v>
      </c>
      <c r="E9" s="18">
        <f t="shared" si="0"/>
        <v>0</v>
      </c>
      <c r="F9" s="19" t="str">
        <f t="shared" si="1"/>
        <v/>
      </c>
      <c r="G9" s="20"/>
      <c r="H9" s="20">
        <f>SUM(Jan!H9, Feb!H9, Mar!H9)</f>
        <v>0</v>
      </c>
      <c r="I9" s="19" t="str">
        <f t="shared" si="2"/>
        <v/>
      </c>
    </row>
    <row r="10" spans="1:9" ht="15.75">
      <c r="A10" s="12" t="str">
        <v>Fort Myers</v>
      </c>
      <c r="B10" s="9" t="str">
        <v>FL</v>
      </c>
      <c r="C10" s="24">
        <f>SUM(Jan!C10, Feb!C10, Mar!C10)</f>
        <v>0</v>
      </c>
      <c r="D10" s="13">
        <f>SUM(Jan!D10, Feb!D10, Mar!D10)</f>
        <v>0</v>
      </c>
      <c r="E10" s="13">
        <f t="shared" si="0"/>
        <v>0</v>
      </c>
      <c r="F10" s="14" t="str">
        <f t="shared" si="1"/>
        <v/>
      </c>
      <c r="G10" s="15"/>
      <c r="H10" s="15">
        <f>SUM(Jan!H10, Feb!H10, Mar!H10)</f>
        <v>0</v>
      </c>
      <c r="I10" s="16" t="str">
        <f t="shared" si="2"/>
        <v/>
      </c>
    </row>
    <row r="11" spans="1:9" ht="15.75">
      <c r="A11" s="17" t="str">
        <v>Orlando</v>
      </c>
      <c r="B11" s="10" t="str">
        <v>FL</v>
      </c>
      <c r="C11" s="11">
        <f>SUM(Jan!C11, Feb!C11, Mar!C11)</f>
        <v>0</v>
      </c>
      <c r="D11" s="18">
        <f>SUM(Jan!D11, Feb!D11, Mar!D11)</f>
        <v>0</v>
      </c>
      <c r="E11" s="18">
        <f t="shared" si="0"/>
        <v>0</v>
      </c>
      <c r="F11" s="19" t="str">
        <f t="shared" si="1"/>
        <v/>
      </c>
      <c r="G11" s="20"/>
      <c r="H11" s="20">
        <f>SUM(Jan!H11, Feb!H11, Mar!H11)</f>
        <v>0</v>
      </c>
      <c r="I11" s="19" t="str">
        <f t="shared" si="2"/>
        <v/>
      </c>
    </row>
    <row r="12" spans="1:9" ht="15.75">
      <c r="A12" s="12" t="str">
        <v>Port St. Lucie</v>
      </c>
      <c r="B12" s="9" t="str">
        <v>FL</v>
      </c>
      <c r="C12" s="24">
        <f>SUM(Jan!C12, Feb!C12, Mar!C12)</f>
        <v>0</v>
      </c>
      <c r="D12" s="13">
        <f>SUM(Jan!D12, Feb!D12, Mar!D12)</f>
        <v>0</v>
      </c>
      <c r="E12" s="13">
        <f t="shared" si="0"/>
        <v>0</v>
      </c>
      <c r="F12" s="14" t="str">
        <f t="shared" si="1"/>
        <v/>
      </c>
      <c r="G12" s="15"/>
      <c r="H12" s="15">
        <f>SUM(Jan!H12, Feb!H12, Mar!H12)</f>
        <v>0</v>
      </c>
      <c r="I12" s="16" t="str">
        <f t="shared" si="2"/>
        <v/>
      </c>
    </row>
    <row r="13" spans="1:9" ht="15.75">
      <c r="A13" s="17" t="str">
        <v>Tampa</v>
      </c>
      <c r="B13" s="10" t="str">
        <v>FL</v>
      </c>
      <c r="C13" s="11">
        <f>SUM(Jan!C13, Feb!C13, Mar!C13)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/>
      <c r="H13" s="20">
        <f>SUM(Jan!H13, Feb!H13, Mar!H13)</f>
        <v>0</v>
      </c>
      <c r="I13" s="19" t="str">
        <f t="shared" si="2"/>
        <v/>
      </c>
    </row>
    <row r="14" spans="1:9" ht="15.75">
      <c r="A14" s="12" t="str">
        <v>Roswell</v>
      </c>
      <c r="B14" s="9" t="str">
        <v>GA</v>
      </c>
      <c r="C14" s="24">
        <f>SUM(Jan!C14, Feb!C14, Mar!C14)</f>
        <v>0</v>
      </c>
      <c r="D14" s="13">
        <f>SUM(Jan!D14, Feb!D14, Mar!D14)</f>
        <v>0</v>
      </c>
      <c r="E14" s="13">
        <f t="shared" si="0"/>
        <v>0</v>
      </c>
      <c r="F14" s="14" t="str">
        <f t="shared" si="1"/>
        <v/>
      </c>
      <c r="G14" s="15"/>
      <c r="H14" s="15">
        <f>SUM(Jan!H14, Feb!H14, Mar!H14)</f>
        <v>0</v>
      </c>
      <c r="I14" s="16" t="str">
        <f t="shared" si="2"/>
        <v/>
      </c>
    </row>
    <row r="15" spans="1:9" ht="15.75">
      <c r="A15" s="17" t="str">
        <v>Charlotte</v>
      </c>
      <c r="B15" s="10" t="str">
        <v>NC</v>
      </c>
      <c r="C15" s="11">
        <f>SUM(Jan!C15, Feb!C15, Mar!C15)</f>
        <v>0</v>
      </c>
      <c r="D15" s="18">
        <f>SUM(Jan!D15, Feb!D15, Mar!D15)</f>
        <v>0</v>
      </c>
      <c r="E15" s="18">
        <f t="shared" si="0"/>
        <v>0</v>
      </c>
      <c r="F15" s="19" t="str">
        <f t="shared" si="1"/>
        <v/>
      </c>
      <c r="G15" s="20"/>
      <c r="H15" s="20">
        <f>SUM(Jan!H15, Feb!H15, Mar!H15)</f>
        <v>0</v>
      </c>
      <c r="I15" s="19" t="str">
        <f t="shared" si="2"/>
        <v/>
      </c>
    </row>
    <row r="16" spans="1:9" ht="15.75">
      <c r="A16" s="12" t="str">
        <v>Raleigh</v>
      </c>
      <c r="B16" s="9" t="str">
        <v>NC</v>
      </c>
      <c r="C16" s="24">
        <f>SUM(Jan!C16, Feb!C16, Mar!C16)</f>
        <v>0</v>
      </c>
      <c r="D16" s="13">
        <f>SUM(Jan!D16, Feb!D16, Mar!D16)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/>
      <c r="H16" s="15">
        <f>SUM(Jan!H16, Feb!H16, Mar!H16)</f>
        <v>0</v>
      </c>
      <c r="I16" s="16" t="str">
        <f t="shared" ref="I16:I19" si="5">IFERROR(H16/G16, "")</f>
        <v/>
      </c>
    </row>
    <row r="17" spans="1:9" ht="15.75">
      <c r="A17" s="17" t="str">
        <v>Cordova</v>
      </c>
      <c r="B17" s="10" t="str">
        <v>TN</v>
      </c>
      <c r="C17" s="11">
        <f>SUM(Jan!C17, Feb!C17, Mar!C17)</f>
        <v>0</v>
      </c>
      <c r="D17" s="18">
        <f>SUM(Jan!D17, Feb!D17, Mar!D17)</f>
        <v>0</v>
      </c>
      <c r="E17" s="18">
        <f t="shared" si="3"/>
        <v>0</v>
      </c>
      <c r="F17" s="19" t="str">
        <f t="shared" si="4"/>
        <v/>
      </c>
      <c r="G17" s="20"/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Austin</v>
      </c>
      <c r="B18" s="9" t="str">
        <v>TX</v>
      </c>
      <c r="C18" s="24">
        <f>SUM(Jan!C18, Feb!C18, Mar!C18)</f>
        <v>0</v>
      </c>
      <c r="D18" s="13">
        <f>SUM(Jan!D18, Feb!D18, Mar!D18)</f>
        <v>0</v>
      </c>
      <c r="E18" s="13">
        <f t="shared" si="3"/>
        <v>0</v>
      </c>
      <c r="F18" s="14" t="str">
        <f t="shared" si="4"/>
        <v/>
      </c>
      <c r="G18" s="15"/>
      <c r="H18" s="15">
        <f>SUM(Jan!H18, Feb!H18, Mar!H18)</f>
        <v>0</v>
      </c>
      <c r="I18" s="16" t="str">
        <f t="shared" si="5"/>
        <v/>
      </c>
    </row>
    <row r="19" spans="1:9" ht="15.75">
      <c r="A19" s="17" t="str">
        <v>Frisco</v>
      </c>
      <c r="B19" s="10" t="str">
        <v>TX</v>
      </c>
      <c r="C19" s="11">
        <f>SUM(Jan!C19, Feb!C19, Mar!C19)</f>
        <v>0</v>
      </c>
      <c r="D19" s="18">
        <f>SUM(Jan!D19, Feb!D19, Mar!D19)</f>
        <v>0</v>
      </c>
      <c r="E19" s="18">
        <f t="shared" si="3"/>
        <v>0</v>
      </c>
      <c r="F19" s="19" t="str">
        <f t="shared" si="4"/>
        <v/>
      </c>
      <c r="G19" s="20"/>
      <c r="H19" s="20">
        <f>SUM(Jan!H19, Feb!H19, Mar!H19)</f>
        <v>0</v>
      </c>
      <c r="I19" s="19" t="str">
        <f t="shared" si="5"/>
        <v/>
      </c>
    </row>
    <row r="20" spans="1:9" ht="15.75">
      <c r="A20" s="12" t="str">
        <v>Houston</v>
      </c>
      <c r="B20" s="9" t="str">
        <v>TX</v>
      </c>
      <c r="C20" s="24">
        <f>SUM(Jan!C20, Feb!C20, Mar!C20)</f>
        <v>0</v>
      </c>
      <c r="D20" s="13">
        <f>SUM(Jan!D20, Feb!D20, Mar!D20)</f>
        <v>0</v>
      </c>
      <c r="E20" s="13">
        <f t="shared" ref="E20:E23" si="6">IF(AND(ISNUMBER(C20),ISNUMBER(D20)), C20-D20, "")</f>
        <v>0</v>
      </c>
      <c r="F20" s="14" t="str">
        <f t="shared" ref="F20:F23" si="7">IFERROR(E20/D20, "")</f>
        <v/>
      </c>
      <c r="G20" s="15"/>
      <c r="H20" s="15">
        <f>SUM(Jan!H20, Feb!H20, Mar!H20)</f>
        <v>0</v>
      </c>
      <c r="I20" s="16" t="str">
        <f t="shared" ref="I20:I23" si="8">IFERROR(H20/G20, "")</f>
        <v/>
      </c>
    </row>
    <row r="21" spans="1:9" ht="15.75">
      <c r="A21" s="17" t="str">
        <v>Plano Bldg A</v>
      </c>
      <c r="B21" s="10" t="str">
        <v>TX</v>
      </c>
      <c r="C21" s="11">
        <f>SUM(Jan!C21, Feb!C21, Mar!C21)</f>
        <v>0</v>
      </c>
      <c r="D21" s="18">
        <f>SUM(Jan!D21, Feb!D21, Mar!D21)</f>
        <v>0</v>
      </c>
      <c r="E21" s="18">
        <f t="shared" si="6"/>
        <v>0</v>
      </c>
      <c r="F21" s="19" t="str">
        <f t="shared" si="7"/>
        <v/>
      </c>
      <c r="G21" s="20"/>
      <c r="H21" s="20">
        <f>SUM(Jan!H21, Feb!H21, Mar!H21)</f>
        <v>0</v>
      </c>
      <c r="I21" s="19" t="str">
        <f t="shared" si="8"/>
        <v/>
      </c>
    </row>
    <row r="22" spans="1:9" ht="15.75">
      <c r="A22" s="12" t="str">
        <v>Plano Bldg B</v>
      </c>
      <c r="B22" s="9" t="str">
        <v>TX</v>
      </c>
      <c r="C22" s="24">
        <f>SUM(Jan!C22, Feb!C22, Mar!C22)</f>
        <v>0</v>
      </c>
      <c r="D22" s="13">
        <f>SUM(Jan!D22, Feb!D22, Mar!D22)</f>
        <v>0</v>
      </c>
      <c r="E22" s="13">
        <f t="shared" si="6"/>
        <v>0</v>
      </c>
      <c r="F22" s="14" t="str">
        <f t="shared" si="7"/>
        <v/>
      </c>
      <c r="G22" s="15"/>
      <c r="H22" s="15">
        <f>SUM(Jan!H22, Feb!H22, Mar!H22)</f>
        <v>0</v>
      </c>
      <c r="I22" s="16" t="str">
        <f t="shared" si="8"/>
        <v/>
      </c>
    </row>
    <row r="23" spans="1:9" ht="15.75">
      <c r="A23" s="17" t="str">
        <v>Plano Bldg C</v>
      </c>
      <c r="B23" s="10" t="str">
        <v>TX</v>
      </c>
      <c r="C23" s="11">
        <f>SUM(Jan!C23, Feb!C23, Mar!C23)</f>
        <v>0</v>
      </c>
      <c r="D23" s="18">
        <f>SUM(Jan!D23, Feb!D23, Mar!D23)</f>
        <v>0</v>
      </c>
      <c r="E23" s="18">
        <f t="shared" si="6"/>
        <v>0</v>
      </c>
      <c r="F23" s="19" t="str">
        <f t="shared" si="7"/>
        <v/>
      </c>
      <c r="G23" s="20"/>
      <c r="H23" s="20">
        <f>SUM(Jan!H23, Feb!H23, Mar!H23)</f>
        <v>0</v>
      </c>
      <c r="I23" s="19" t="str">
        <f t="shared" si="8"/>
        <v/>
      </c>
    </row>
    <row r="24" spans="1:9">
      <c r="A24" s="21"/>
      <c r="B24" s="21"/>
      <c r="C24" s="21"/>
      <c r="D24" s="21"/>
      <c r="E24" s="21"/>
      <c r="F24" s="21"/>
      <c r="G24" s="21"/>
      <c r="H24" s="21"/>
      <c r="I24" s="21"/>
    </row>
    <row r="25" spans="1:9">
      <c r="A25" s="21"/>
      <c r="B25" s="21"/>
      <c r="C25" s="21"/>
      <c r="D25" s="21"/>
      <c r="E25" s="21"/>
      <c r="F25" s="21"/>
      <c r="G25" s="21"/>
      <c r="H25" s="21"/>
      <c r="I25" s="21"/>
    </row>
    <row r="26" spans="1:9">
      <c r="A26" s="21"/>
      <c r="B26" s="21"/>
      <c r="C26" s="21"/>
      <c r="D26" s="21"/>
      <c r="E26" s="21"/>
      <c r="F26" s="21"/>
      <c r="G26" s="21"/>
      <c r="H26" s="21"/>
      <c r="I26" s="21"/>
    </row>
    <row r="27" spans="1:9">
      <c r="A27" s="21"/>
      <c r="B27" s="21"/>
      <c r="C27" s="21"/>
      <c r="D27" s="21"/>
      <c r="E27" s="21"/>
      <c r="F27" s="21"/>
      <c r="G27" s="21"/>
      <c r="H27" s="21"/>
      <c r="I27" s="21"/>
    </row>
    <row r="28" spans="1:9">
      <c r="A28" s="21"/>
      <c r="B28" s="21"/>
      <c r="C28" s="21"/>
      <c r="D28" s="21"/>
      <c r="E28" s="21"/>
      <c r="F28" s="21"/>
      <c r="G28" s="21"/>
      <c r="H28" s="21"/>
      <c r="I28" s="21"/>
    </row>
    <row r="29" spans="1:9">
      <c r="A29" s="21"/>
      <c r="B29" s="21"/>
      <c r="C29" s="21"/>
      <c r="D29" s="21"/>
      <c r="E29" s="21"/>
      <c r="F29" s="21"/>
      <c r="G29" s="21"/>
      <c r="H29" s="21"/>
      <c r="I29" s="21"/>
    </row>
    <row r="30" spans="1:9">
      <c r="A30" s="21"/>
      <c r="B30" s="21"/>
      <c r="C30" s="21"/>
      <c r="D30" s="21"/>
      <c r="E30" s="21"/>
      <c r="F30" s="21"/>
      <c r="G30" s="21"/>
      <c r="H30" s="21"/>
      <c r="I30" s="21"/>
    </row>
    <row r="31" spans="1:9">
      <c r="A31" s="21"/>
      <c r="B31" s="21"/>
      <c r="C31" s="21"/>
      <c r="D31" s="21"/>
      <c r="E31" s="21"/>
      <c r="F31" s="21"/>
      <c r="G31" s="21"/>
      <c r="H31" s="21"/>
      <c r="I31" s="21"/>
    </row>
    <row r="32" spans="1:9">
      <c r="A32" s="21"/>
      <c r="B32" s="21"/>
      <c r="C32" s="21"/>
      <c r="D32" s="21"/>
      <c r="E32" s="21"/>
      <c r="F32" s="21"/>
      <c r="G32" s="21"/>
      <c r="H32" s="21"/>
      <c r="I32" s="21"/>
    </row>
    <row r="33" spans="1:9">
      <c r="A33" s="21"/>
      <c r="B33" s="21"/>
      <c r="C33" s="21"/>
      <c r="D33" s="21"/>
      <c r="E33" s="21"/>
      <c r="F33" s="22"/>
      <c r="G33" s="21"/>
      <c r="H33" s="21"/>
      <c r="I33" s="22"/>
    </row>
    <row r="34" spans="1:9">
      <c r="A34" s="21"/>
      <c r="B34" s="21"/>
      <c r="C34" s="21"/>
      <c r="D34" s="21"/>
      <c r="E34" s="21"/>
      <c r="F34" s="22"/>
      <c r="G34" s="21"/>
      <c r="H34" s="21"/>
      <c r="I34" s="22"/>
    </row>
    <row r="35" spans="1:9">
      <c r="A35" s="21"/>
      <c r="B35" s="21"/>
      <c r="C35" s="21"/>
      <c r="D35" s="21"/>
      <c r="E35" s="21"/>
      <c r="F35" s="22"/>
      <c r="G35" s="21"/>
      <c r="H35" s="21"/>
      <c r="I35" s="22"/>
    </row>
    <row r="36" spans="1:9">
      <c r="A36" s="21"/>
      <c r="B36" s="21"/>
      <c r="C36" s="21"/>
      <c r="D36" s="21"/>
      <c r="E36" s="21"/>
      <c r="F36" s="22"/>
      <c r="G36" s="21"/>
      <c r="H36" s="21"/>
      <c r="I36" s="22"/>
    </row>
    <row r="37" spans="1:9">
      <c r="A37" s="21"/>
      <c r="B37" s="21"/>
      <c r="C37" s="21"/>
      <c r="D37" s="21"/>
      <c r="E37" s="21"/>
      <c r="F37" s="22"/>
      <c r="G37" s="21"/>
      <c r="H37" s="21"/>
      <c r="I37" s="22"/>
    </row>
    <row r="38" spans="1:9">
      <c r="A38" s="21"/>
      <c r="B38" s="21"/>
      <c r="C38" s="21"/>
      <c r="D38" s="21"/>
      <c r="E38" s="21"/>
      <c r="F38" s="22"/>
      <c r="G38" s="21"/>
      <c r="H38" s="21"/>
      <c r="I38" s="22"/>
    </row>
    <row r="39" spans="1:9">
      <c r="A39" s="21"/>
      <c r="B39" s="21"/>
      <c r="C39" s="21"/>
      <c r="D39" s="21"/>
      <c r="E39" s="21"/>
      <c r="F39" s="22"/>
      <c r="G39" s="21"/>
      <c r="H39" s="21"/>
      <c r="I39" s="22"/>
    </row>
    <row r="40" spans="1:9">
      <c r="A40" s="21"/>
      <c r="B40" s="21"/>
      <c r="C40" s="21"/>
      <c r="D40" s="21"/>
      <c r="E40" s="21"/>
      <c r="F40" s="22"/>
      <c r="G40" s="21"/>
      <c r="H40" s="21"/>
      <c r="I40" s="22"/>
    </row>
    <row r="41" spans="1:9">
      <c r="A41" s="21"/>
      <c r="B41" s="21"/>
      <c r="C41" s="21"/>
      <c r="D41" s="21"/>
      <c r="E41" s="21"/>
      <c r="F41" s="22"/>
      <c r="G41" s="21"/>
      <c r="H41" s="21"/>
      <c r="I41" s="22"/>
    </row>
    <row r="42" spans="1:9">
      <c r="A42" s="21"/>
      <c r="B42" s="21"/>
      <c r="C42" s="21"/>
      <c r="D42" s="21"/>
      <c r="E42" s="21"/>
      <c r="F42" s="22"/>
      <c r="G42" s="21"/>
      <c r="H42" s="21"/>
      <c r="I42" s="22"/>
    </row>
    <row r="43" spans="1:9">
      <c r="A43" s="21"/>
      <c r="B43" s="21"/>
      <c r="C43" s="21"/>
      <c r="D43" s="21"/>
      <c r="E43" s="21"/>
      <c r="F43" s="22"/>
      <c r="G43" s="21"/>
      <c r="H43" s="21"/>
      <c r="I43" s="22"/>
    </row>
    <row r="44" spans="1:9">
      <c r="A44" s="21"/>
      <c r="B44" s="21"/>
      <c r="C44" s="21"/>
      <c r="D44" s="21"/>
      <c r="E44" s="21"/>
      <c r="F44" s="22"/>
      <c r="G44" s="21"/>
      <c r="H44" s="21"/>
      <c r="I44" s="22"/>
    </row>
    <row r="45" spans="1:9">
      <c r="A45" s="21"/>
      <c r="B45" s="21"/>
      <c r="C45" s="21"/>
      <c r="D45" s="21"/>
      <c r="E45" s="21"/>
      <c r="F45" s="22"/>
      <c r="G45" s="21"/>
      <c r="H45" s="21"/>
      <c r="I45" s="22"/>
    </row>
    <row r="46" spans="1:9">
      <c r="A46" s="21"/>
      <c r="B46" s="21"/>
      <c r="C46" s="21"/>
      <c r="D46" s="21"/>
      <c r="E46" s="21"/>
      <c r="F46" s="22"/>
      <c r="G46" s="21"/>
      <c r="H46" s="21"/>
      <c r="I46" s="22"/>
    </row>
    <row r="47" spans="1:9">
      <c r="A47" s="21"/>
      <c r="B47" s="21"/>
      <c r="C47" s="21"/>
      <c r="D47" s="21"/>
      <c r="E47" s="21"/>
      <c r="F47" s="22"/>
      <c r="G47" s="21"/>
      <c r="H47" s="21"/>
      <c r="I47" s="22"/>
    </row>
    <row r="48" spans="1:9">
      <c r="A48" s="21"/>
      <c r="B48" s="21"/>
      <c r="C48" s="21"/>
      <c r="D48" s="21"/>
      <c r="E48" s="21"/>
      <c r="F48" s="22"/>
      <c r="G48" s="21"/>
      <c r="H48" s="21"/>
      <c r="I48" s="22"/>
    </row>
    <row r="49" spans="1:9">
      <c r="A49" s="21"/>
      <c r="B49" s="21"/>
      <c r="C49" s="21"/>
      <c r="D49" s="21"/>
      <c r="E49" s="21"/>
      <c r="F49" s="22"/>
      <c r="G49" s="21"/>
      <c r="H49" s="21"/>
      <c r="I49" s="22"/>
    </row>
    <row r="50" spans="1:9">
      <c r="A50" s="21"/>
      <c r="B50" s="21"/>
      <c r="C50" s="21"/>
      <c r="D50" s="21"/>
      <c r="E50" s="21"/>
      <c r="F50" s="22"/>
      <c r="G50" s="21"/>
      <c r="H50" s="21"/>
      <c r="I50" s="22"/>
    </row>
    <row r="51" spans="1:9">
      <c r="A51" s="21"/>
      <c r="B51" s="21"/>
      <c r="C51" s="21"/>
      <c r="D51" s="21"/>
      <c r="E51" s="21"/>
      <c r="F51" s="22"/>
      <c r="G51" s="21"/>
      <c r="H51" s="21"/>
      <c r="I51" s="22"/>
    </row>
    <row r="52" spans="1:9">
      <c r="A52" s="21"/>
      <c r="B52" s="21"/>
      <c r="C52" s="21"/>
      <c r="D52" s="21"/>
      <c r="E52" s="21"/>
      <c r="F52" s="22"/>
      <c r="G52" s="21"/>
      <c r="H52" s="21"/>
      <c r="I52" s="22"/>
    </row>
    <row r="53" spans="1:9">
      <c r="A53" s="21"/>
      <c r="B53" s="21"/>
      <c r="C53" s="21"/>
      <c r="D53" s="21"/>
      <c r="E53" s="21"/>
      <c r="F53" s="22"/>
      <c r="G53" s="21"/>
      <c r="H53" s="21"/>
      <c r="I53" s="22"/>
    </row>
    <row r="54" spans="1:9">
      <c r="A54" s="21"/>
      <c r="B54" s="21"/>
      <c r="C54" s="21"/>
      <c r="D54" s="21"/>
      <c r="E54" s="21"/>
      <c r="F54" s="22"/>
      <c r="G54" s="21"/>
      <c r="H54" s="21"/>
      <c r="I54" s="22"/>
    </row>
    <row r="55" spans="1:9">
      <c r="A55" s="21"/>
      <c r="B55" s="21"/>
      <c r="C55" s="21"/>
      <c r="D55" s="21"/>
      <c r="E55" s="21"/>
      <c r="F55" s="22"/>
      <c r="G55" s="21"/>
      <c r="H55" s="21"/>
      <c r="I55" s="22"/>
    </row>
    <row r="56" spans="1:9">
      <c r="A56" s="21"/>
      <c r="B56" s="21"/>
      <c r="C56" s="21"/>
      <c r="D56" s="21"/>
      <c r="E56" s="21"/>
      <c r="F56" s="22"/>
      <c r="G56" s="21"/>
      <c r="H56" s="21"/>
      <c r="I56" s="22"/>
    </row>
    <row r="57" spans="1:9">
      <c r="A57" s="21"/>
      <c r="B57" s="21"/>
      <c r="C57" s="21"/>
      <c r="D57" s="21"/>
      <c r="E57" s="21"/>
      <c r="F57" s="22"/>
      <c r="G57" s="21"/>
      <c r="H57" s="21"/>
      <c r="I57" s="22"/>
    </row>
    <row r="58" spans="1:9">
      <c r="A58" s="21"/>
      <c r="B58" s="21"/>
      <c r="C58" s="21"/>
      <c r="D58" s="21"/>
      <c r="E58" s="21"/>
      <c r="F58" s="22"/>
      <c r="G58" s="21"/>
      <c r="H58" s="21"/>
      <c r="I58" s="22"/>
    </row>
    <row r="59" spans="1:9">
      <c r="A59" s="21"/>
      <c r="B59" s="21"/>
      <c r="C59" s="21"/>
      <c r="D59" s="21"/>
      <c r="E59" s="21"/>
      <c r="F59" s="22"/>
      <c r="G59" s="21"/>
      <c r="H59" s="21"/>
      <c r="I59" s="22"/>
    </row>
    <row r="60" spans="1:9">
      <c r="A60" s="21"/>
      <c r="B60" s="21"/>
      <c r="C60" s="21"/>
      <c r="D60" s="21"/>
      <c r="E60" s="21"/>
      <c r="F60" s="22"/>
      <c r="G60" s="21"/>
      <c r="H60" s="21"/>
      <c r="I60" s="22"/>
    </row>
    <row r="61" spans="1:9">
      <c r="A61" s="21"/>
      <c r="B61" s="21"/>
      <c r="C61" s="21"/>
      <c r="D61" s="21"/>
      <c r="E61" s="21"/>
      <c r="F61" s="22"/>
      <c r="G61" s="21"/>
      <c r="H61" s="21"/>
      <c r="I61" s="22"/>
    </row>
    <row r="62" spans="1:9">
      <c r="A62" s="21"/>
      <c r="B62" s="21"/>
      <c r="C62" s="21"/>
      <c r="D62" s="21"/>
      <c r="E62" s="21"/>
      <c r="F62" s="22"/>
      <c r="G62" s="21"/>
      <c r="H62" s="21"/>
      <c r="I62" s="22"/>
    </row>
    <row r="63" spans="1:9">
      <c r="A63" s="21"/>
      <c r="B63" s="21"/>
      <c r="C63" s="21"/>
      <c r="D63" s="21"/>
      <c r="E63" s="21"/>
      <c r="F63" s="22"/>
      <c r="G63" s="21"/>
      <c r="H63" s="21"/>
      <c r="I63" s="22"/>
    </row>
    <row r="64" spans="1:9">
      <c r="A64" s="21"/>
      <c r="B64" s="21"/>
      <c r="C64" s="21"/>
      <c r="D64" s="21"/>
      <c r="E64" s="21"/>
      <c r="F64" s="22"/>
      <c r="G64" s="21"/>
      <c r="H64" s="21"/>
      <c r="I64" s="22"/>
    </row>
    <row r="65" spans="1:9">
      <c r="A65" s="21"/>
      <c r="B65" s="21"/>
      <c r="C65" s="21"/>
      <c r="D65" s="21"/>
      <c r="E65" s="21"/>
      <c r="F65" s="22"/>
      <c r="G65" s="21"/>
      <c r="H65" s="21"/>
      <c r="I65" s="22"/>
    </row>
    <row r="66" spans="1:9">
      <c r="A66" s="21"/>
      <c r="B66" s="21"/>
      <c r="C66" s="21"/>
      <c r="D66" s="21"/>
      <c r="E66" s="21"/>
      <c r="F66" s="22"/>
      <c r="G66" s="21"/>
      <c r="H66" s="21"/>
      <c r="I66" s="22"/>
    </row>
    <row r="67" spans="1:9">
      <c r="A67" s="21"/>
      <c r="B67" s="21"/>
      <c r="C67" s="21"/>
      <c r="D67" s="21"/>
      <c r="E67" s="21"/>
      <c r="F67" s="22"/>
      <c r="G67" s="21"/>
      <c r="H67" s="21"/>
      <c r="I67" s="22"/>
    </row>
    <row r="68" spans="1:9">
      <c r="A68" s="21"/>
      <c r="B68" s="21"/>
      <c r="C68" s="21"/>
      <c r="D68" s="21"/>
      <c r="E68" s="21"/>
      <c r="F68" s="22"/>
      <c r="G68" s="21"/>
      <c r="H68" s="21"/>
      <c r="I68" s="22"/>
    </row>
    <row r="69" spans="1:9">
      <c r="A69" s="21"/>
      <c r="B69" s="21"/>
      <c r="C69" s="21"/>
      <c r="D69" s="21"/>
      <c r="E69" s="21"/>
      <c r="F69" s="22"/>
      <c r="G69" s="21"/>
      <c r="H69" s="21"/>
      <c r="I69" s="22"/>
    </row>
    <row r="70" spans="1:9">
      <c r="A70" s="21"/>
      <c r="B70" s="21"/>
      <c r="C70" s="21"/>
      <c r="D70" s="21"/>
      <c r="E70" s="21"/>
      <c r="F70" s="22"/>
      <c r="G70" s="21"/>
      <c r="H70" s="21"/>
      <c r="I70" s="22"/>
    </row>
    <row r="71" spans="1:9">
      <c r="A71" s="21"/>
      <c r="B71" s="21"/>
      <c r="C71" s="21"/>
      <c r="D71" s="21"/>
      <c r="E71" s="21"/>
      <c r="F71" s="22"/>
      <c r="G71" s="21"/>
      <c r="H71" s="21"/>
      <c r="I71" s="22"/>
    </row>
    <row r="72" spans="1:9">
      <c r="A72" s="21"/>
      <c r="B72" s="21"/>
      <c r="C72" s="21"/>
      <c r="D72" s="21"/>
      <c r="E72" s="21"/>
      <c r="F72" s="22"/>
      <c r="G72" s="21"/>
      <c r="H72" s="21"/>
      <c r="I72" s="22"/>
    </row>
    <row r="73" spans="1:9">
      <c r="A73" s="21"/>
      <c r="B73" s="21"/>
      <c r="C73" s="21"/>
      <c r="D73" s="21"/>
      <c r="E73" s="21"/>
      <c r="F73" s="22"/>
      <c r="G73" s="21"/>
      <c r="H73" s="21"/>
      <c r="I73" s="22"/>
    </row>
    <row r="74" spans="1:9">
      <c r="A74" s="21"/>
      <c r="B74" s="21"/>
      <c r="C74" s="21"/>
      <c r="D74" s="21"/>
      <c r="E74" s="21"/>
      <c r="F74" s="22"/>
      <c r="G74" s="21"/>
      <c r="H74" s="21"/>
      <c r="I74" s="22"/>
    </row>
    <row r="75" spans="1:9">
      <c r="A75" s="21"/>
      <c r="B75" s="21"/>
      <c r="C75" s="21"/>
      <c r="D75" s="21"/>
      <c r="E75" s="21"/>
      <c r="F75" s="22"/>
      <c r="G75" s="21"/>
      <c r="H75" s="21"/>
      <c r="I75" s="22"/>
    </row>
    <row r="76" spans="1:9">
      <c r="A76" s="21"/>
      <c r="B76" s="21"/>
      <c r="C76" s="21"/>
      <c r="D76" s="21"/>
      <c r="E76" s="21"/>
      <c r="F76" s="22"/>
      <c r="G76" s="21"/>
      <c r="H76" s="21"/>
      <c r="I76" s="22"/>
    </row>
    <row r="77" spans="1:9">
      <c r="A77" s="21"/>
      <c r="B77" s="21"/>
      <c r="C77" s="21"/>
      <c r="D77" s="21"/>
      <c r="E77" s="21"/>
      <c r="F77" s="22"/>
      <c r="G77" s="21"/>
      <c r="H77" s="21"/>
      <c r="I77" s="22"/>
    </row>
    <row r="78" spans="1:9">
      <c r="A78" s="21"/>
      <c r="B78" s="21"/>
      <c r="C78" s="21"/>
      <c r="D78" s="21"/>
      <c r="E78" s="21"/>
      <c r="F78" s="22"/>
      <c r="G78" s="21"/>
      <c r="H78" s="21"/>
      <c r="I78" s="22"/>
    </row>
    <row r="79" spans="1:9">
      <c r="A79" s="21"/>
      <c r="B79" s="21"/>
      <c r="C79" s="21"/>
      <c r="D79" s="21"/>
      <c r="E79" s="21"/>
      <c r="F79" s="22"/>
      <c r="G79" s="21"/>
      <c r="H79" s="21"/>
      <c r="I79" s="22"/>
    </row>
    <row r="80" spans="1:9">
      <c r="A80" s="21"/>
      <c r="B80" s="21"/>
      <c r="C80" s="21"/>
      <c r="D80" s="21"/>
      <c r="E80" s="21"/>
      <c r="F80" s="22"/>
      <c r="G80" s="21"/>
      <c r="H80" s="21"/>
      <c r="I80" s="22"/>
    </row>
    <row r="81" spans="1:9">
      <c r="A81" s="21"/>
      <c r="B81" s="21"/>
      <c r="C81" s="21"/>
      <c r="D81" s="21"/>
      <c r="E81" s="21"/>
      <c r="F81" s="22"/>
      <c r="G81" s="21"/>
      <c r="H81" s="21"/>
      <c r="I81" s="22"/>
    </row>
    <row r="82" spans="1:9">
      <c r="A82" s="21"/>
      <c r="B82" s="21"/>
      <c r="C82" s="21"/>
      <c r="D82" s="21"/>
      <c r="E82" s="21"/>
      <c r="F82" s="22"/>
      <c r="G82" s="21"/>
      <c r="H82" s="21"/>
      <c r="I82" s="22"/>
    </row>
    <row r="83" spans="1:9">
      <c r="A83" s="21"/>
      <c r="B83" s="21"/>
      <c r="C83" s="21"/>
      <c r="D83" s="21"/>
      <c r="E83" s="21"/>
      <c r="F83" s="22"/>
      <c r="G83" s="21"/>
      <c r="H83" s="21"/>
      <c r="I83" s="22"/>
    </row>
    <row r="84" spans="1:9">
      <c r="A84" s="21"/>
      <c r="B84" s="21"/>
      <c r="C84" s="21"/>
      <c r="D84" s="21"/>
      <c r="E84" s="21"/>
      <c r="F84" s="22"/>
      <c r="G84" s="21"/>
      <c r="H84" s="21"/>
      <c r="I84" s="22"/>
    </row>
    <row r="85" spans="1:9">
      <c r="A85" s="21"/>
      <c r="B85" s="21"/>
      <c r="C85" s="21"/>
      <c r="D85" s="21"/>
      <c r="E85" s="21"/>
      <c r="F85" s="22"/>
      <c r="G85" s="21"/>
      <c r="H85" s="21"/>
      <c r="I85" s="22"/>
    </row>
    <row r="86" spans="1:9">
      <c r="A86" s="21"/>
      <c r="B86" s="21"/>
      <c r="C86" s="21"/>
      <c r="D86" s="21"/>
      <c r="E86" s="21"/>
      <c r="F86" s="22"/>
      <c r="G86" s="21"/>
      <c r="H86" s="21"/>
      <c r="I86" s="22"/>
    </row>
    <row r="87" spans="1:9">
      <c r="A87" s="21"/>
      <c r="B87" s="21"/>
      <c r="C87" s="21"/>
      <c r="D87" s="21"/>
      <c r="E87" s="21"/>
      <c r="F87" s="22"/>
      <c r="G87" s="21"/>
      <c r="H87" s="21"/>
      <c r="I87" s="22"/>
    </row>
    <row r="88" spans="1:9">
      <c r="A88" s="21"/>
      <c r="B88" s="21"/>
      <c r="C88" s="21"/>
      <c r="D88" s="21"/>
      <c r="E88" s="21"/>
      <c r="F88" s="22"/>
      <c r="G88" s="21"/>
      <c r="H88" s="21"/>
      <c r="I88" s="22"/>
    </row>
    <row r="89" spans="1:9">
      <c r="A89" s="21"/>
      <c r="B89" s="21"/>
      <c r="C89" s="21"/>
      <c r="D89" s="21"/>
      <c r="E89" s="21"/>
      <c r="F89" s="22"/>
      <c r="G89" s="21"/>
      <c r="H89" s="21"/>
      <c r="I89" s="22"/>
    </row>
    <row r="90" spans="1:9">
      <c r="A90" s="21"/>
      <c r="B90" s="21"/>
      <c r="C90" s="21"/>
      <c r="D90" s="21"/>
      <c r="E90" s="21"/>
      <c r="F90" s="22"/>
      <c r="G90" s="21"/>
      <c r="H90" s="21"/>
      <c r="I90" s="22"/>
    </row>
    <row r="91" spans="1:9">
      <c r="A91" s="21"/>
      <c r="B91" s="21"/>
      <c r="C91" s="21"/>
      <c r="D91" s="21"/>
      <c r="E91" s="21"/>
      <c r="F91" s="22"/>
      <c r="G91" s="21"/>
      <c r="H91" s="21"/>
      <c r="I91" s="22"/>
    </row>
    <row r="92" spans="1:9">
      <c r="A92" s="21"/>
      <c r="B92" s="21"/>
      <c r="C92" s="21"/>
      <c r="D92" s="21"/>
      <c r="E92" s="21"/>
      <c r="F92" s="22"/>
      <c r="G92" s="21"/>
      <c r="H92" s="21"/>
      <c r="I92" s="22"/>
    </row>
    <row r="93" spans="1:9">
      <c r="A93" s="21"/>
      <c r="B93" s="21"/>
      <c r="C93" s="21"/>
      <c r="D93" s="21"/>
      <c r="E93" s="21"/>
      <c r="F93" s="22"/>
      <c r="G93" s="21"/>
      <c r="H93" s="21"/>
      <c r="I93" s="22"/>
    </row>
    <row r="94" spans="1:9">
      <c r="A94" s="21"/>
      <c r="B94" s="21"/>
      <c r="C94" s="21"/>
      <c r="D94" s="21"/>
      <c r="E94" s="21"/>
      <c r="F94" s="22"/>
      <c r="G94" s="21"/>
      <c r="H94" s="21"/>
      <c r="I94" s="22"/>
    </row>
    <row r="95" spans="1:9">
      <c r="A95" s="21"/>
      <c r="B95" s="21"/>
      <c r="C95" s="21"/>
      <c r="D95" s="21"/>
      <c r="E95" s="21"/>
      <c r="F95" s="22"/>
      <c r="G95" s="21"/>
      <c r="H95" s="21"/>
      <c r="I95" s="22"/>
    </row>
    <row r="96" spans="1:9">
      <c r="A96" s="21"/>
      <c r="B96" s="21"/>
      <c r="C96" s="21"/>
      <c r="D96" s="21"/>
      <c r="E96" s="21"/>
      <c r="F96" s="22"/>
      <c r="G96" s="21"/>
      <c r="H96" s="21"/>
      <c r="I96" s="22"/>
    </row>
    <row r="97" spans="1:9">
      <c r="A97" s="21"/>
      <c r="B97" s="21"/>
      <c r="C97" s="21"/>
      <c r="D97" s="21"/>
      <c r="E97" s="21"/>
      <c r="F97" s="22"/>
      <c r="G97" s="21"/>
      <c r="H97" s="21"/>
      <c r="I97" s="22"/>
    </row>
    <row r="98" spans="1:9">
      <c r="A98" s="21"/>
      <c r="B98" s="21"/>
      <c r="C98" s="21"/>
      <c r="D98" s="21"/>
      <c r="E98" s="21"/>
      <c r="F98" s="22"/>
      <c r="G98" s="21"/>
      <c r="H98" s="21"/>
      <c r="I98" s="22"/>
    </row>
    <row r="99" spans="1:9">
      <c r="A99" s="21"/>
      <c r="B99" s="21"/>
      <c r="C99" s="21"/>
      <c r="D99" s="21"/>
      <c r="E99" s="21"/>
      <c r="F99" s="22"/>
      <c r="G99" s="21"/>
      <c r="H99" s="21"/>
      <c r="I99" s="22"/>
    </row>
    <row r="100" spans="1: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8" priority="1" stopIfTrue="1" operator="lessThanOrEqual">
      <formula>-0.1</formula>
    </cfRule>
    <cfRule type="expression" dxfId="5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5" activePane="bottomRight" state="frozen"/>
      <selection pane="bottomRight" activeCell="A16" sqref="A16:I23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JLL</v>
      </c>
      <c r="B1" s="47"/>
      <c r="C1" s="47"/>
      <c r="D1" s="48" t="s">
        <v>10</v>
      </c>
      <c r="E1" s="48"/>
      <c r="F1" s="48"/>
      <c r="G1" s="46" t="s">
        <v>11</v>
      </c>
      <c r="H1" s="46"/>
      <c r="I1" s="46"/>
    </row>
    <row r="2" spans="1:9" ht="19.5" customHeight="1">
      <c r="A2" s="49" t="s">
        <v>2</v>
      </c>
      <c r="B2" s="4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23">Sites[Site]</f>
        <v>Bullhead</v>
      </c>
      <c r="B4" s="9" t="str" cm="1">
        <f t="array" ref="B4:B23">Sites[State]</f>
        <v>AZ</v>
      </c>
      <c r="C4" s="24">
        <f>SUM(Jan!C4, Feb!C4, Mar!C4)</f>
        <v>0</v>
      </c>
      <c r="D4" s="13">
        <f>SUM(Jan!D4, Feb!D4, Mar!D4)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75">
      <c r="A5" s="17" t="str">
        <v>Peoria</v>
      </c>
      <c r="B5" s="10" t="str">
        <v>AZ</v>
      </c>
      <c r="C5" s="11">
        <f>SUM(Jan!C5, Feb!C5, Mar!C5)</f>
        <v>0</v>
      </c>
      <c r="D5" s="18">
        <f>SUM(Jan!D5, Feb!D5, Mar!D5)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75">
      <c r="A6" s="12" t="str">
        <v>Tucson</v>
      </c>
      <c r="B6" s="9" t="str">
        <v>AZ</v>
      </c>
      <c r="C6" s="24">
        <f>SUM(Jan!C6, Feb!C6, Mar!C6)</f>
        <v>0</v>
      </c>
      <c r="D6" s="13">
        <f>SUM(Jan!D6, Feb!D6, Mar!D6)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75">
      <c r="A7" s="17" t="str">
        <v>Hialeah</v>
      </c>
      <c r="B7" s="10" t="str">
        <v>FL</v>
      </c>
      <c r="C7" s="11">
        <f>SUM(Jan!C7, Feb!C7, Mar!C7)</f>
        <v>0</v>
      </c>
      <c r="D7" s="18">
        <f>SUM(Jan!D7, Feb!D7, Mar!D7)</f>
        <v>0</v>
      </c>
      <c r="E7" s="18">
        <f t="shared" si="0"/>
        <v>0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75">
      <c r="A8" s="12" t="str">
        <v>Jacksonville</v>
      </c>
      <c r="B8" s="9" t="str">
        <v>FL</v>
      </c>
      <c r="C8" s="24">
        <f>SUM(Jan!C8, Feb!C8, Mar!C8)</f>
        <v>0</v>
      </c>
      <c r="D8" s="13">
        <f>SUM(Jan!D8, Feb!D8, Mar!D8)</f>
        <v>0</v>
      </c>
      <c r="E8" s="13">
        <f t="shared" si="0"/>
        <v>0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75">
      <c r="A9" s="17" t="str">
        <v>Miami Gardens</v>
      </c>
      <c r="B9" s="10" t="str">
        <v>FL</v>
      </c>
      <c r="C9" s="11">
        <f>SUM(Jan!C9, Feb!C9, Mar!C9)</f>
        <v>0</v>
      </c>
      <c r="D9" s="18">
        <f>SUM(Jan!D9, Feb!D9, Mar!D9)</f>
        <v>0</v>
      </c>
      <c r="E9" s="18">
        <f t="shared" si="0"/>
        <v>0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75">
      <c r="A10" s="12" t="str">
        <v>Fort Myers</v>
      </c>
      <c r="B10" s="9" t="str">
        <v>FL</v>
      </c>
      <c r="C10" s="24">
        <f>SUM(Jan!C10, Feb!C10, Mar!C10)</f>
        <v>0</v>
      </c>
      <c r="D10" s="13">
        <f>SUM(Jan!D10, Feb!D10, Mar!D10)</f>
        <v>0</v>
      </c>
      <c r="E10" s="13">
        <f t="shared" si="0"/>
        <v>0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75">
      <c r="A11" s="17" t="str">
        <v>Orlando</v>
      </c>
      <c r="B11" s="10" t="str">
        <v>FL</v>
      </c>
      <c r="C11" s="11">
        <f>SUM(Jan!C11, Feb!C11, Mar!C11)</f>
        <v>0</v>
      </c>
      <c r="D11" s="18">
        <f>SUM(Jan!D11, Feb!D11, Mar!D11)</f>
        <v>0</v>
      </c>
      <c r="E11" s="18">
        <f t="shared" si="0"/>
        <v>0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75">
      <c r="A12" s="12" t="str">
        <v>Port St. Lucie</v>
      </c>
      <c r="B12" s="9" t="str">
        <v>FL</v>
      </c>
      <c r="C12" s="24">
        <f>SUM(Jan!C12, Feb!C12, Mar!C12)</f>
        <v>0</v>
      </c>
      <c r="D12" s="13">
        <f>SUM(Jan!D12, Feb!D12, Mar!D12)</f>
        <v>0</v>
      </c>
      <c r="E12" s="13">
        <f t="shared" si="0"/>
        <v>0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75">
      <c r="A13" s="17" t="str">
        <v>Tampa</v>
      </c>
      <c r="B13" s="10" t="str">
        <v>FL</v>
      </c>
      <c r="C13" s="11">
        <f>SUM(Jan!C13, Feb!C13, Mar!C13)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75">
      <c r="A14" s="12" t="str">
        <v>Roswell</v>
      </c>
      <c r="B14" s="9" t="str">
        <v>GA</v>
      </c>
      <c r="C14" s="24">
        <f>SUM(Jan!C14, Feb!C14, Mar!C14)</f>
        <v>0</v>
      </c>
      <c r="D14" s="13">
        <f>SUM(Jan!D14, Feb!D14, Mar!D14)</f>
        <v>0</v>
      </c>
      <c r="E14" s="13">
        <f t="shared" si="0"/>
        <v>0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75">
      <c r="A15" s="17" t="str">
        <v>Charlotte</v>
      </c>
      <c r="B15" s="10" t="str">
        <v>NC</v>
      </c>
      <c r="C15" s="11">
        <f>SUM(Jan!C15, Feb!C15, Mar!C15)</f>
        <v>0</v>
      </c>
      <c r="D15" s="18">
        <f>SUM(Jan!D15, Feb!D15, Mar!D15)</f>
        <v>0</v>
      </c>
      <c r="E15" s="18">
        <f t="shared" si="0"/>
        <v>0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75">
      <c r="A16" s="12" t="str">
        <v>Raleigh</v>
      </c>
      <c r="B16" s="9" t="str">
        <v>NC</v>
      </c>
      <c r="C16" s="24">
        <f>SUM(Jan!C16, Feb!C16, Mar!C16)</f>
        <v>0</v>
      </c>
      <c r="D16" s="13">
        <f>SUM(Jan!D16, Feb!D16, Mar!D16)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75">
      <c r="A17" s="17" t="str">
        <v>Cordova</v>
      </c>
      <c r="B17" s="10" t="str">
        <v>TN</v>
      </c>
      <c r="C17" s="11">
        <f>SUM(Jan!C17, Feb!C17, Mar!C17)</f>
        <v>0</v>
      </c>
      <c r="D17" s="18">
        <f>SUM(Jan!D17, Feb!D17, Mar!D17)</f>
        <v>0</v>
      </c>
      <c r="E17" s="18">
        <f t="shared" si="3"/>
        <v>0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Austin</v>
      </c>
      <c r="B18" s="9" t="str">
        <v>TX</v>
      </c>
      <c r="C18" s="24">
        <f>SUM(Jan!C18, Feb!C18, Mar!C18)</f>
        <v>0</v>
      </c>
      <c r="D18" s="13">
        <f>SUM(Jan!D18, Feb!D18, Mar!D18)</f>
        <v>0</v>
      </c>
      <c r="E18" s="13">
        <f t="shared" ref="E18:E23" si="6">IF(AND(ISNUMBER(C18),ISNUMBER(D18)), C18-D18, "")</f>
        <v>0</v>
      </c>
      <c r="F18" s="14" t="str">
        <f t="shared" ref="F18:F23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23" si="8">IFERROR(H18/G18, "")</f>
        <v/>
      </c>
    </row>
    <row r="19" spans="1:9" ht="15.75">
      <c r="A19" s="17" t="str">
        <v>Frisco</v>
      </c>
      <c r="B19" s="10" t="str">
        <v>TX</v>
      </c>
      <c r="C19" s="11">
        <f>SUM(Jan!C19, Feb!C19, Mar!C19)</f>
        <v>0</v>
      </c>
      <c r="D19" s="18">
        <f>SUM(Jan!D19, Feb!D19, Mar!D19)</f>
        <v>0</v>
      </c>
      <c r="E19" s="18">
        <f t="shared" si="6"/>
        <v>0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75">
      <c r="A20" s="12" t="str">
        <v>Houston</v>
      </c>
      <c r="B20" s="9" t="str">
        <v>TX</v>
      </c>
      <c r="C20" s="24">
        <f>SUM(Jan!C20, Feb!C20, Mar!C20)</f>
        <v>0</v>
      </c>
      <c r="D20" s="13">
        <f>SUM(Jan!D20, Feb!D20, Mar!D20)</f>
        <v>0</v>
      </c>
      <c r="E20" s="13">
        <f t="shared" si="6"/>
        <v>0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75">
      <c r="A21" s="17" t="str">
        <v>Plano Bldg A</v>
      </c>
      <c r="B21" s="10" t="str">
        <v>TX</v>
      </c>
      <c r="C21" s="11">
        <f>SUM(Jan!C21, Feb!C21, Mar!C21)</f>
        <v>0</v>
      </c>
      <c r="D21" s="18">
        <f>SUM(Jan!D21, Feb!D21, Mar!D21)</f>
        <v>0</v>
      </c>
      <c r="E21" s="18">
        <f t="shared" si="6"/>
        <v>0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75">
      <c r="A22" s="12" t="str">
        <v>Plano Bldg B</v>
      </c>
      <c r="B22" s="9" t="str">
        <v>TX</v>
      </c>
      <c r="C22" s="24">
        <f>SUM(Jan!C22, Feb!C22, Mar!C22)</f>
        <v>0</v>
      </c>
      <c r="D22" s="13">
        <f>SUM(Jan!D22, Feb!D22, Mar!D22)</f>
        <v>0</v>
      </c>
      <c r="E22" s="13">
        <f t="shared" si="6"/>
        <v>0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75">
      <c r="A23" s="17" t="str">
        <v>Plano Bldg C</v>
      </c>
      <c r="B23" s="10" t="str">
        <v>TX</v>
      </c>
      <c r="C23" s="11">
        <f>SUM(Jan!C23, Feb!C23, Mar!C23)</f>
        <v>0</v>
      </c>
      <c r="D23" s="18">
        <f>SUM(Jan!D23, Feb!D23, Mar!D23)</f>
        <v>0</v>
      </c>
      <c r="E23" s="18">
        <f t="shared" si="6"/>
        <v>0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>
      <c r="A24" s="21"/>
      <c r="B24" s="21"/>
      <c r="C24" s="21"/>
      <c r="D24" s="21"/>
      <c r="E24" s="21"/>
      <c r="F24" s="21"/>
      <c r="G24" s="21"/>
      <c r="H24" s="21"/>
      <c r="I24" s="21"/>
    </row>
    <row r="25" spans="1:9">
      <c r="A25" s="21"/>
      <c r="B25" s="21"/>
      <c r="C25" s="21"/>
      <c r="D25" s="21"/>
      <c r="E25" s="21"/>
      <c r="F25" s="21"/>
      <c r="G25" s="21"/>
      <c r="H25" s="21"/>
      <c r="I25" s="21"/>
    </row>
    <row r="26" spans="1:9">
      <c r="A26" s="21"/>
      <c r="B26" s="21"/>
      <c r="C26" s="21"/>
      <c r="D26" s="21"/>
      <c r="E26" s="21"/>
      <c r="F26" s="21"/>
      <c r="G26" s="21"/>
      <c r="H26" s="21"/>
      <c r="I26" s="21"/>
    </row>
    <row r="27" spans="1:9">
      <c r="A27" s="21"/>
      <c r="B27" s="21"/>
      <c r="C27" s="21"/>
      <c r="D27" s="21"/>
      <c r="E27" s="21"/>
      <c r="F27" s="21"/>
      <c r="G27" s="21"/>
      <c r="H27" s="21"/>
      <c r="I27" s="21"/>
    </row>
    <row r="28" spans="1:9">
      <c r="A28" s="21"/>
      <c r="B28" s="21"/>
      <c r="C28" s="21"/>
      <c r="D28" s="21"/>
      <c r="E28" s="21"/>
      <c r="F28" s="21"/>
      <c r="G28" s="21"/>
      <c r="H28" s="21"/>
      <c r="I28" s="21"/>
    </row>
    <row r="29" spans="1:9">
      <c r="A29" s="21"/>
      <c r="B29" s="21"/>
      <c r="C29" s="21"/>
      <c r="D29" s="21"/>
      <c r="E29" s="21"/>
      <c r="F29" s="21"/>
      <c r="G29" s="21"/>
      <c r="H29" s="21"/>
      <c r="I29" s="21"/>
    </row>
    <row r="30" spans="1:9">
      <c r="A30" s="21"/>
      <c r="B30" s="21"/>
      <c r="C30" s="21"/>
      <c r="D30" s="21"/>
      <c r="E30" s="21"/>
      <c r="F30" s="21"/>
      <c r="G30" s="21"/>
      <c r="H30" s="21"/>
      <c r="I30" s="21"/>
    </row>
    <row r="31" spans="1:9">
      <c r="A31" s="21"/>
      <c r="B31" s="21"/>
      <c r="C31" s="21"/>
      <c r="D31" s="21"/>
      <c r="E31" s="21"/>
      <c r="F31" s="21"/>
      <c r="G31" s="21"/>
      <c r="H31" s="21"/>
      <c r="I31" s="21"/>
    </row>
    <row r="32" spans="1:9">
      <c r="A32" s="21"/>
      <c r="B32" s="21"/>
      <c r="C32" s="21"/>
      <c r="D32" s="21"/>
      <c r="E32" s="21"/>
      <c r="F32" s="21"/>
      <c r="G32" s="21"/>
      <c r="H32" s="21"/>
      <c r="I32" s="21"/>
    </row>
    <row r="33" spans="1:9">
      <c r="A33" s="21"/>
      <c r="B33" s="21"/>
      <c r="C33" s="21"/>
      <c r="D33" s="21"/>
      <c r="E33" s="21"/>
      <c r="F33" s="22"/>
      <c r="G33" s="21"/>
      <c r="H33" s="21"/>
      <c r="I33" s="22"/>
    </row>
    <row r="34" spans="1:9">
      <c r="A34" s="21"/>
      <c r="B34" s="21"/>
      <c r="C34" s="21"/>
      <c r="D34" s="21"/>
      <c r="E34" s="21"/>
      <c r="F34" s="22"/>
      <c r="G34" s="21"/>
      <c r="H34" s="21"/>
      <c r="I34" s="22"/>
    </row>
    <row r="35" spans="1:9">
      <c r="A35" s="21"/>
      <c r="B35" s="21"/>
      <c r="C35" s="21"/>
      <c r="D35" s="21"/>
      <c r="E35" s="21"/>
      <c r="F35" s="22"/>
      <c r="G35" s="21"/>
      <c r="H35" s="21"/>
      <c r="I35" s="22"/>
    </row>
    <row r="36" spans="1:9">
      <c r="A36" s="21"/>
      <c r="B36" s="21"/>
      <c r="C36" s="21"/>
      <c r="D36" s="21"/>
      <c r="E36" s="21"/>
      <c r="F36" s="22"/>
      <c r="G36" s="21"/>
      <c r="H36" s="21"/>
      <c r="I36" s="22"/>
    </row>
    <row r="37" spans="1:9">
      <c r="A37" s="21"/>
      <c r="B37" s="21"/>
      <c r="C37" s="21"/>
      <c r="D37" s="21"/>
      <c r="E37" s="21"/>
      <c r="F37" s="22"/>
      <c r="G37" s="21"/>
      <c r="H37" s="21"/>
      <c r="I37" s="22"/>
    </row>
    <row r="38" spans="1:9">
      <c r="A38" s="21"/>
      <c r="B38" s="21"/>
      <c r="C38" s="21"/>
      <c r="D38" s="21"/>
      <c r="E38" s="21"/>
      <c r="F38" s="22"/>
      <c r="G38" s="21"/>
      <c r="H38" s="21"/>
      <c r="I38" s="22"/>
    </row>
    <row r="39" spans="1:9">
      <c r="A39" s="21"/>
      <c r="B39" s="21"/>
      <c r="C39" s="21"/>
      <c r="D39" s="21"/>
      <c r="E39" s="21"/>
      <c r="F39" s="22"/>
      <c r="G39" s="21"/>
      <c r="H39" s="21"/>
      <c r="I39" s="22"/>
    </row>
    <row r="40" spans="1:9">
      <c r="A40" s="21"/>
      <c r="B40" s="21"/>
      <c r="C40" s="21"/>
      <c r="D40" s="21"/>
      <c r="E40" s="21"/>
      <c r="F40" s="22"/>
      <c r="G40" s="21"/>
      <c r="H40" s="21"/>
      <c r="I40" s="22"/>
    </row>
    <row r="41" spans="1:9">
      <c r="A41" s="21"/>
      <c r="B41" s="21"/>
      <c r="C41" s="21"/>
      <c r="D41" s="21"/>
      <c r="E41" s="21"/>
      <c r="F41" s="22"/>
      <c r="G41" s="21"/>
      <c r="H41" s="21"/>
      <c r="I41" s="22"/>
    </row>
    <row r="42" spans="1:9">
      <c r="A42" s="21"/>
      <c r="B42" s="21"/>
      <c r="C42" s="21"/>
      <c r="D42" s="21"/>
      <c r="E42" s="21"/>
      <c r="F42" s="22"/>
      <c r="G42" s="21"/>
      <c r="H42" s="21"/>
      <c r="I42" s="22"/>
    </row>
    <row r="43" spans="1:9">
      <c r="A43" s="21"/>
      <c r="B43" s="21"/>
      <c r="C43" s="21"/>
      <c r="D43" s="21"/>
      <c r="E43" s="21"/>
      <c r="F43" s="22"/>
      <c r="G43" s="21"/>
      <c r="H43" s="21"/>
      <c r="I43" s="22"/>
    </row>
    <row r="44" spans="1:9">
      <c r="A44" s="21"/>
      <c r="B44" s="21"/>
      <c r="C44" s="21"/>
      <c r="D44" s="21"/>
      <c r="E44" s="21"/>
      <c r="F44" s="22"/>
      <c r="G44" s="21"/>
      <c r="H44" s="21"/>
      <c r="I44" s="22"/>
    </row>
    <row r="45" spans="1:9">
      <c r="A45" s="21"/>
      <c r="B45" s="21"/>
      <c r="C45" s="21"/>
      <c r="D45" s="21"/>
      <c r="E45" s="21"/>
      <c r="F45" s="22"/>
      <c r="G45" s="21"/>
      <c r="H45" s="21"/>
      <c r="I45" s="22"/>
    </row>
    <row r="46" spans="1:9">
      <c r="A46" s="21"/>
      <c r="B46" s="21"/>
      <c r="C46" s="21"/>
      <c r="D46" s="21"/>
      <c r="E46" s="21"/>
      <c r="F46" s="22"/>
      <c r="G46" s="21"/>
      <c r="H46" s="21"/>
      <c r="I46" s="22"/>
    </row>
    <row r="47" spans="1:9">
      <c r="A47" s="21"/>
      <c r="B47" s="21"/>
      <c r="C47" s="21"/>
      <c r="D47" s="21"/>
      <c r="E47" s="21"/>
      <c r="F47" s="22"/>
      <c r="G47" s="21"/>
      <c r="H47" s="21"/>
      <c r="I47" s="22"/>
    </row>
    <row r="48" spans="1:9">
      <c r="A48" s="21"/>
      <c r="B48" s="21"/>
      <c r="C48" s="21"/>
      <c r="D48" s="21"/>
      <c r="E48" s="21"/>
      <c r="F48" s="22"/>
      <c r="G48" s="21"/>
      <c r="H48" s="21"/>
      <c r="I48" s="22"/>
    </row>
    <row r="49" spans="1:9">
      <c r="A49" s="21"/>
      <c r="B49" s="21"/>
      <c r="C49" s="21"/>
      <c r="D49" s="21"/>
      <c r="E49" s="21"/>
      <c r="F49" s="22"/>
      <c r="G49" s="21"/>
      <c r="H49" s="21"/>
      <c r="I49" s="22"/>
    </row>
    <row r="50" spans="1:9">
      <c r="A50" s="21"/>
      <c r="B50" s="21"/>
      <c r="C50" s="21"/>
      <c r="D50" s="21"/>
      <c r="E50" s="21"/>
      <c r="F50" s="22"/>
      <c r="G50" s="21"/>
      <c r="H50" s="21"/>
      <c r="I50" s="22"/>
    </row>
    <row r="51" spans="1:9">
      <c r="A51" s="21"/>
      <c r="B51" s="21"/>
      <c r="C51" s="21"/>
      <c r="D51" s="21"/>
      <c r="E51" s="21"/>
      <c r="F51" s="22"/>
      <c r="G51" s="21"/>
      <c r="H51" s="21"/>
      <c r="I51" s="22"/>
    </row>
    <row r="52" spans="1:9">
      <c r="A52" s="21"/>
      <c r="B52" s="21"/>
      <c r="C52" s="21"/>
      <c r="D52" s="21"/>
      <c r="E52" s="21"/>
      <c r="F52" s="22"/>
      <c r="G52" s="21"/>
      <c r="H52" s="21"/>
      <c r="I52" s="22"/>
    </row>
    <row r="53" spans="1:9">
      <c r="A53" s="21"/>
      <c r="B53" s="21"/>
      <c r="C53" s="21"/>
      <c r="D53" s="21"/>
      <c r="E53" s="21"/>
      <c r="F53" s="22"/>
      <c r="G53" s="21"/>
      <c r="H53" s="21"/>
      <c r="I53" s="22"/>
    </row>
    <row r="54" spans="1:9">
      <c r="A54" s="21"/>
      <c r="B54" s="21"/>
      <c r="C54" s="21"/>
      <c r="D54" s="21"/>
      <c r="E54" s="21"/>
      <c r="F54" s="22"/>
      <c r="G54" s="21"/>
      <c r="H54" s="21"/>
      <c r="I54" s="22"/>
    </row>
    <row r="55" spans="1:9">
      <c r="A55" s="21"/>
      <c r="B55" s="21"/>
      <c r="C55" s="21"/>
      <c r="D55" s="21"/>
      <c r="E55" s="21"/>
      <c r="F55" s="22"/>
      <c r="G55" s="21"/>
      <c r="H55" s="21"/>
      <c r="I55" s="22"/>
    </row>
    <row r="56" spans="1:9">
      <c r="A56" s="21"/>
      <c r="B56" s="21"/>
      <c r="C56" s="21"/>
      <c r="D56" s="21"/>
      <c r="E56" s="21"/>
      <c r="F56" s="22"/>
      <c r="G56" s="21"/>
      <c r="H56" s="21"/>
      <c r="I56" s="22"/>
    </row>
    <row r="57" spans="1:9">
      <c r="A57" s="21"/>
      <c r="B57" s="21"/>
      <c r="C57" s="21"/>
      <c r="D57" s="21"/>
      <c r="E57" s="21"/>
      <c r="F57" s="22"/>
      <c r="G57" s="21"/>
      <c r="H57" s="21"/>
      <c r="I57" s="22"/>
    </row>
    <row r="58" spans="1:9">
      <c r="A58" s="21"/>
      <c r="B58" s="21"/>
      <c r="C58" s="21"/>
      <c r="D58" s="21"/>
      <c r="E58" s="21"/>
      <c r="F58" s="22"/>
      <c r="G58" s="21"/>
      <c r="H58" s="21"/>
      <c r="I58" s="22"/>
    </row>
    <row r="59" spans="1:9">
      <c r="A59" s="21"/>
      <c r="B59" s="21"/>
      <c r="C59" s="21"/>
      <c r="D59" s="21"/>
      <c r="E59" s="21"/>
      <c r="F59" s="22"/>
      <c r="G59" s="21"/>
      <c r="H59" s="21"/>
      <c r="I59" s="22"/>
    </row>
    <row r="60" spans="1:9">
      <c r="A60" s="21"/>
      <c r="B60" s="21"/>
      <c r="C60" s="21"/>
      <c r="D60" s="21"/>
      <c r="E60" s="21"/>
      <c r="F60" s="22"/>
      <c r="G60" s="21"/>
      <c r="H60" s="21"/>
      <c r="I60" s="22"/>
    </row>
    <row r="61" spans="1:9">
      <c r="A61" s="21"/>
      <c r="B61" s="21"/>
      <c r="C61" s="21"/>
      <c r="D61" s="21"/>
      <c r="E61" s="21"/>
      <c r="F61" s="22"/>
      <c r="G61" s="21"/>
      <c r="H61" s="21"/>
      <c r="I61" s="22"/>
    </row>
    <row r="62" spans="1:9">
      <c r="A62" s="21"/>
      <c r="B62" s="21"/>
      <c r="C62" s="21"/>
      <c r="D62" s="21"/>
      <c r="E62" s="21"/>
      <c r="F62" s="22"/>
      <c r="G62" s="21"/>
      <c r="H62" s="21"/>
      <c r="I62" s="22"/>
    </row>
    <row r="63" spans="1:9">
      <c r="A63" s="21"/>
      <c r="B63" s="21"/>
      <c r="C63" s="21"/>
      <c r="D63" s="21"/>
      <c r="E63" s="21"/>
      <c r="F63" s="22"/>
      <c r="G63" s="21"/>
      <c r="H63" s="21"/>
      <c r="I63" s="22"/>
    </row>
    <row r="64" spans="1:9">
      <c r="A64" s="21"/>
      <c r="B64" s="21"/>
      <c r="C64" s="21"/>
      <c r="D64" s="21"/>
      <c r="E64" s="21"/>
      <c r="F64" s="22"/>
      <c r="G64" s="21"/>
      <c r="H64" s="21"/>
      <c r="I64" s="22"/>
    </row>
    <row r="65" spans="1:9">
      <c r="A65" s="21"/>
      <c r="B65" s="21"/>
      <c r="C65" s="21"/>
      <c r="D65" s="21"/>
      <c r="E65" s="21"/>
      <c r="F65" s="22"/>
      <c r="G65" s="21"/>
      <c r="H65" s="21"/>
      <c r="I65" s="22"/>
    </row>
    <row r="66" spans="1:9">
      <c r="A66" s="21"/>
      <c r="B66" s="21"/>
      <c r="C66" s="21"/>
      <c r="D66" s="21"/>
      <c r="E66" s="21"/>
      <c r="F66" s="22"/>
      <c r="G66" s="21"/>
      <c r="H66" s="21"/>
      <c r="I66" s="22"/>
    </row>
    <row r="67" spans="1:9">
      <c r="A67" s="21"/>
      <c r="B67" s="21"/>
      <c r="C67" s="21"/>
      <c r="D67" s="21"/>
      <c r="E67" s="21"/>
      <c r="F67" s="22"/>
      <c r="G67" s="21"/>
      <c r="H67" s="21"/>
      <c r="I67" s="22"/>
    </row>
    <row r="68" spans="1:9">
      <c r="A68" s="21"/>
      <c r="B68" s="21"/>
      <c r="C68" s="21"/>
      <c r="D68" s="21"/>
      <c r="E68" s="21"/>
      <c r="F68" s="22"/>
      <c r="G68" s="21"/>
      <c r="H68" s="21"/>
      <c r="I68" s="22"/>
    </row>
    <row r="69" spans="1:9">
      <c r="A69" s="21"/>
      <c r="B69" s="21"/>
      <c r="C69" s="21"/>
      <c r="D69" s="21"/>
      <c r="E69" s="21"/>
      <c r="F69" s="22"/>
      <c r="G69" s="21"/>
      <c r="H69" s="21"/>
      <c r="I69" s="22"/>
    </row>
    <row r="70" spans="1:9">
      <c r="A70" s="21"/>
      <c r="B70" s="21"/>
      <c r="C70" s="21"/>
      <c r="D70" s="21"/>
      <c r="E70" s="21"/>
      <c r="F70" s="22"/>
      <c r="G70" s="21"/>
      <c r="H70" s="21"/>
      <c r="I70" s="22"/>
    </row>
    <row r="71" spans="1:9">
      <c r="A71" s="21"/>
      <c r="B71" s="21"/>
      <c r="C71" s="21"/>
      <c r="D71" s="21"/>
      <c r="E71" s="21"/>
      <c r="F71" s="22"/>
      <c r="G71" s="21"/>
      <c r="H71" s="21"/>
      <c r="I71" s="22"/>
    </row>
    <row r="72" spans="1:9">
      <c r="A72" s="21"/>
      <c r="B72" s="21"/>
      <c r="C72" s="21"/>
      <c r="D72" s="21"/>
      <c r="E72" s="21"/>
      <c r="F72" s="22"/>
      <c r="G72" s="21"/>
      <c r="H72" s="21"/>
      <c r="I72" s="22"/>
    </row>
    <row r="73" spans="1:9">
      <c r="A73" s="21"/>
      <c r="B73" s="21"/>
      <c r="C73" s="21"/>
      <c r="D73" s="21"/>
      <c r="E73" s="21"/>
      <c r="F73" s="22"/>
      <c r="G73" s="21"/>
      <c r="H73" s="21"/>
      <c r="I73" s="22"/>
    </row>
    <row r="74" spans="1:9">
      <c r="A74" s="21"/>
      <c r="B74" s="21"/>
      <c r="C74" s="21"/>
      <c r="D74" s="21"/>
      <c r="E74" s="21"/>
      <c r="F74" s="22"/>
      <c r="G74" s="21"/>
      <c r="H74" s="21"/>
      <c r="I74" s="22"/>
    </row>
    <row r="75" spans="1:9">
      <c r="A75" s="21"/>
      <c r="B75" s="21"/>
      <c r="C75" s="21"/>
      <c r="D75" s="21"/>
      <c r="E75" s="21"/>
      <c r="F75" s="22"/>
      <c r="G75" s="21"/>
      <c r="H75" s="21"/>
      <c r="I75" s="22"/>
    </row>
    <row r="76" spans="1:9">
      <c r="A76" s="21"/>
      <c r="B76" s="21"/>
      <c r="C76" s="21"/>
      <c r="D76" s="21"/>
      <c r="E76" s="21"/>
      <c r="F76" s="22"/>
      <c r="G76" s="21"/>
      <c r="H76" s="21"/>
      <c r="I76" s="22"/>
    </row>
    <row r="77" spans="1:9">
      <c r="A77" s="21"/>
      <c r="B77" s="21"/>
      <c r="C77" s="21"/>
      <c r="D77" s="21"/>
      <c r="E77" s="21"/>
      <c r="F77" s="22"/>
      <c r="G77" s="21"/>
      <c r="H77" s="21"/>
      <c r="I77" s="22"/>
    </row>
    <row r="78" spans="1:9">
      <c r="A78" s="21"/>
      <c r="B78" s="21"/>
      <c r="C78" s="21"/>
      <c r="D78" s="21"/>
      <c r="E78" s="21"/>
      <c r="F78" s="22"/>
      <c r="G78" s="21"/>
      <c r="H78" s="21"/>
      <c r="I78" s="22"/>
    </row>
    <row r="79" spans="1:9">
      <c r="A79" s="21"/>
      <c r="B79" s="21"/>
      <c r="C79" s="21"/>
      <c r="D79" s="21"/>
      <c r="E79" s="21"/>
      <c r="F79" s="22"/>
      <c r="G79" s="21"/>
      <c r="H79" s="21"/>
      <c r="I79" s="22"/>
    </row>
    <row r="80" spans="1:9">
      <c r="A80" s="21"/>
      <c r="B80" s="21"/>
      <c r="C80" s="21"/>
      <c r="D80" s="21"/>
      <c r="E80" s="21"/>
      <c r="F80" s="22"/>
      <c r="G80" s="21"/>
      <c r="H80" s="21"/>
      <c r="I80" s="22"/>
    </row>
    <row r="81" spans="1:9">
      <c r="A81" s="21"/>
      <c r="B81" s="21"/>
      <c r="C81" s="21"/>
      <c r="D81" s="21"/>
      <c r="E81" s="21"/>
      <c r="F81" s="22"/>
      <c r="G81" s="21"/>
      <c r="H81" s="21"/>
      <c r="I81" s="22"/>
    </row>
    <row r="82" spans="1:9">
      <c r="A82" s="21"/>
      <c r="B82" s="21"/>
      <c r="C82" s="21"/>
      <c r="D82" s="21"/>
      <c r="E82" s="21"/>
      <c r="F82" s="22"/>
      <c r="G82" s="21"/>
      <c r="H82" s="21"/>
      <c r="I82" s="22"/>
    </row>
    <row r="83" spans="1:9">
      <c r="A83" s="21"/>
      <c r="B83" s="21"/>
      <c r="C83" s="21"/>
      <c r="D83" s="21"/>
      <c r="E83" s="21"/>
      <c r="F83" s="22"/>
      <c r="G83" s="21"/>
      <c r="H83" s="21"/>
      <c r="I83" s="22"/>
    </row>
    <row r="84" spans="1:9">
      <c r="A84" s="21"/>
      <c r="B84" s="21"/>
      <c r="C84" s="21"/>
      <c r="D84" s="21"/>
      <c r="E84" s="21"/>
      <c r="F84" s="22"/>
      <c r="G84" s="21"/>
      <c r="H84" s="21"/>
      <c r="I84" s="22"/>
    </row>
    <row r="85" spans="1:9">
      <c r="A85" s="21"/>
      <c r="B85" s="21"/>
      <c r="C85" s="21"/>
      <c r="D85" s="21"/>
      <c r="E85" s="21"/>
      <c r="F85" s="22"/>
      <c r="G85" s="21"/>
      <c r="H85" s="21"/>
      <c r="I85" s="22"/>
    </row>
    <row r="86" spans="1:9">
      <c r="A86" s="21"/>
      <c r="B86" s="21"/>
      <c r="C86" s="21"/>
      <c r="D86" s="21"/>
      <c r="E86" s="21"/>
      <c r="F86" s="22"/>
      <c r="G86" s="21"/>
      <c r="H86" s="21"/>
      <c r="I86" s="22"/>
    </row>
    <row r="87" spans="1:9">
      <c r="A87" s="21"/>
      <c r="B87" s="21"/>
      <c r="C87" s="21"/>
      <c r="D87" s="21"/>
      <c r="E87" s="21"/>
      <c r="F87" s="22"/>
      <c r="G87" s="21"/>
      <c r="H87" s="21"/>
      <c r="I87" s="22"/>
    </row>
    <row r="88" spans="1:9">
      <c r="A88" s="21"/>
      <c r="B88" s="21"/>
      <c r="C88" s="21"/>
      <c r="D88" s="21"/>
      <c r="E88" s="21"/>
      <c r="F88" s="22"/>
      <c r="G88" s="21"/>
      <c r="H88" s="21"/>
      <c r="I88" s="22"/>
    </row>
    <row r="89" spans="1:9">
      <c r="A89" s="21"/>
      <c r="B89" s="21"/>
      <c r="C89" s="21"/>
      <c r="D89" s="21"/>
      <c r="E89" s="21"/>
      <c r="F89" s="22"/>
      <c r="G89" s="21"/>
      <c r="H89" s="21"/>
      <c r="I89" s="22"/>
    </row>
    <row r="90" spans="1:9">
      <c r="A90" s="21"/>
      <c r="B90" s="21"/>
      <c r="C90" s="21"/>
      <c r="D90" s="21"/>
      <c r="E90" s="21"/>
      <c r="F90" s="22"/>
      <c r="G90" s="21"/>
      <c r="H90" s="21"/>
      <c r="I90" s="22"/>
    </row>
    <row r="91" spans="1:9">
      <c r="A91" s="21"/>
      <c r="B91" s="21"/>
      <c r="C91" s="21"/>
      <c r="D91" s="21"/>
      <c r="E91" s="21"/>
      <c r="F91" s="22"/>
      <c r="G91" s="21"/>
      <c r="H91" s="21"/>
      <c r="I91" s="22"/>
    </row>
    <row r="92" spans="1:9">
      <c r="A92" s="21"/>
      <c r="B92" s="21"/>
      <c r="C92" s="21"/>
      <c r="D92" s="21"/>
      <c r="E92" s="21"/>
      <c r="F92" s="22"/>
      <c r="G92" s="21"/>
      <c r="H92" s="21"/>
      <c r="I92" s="22"/>
    </row>
    <row r="93" spans="1:9">
      <c r="A93" s="21"/>
      <c r="B93" s="21"/>
      <c r="C93" s="21"/>
      <c r="D93" s="21"/>
      <c r="E93" s="21"/>
      <c r="F93" s="22"/>
      <c r="G93" s="21"/>
      <c r="H93" s="21"/>
      <c r="I93" s="22"/>
    </row>
    <row r="94" spans="1:9">
      <c r="A94" s="21"/>
      <c r="B94" s="21"/>
      <c r="C94" s="21"/>
      <c r="D94" s="21"/>
      <c r="E94" s="21"/>
      <c r="F94" s="22"/>
      <c r="G94" s="21"/>
      <c r="H94" s="21"/>
      <c r="I94" s="22"/>
    </row>
    <row r="95" spans="1:9">
      <c r="A95" s="21"/>
      <c r="B95" s="21"/>
      <c r="C95" s="21"/>
      <c r="D95" s="21"/>
      <c r="E95" s="21"/>
      <c r="F95" s="22"/>
      <c r="G95" s="21"/>
      <c r="H95" s="21"/>
      <c r="I95" s="22"/>
    </row>
    <row r="96" spans="1:9">
      <c r="A96" s="21"/>
      <c r="B96" s="21"/>
      <c r="C96" s="21"/>
      <c r="D96" s="21"/>
      <c r="E96" s="21"/>
      <c r="F96" s="22"/>
      <c r="G96" s="21"/>
      <c r="H96" s="21"/>
      <c r="I96" s="22"/>
    </row>
    <row r="97" spans="1:9">
      <c r="A97" s="21"/>
      <c r="B97" s="21"/>
      <c r="C97" s="21"/>
      <c r="D97" s="21"/>
      <c r="E97" s="21"/>
      <c r="F97" s="22"/>
      <c r="G97" s="21"/>
      <c r="H97" s="21"/>
      <c r="I97" s="22"/>
    </row>
    <row r="98" spans="1:9">
      <c r="A98" s="21"/>
      <c r="B98" s="21"/>
      <c r="C98" s="21"/>
      <c r="D98" s="21"/>
      <c r="E98" s="21"/>
      <c r="F98" s="22"/>
      <c r="G98" s="21"/>
      <c r="H98" s="21"/>
      <c r="I98" s="22"/>
    </row>
    <row r="99" spans="1:9">
      <c r="A99" s="21"/>
      <c r="B99" s="21"/>
      <c r="C99" s="21"/>
      <c r="D99" s="21"/>
      <c r="E99" s="21"/>
      <c r="F99" s="22"/>
      <c r="G99" s="21"/>
      <c r="H99" s="21"/>
      <c r="I99" s="22"/>
    </row>
    <row r="100" spans="1: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4" activePane="bottomRight" state="frozen"/>
      <selection pane="bottomRight" activeCell="A16" sqref="A16:I23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JLL</v>
      </c>
      <c r="B1" s="47"/>
      <c r="C1" s="47"/>
      <c r="D1" s="48" t="s">
        <v>12</v>
      </c>
      <c r="E1" s="48"/>
      <c r="F1" s="48"/>
      <c r="G1" s="46" t="s">
        <v>13</v>
      </c>
      <c r="H1" s="46"/>
      <c r="I1" s="46"/>
    </row>
    <row r="2" spans="1:9" ht="19.5" customHeight="1">
      <c r="A2" s="49" t="s">
        <v>2</v>
      </c>
      <c r="B2" s="4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23">Sites[Site]</f>
        <v>Bullhead</v>
      </c>
      <c r="B4" s="9" t="str" cm="1">
        <f t="array" ref="B4:B23">Sites[State]</f>
        <v>AZ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75">
      <c r="A5" s="17" t="str">
        <v>Peoria</v>
      </c>
      <c r="B5" s="10" t="str">
        <v>AZ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5.75">
      <c r="A6" s="12" t="str">
        <v>Tucson</v>
      </c>
      <c r="B6" s="9" t="str">
        <v>AZ</v>
      </c>
      <c r="C6" s="24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SUM(Apr!H6, May!H6, Jun!H6)</f>
        <v>0</v>
      </c>
      <c r="I6" s="16" t="str">
        <f t="shared" ref="I6:I15" si="2">IFERROR(H6/G6, "")</f>
        <v/>
      </c>
    </row>
    <row r="7" spans="1:9" ht="15.75">
      <c r="A7" s="17" t="str">
        <v>Hialeah</v>
      </c>
      <c r="B7" s="10" t="str">
        <v>FL</v>
      </c>
      <c r="C7" s="11">
        <f>SUM(Apr!C7, May!C7, Jun!C7)</f>
        <v>0</v>
      </c>
      <c r="D7" s="18">
        <f>SUM(Apr!D7, May!D7, Jun!D7)</f>
        <v>0</v>
      </c>
      <c r="E7" s="18">
        <f t="shared" si="0"/>
        <v>0</v>
      </c>
      <c r="F7" s="19" t="str">
        <f t="shared" si="1"/>
        <v/>
      </c>
      <c r="G7" s="20"/>
      <c r="H7" s="20">
        <f>SUM(Apr!H7, May!H7, Jun!H7)</f>
        <v>0</v>
      </c>
      <c r="I7" s="19" t="str">
        <f t="shared" si="2"/>
        <v/>
      </c>
    </row>
    <row r="8" spans="1:9" ht="15.75">
      <c r="A8" s="12" t="str">
        <v>Jacksonville</v>
      </c>
      <c r="B8" s="9" t="str">
        <v>FL</v>
      </c>
      <c r="C8" s="24">
        <f>SUM(Apr!C8, May!C8, Jun!C8)</f>
        <v>0</v>
      </c>
      <c r="D8" s="13">
        <f>SUM(Apr!D8, May!D8, Jun!D8)</f>
        <v>0</v>
      </c>
      <c r="E8" s="13">
        <f t="shared" si="0"/>
        <v>0</v>
      </c>
      <c r="F8" s="14" t="str">
        <f t="shared" si="1"/>
        <v/>
      </c>
      <c r="G8" s="15"/>
      <c r="H8" s="15">
        <f>SUM(Apr!H8, May!H8, Jun!H8)</f>
        <v>0</v>
      </c>
      <c r="I8" s="16" t="str">
        <f t="shared" si="2"/>
        <v/>
      </c>
    </row>
    <row r="9" spans="1:9" ht="15.75">
      <c r="A9" s="17" t="str">
        <v>Miami Gardens</v>
      </c>
      <c r="B9" s="10" t="str">
        <v>FL</v>
      </c>
      <c r="C9" s="11">
        <f>SUM(Apr!C9, May!C9, Jun!C9)</f>
        <v>0</v>
      </c>
      <c r="D9" s="18">
        <f>SUM(Apr!D9, May!D9, Jun!D9)</f>
        <v>0</v>
      </c>
      <c r="E9" s="18">
        <f t="shared" si="0"/>
        <v>0</v>
      </c>
      <c r="F9" s="19" t="str">
        <f t="shared" si="1"/>
        <v/>
      </c>
      <c r="G9" s="20"/>
      <c r="H9" s="20">
        <f>SUM(Apr!H9, May!H9, Jun!H9)</f>
        <v>0</v>
      </c>
      <c r="I9" s="19" t="str">
        <f t="shared" si="2"/>
        <v/>
      </c>
    </row>
    <row r="10" spans="1:9" ht="15.75">
      <c r="A10" s="12" t="str">
        <v>Fort Myers</v>
      </c>
      <c r="B10" s="9" t="str">
        <v>FL</v>
      </c>
      <c r="C10" s="24">
        <f>SUM(Apr!C10, May!C10, Jun!C10)</f>
        <v>0</v>
      </c>
      <c r="D10" s="13">
        <f>SUM(Apr!D10, May!D10, Jun!D10)</f>
        <v>0</v>
      </c>
      <c r="E10" s="13">
        <f t="shared" si="0"/>
        <v>0</v>
      </c>
      <c r="F10" s="14" t="str">
        <f t="shared" si="1"/>
        <v/>
      </c>
      <c r="G10" s="15"/>
      <c r="H10" s="15">
        <f>SUM(Apr!H10, May!H10, Jun!H10)</f>
        <v>0</v>
      </c>
      <c r="I10" s="16" t="str">
        <f t="shared" si="2"/>
        <v/>
      </c>
    </row>
    <row r="11" spans="1:9" ht="15.75">
      <c r="A11" s="17" t="str">
        <v>Orlando</v>
      </c>
      <c r="B11" s="10" t="str">
        <v>FL</v>
      </c>
      <c r="C11" s="11">
        <f>SUM(Apr!C11, May!C11, Jun!C11)</f>
        <v>0</v>
      </c>
      <c r="D11" s="18">
        <f>SUM(Apr!D11, May!D11, Jun!D11)</f>
        <v>0</v>
      </c>
      <c r="E11" s="18">
        <f t="shared" si="0"/>
        <v>0</v>
      </c>
      <c r="F11" s="19" t="str">
        <f t="shared" si="1"/>
        <v/>
      </c>
      <c r="G11" s="20"/>
      <c r="H11" s="20">
        <f>SUM(Apr!H11, May!H11, Jun!H11)</f>
        <v>0</v>
      </c>
      <c r="I11" s="19" t="str">
        <f t="shared" si="2"/>
        <v/>
      </c>
    </row>
    <row r="12" spans="1:9" ht="15.75">
      <c r="A12" s="12" t="str">
        <v>Port St. Lucie</v>
      </c>
      <c r="B12" s="9" t="str">
        <v>FL</v>
      </c>
      <c r="C12" s="24">
        <f>SUM(Apr!C12, May!C12, Jun!C12)</f>
        <v>0</v>
      </c>
      <c r="D12" s="13">
        <f>SUM(Apr!D12, May!D12, Jun!D12)</f>
        <v>0</v>
      </c>
      <c r="E12" s="13">
        <f t="shared" si="0"/>
        <v>0</v>
      </c>
      <c r="F12" s="14" t="str">
        <f t="shared" si="1"/>
        <v/>
      </c>
      <c r="G12" s="15"/>
      <c r="H12" s="15">
        <f>SUM(Apr!H12, May!H12, Jun!H12)</f>
        <v>0</v>
      </c>
      <c r="I12" s="16" t="str">
        <f t="shared" si="2"/>
        <v/>
      </c>
    </row>
    <row r="13" spans="1:9" ht="15.75">
      <c r="A13" s="17" t="str">
        <v>Tampa</v>
      </c>
      <c r="B13" s="10" t="str">
        <v>FL</v>
      </c>
      <c r="C13" s="11">
        <f>SUM(Apr!C13, May!C13, Jun!C13)</f>
        <v>0</v>
      </c>
      <c r="D13" s="18">
        <f>SUM(Apr!D13, May!D13, Jun!D13)</f>
        <v>0</v>
      </c>
      <c r="E13" s="18">
        <f t="shared" si="0"/>
        <v>0</v>
      </c>
      <c r="F13" s="19" t="str">
        <f t="shared" si="1"/>
        <v/>
      </c>
      <c r="G13" s="20"/>
      <c r="H13" s="20">
        <f>SUM(Apr!H13, May!H13, Jun!H13)</f>
        <v>0</v>
      </c>
      <c r="I13" s="19" t="str">
        <f t="shared" si="2"/>
        <v/>
      </c>
    </row>
    <row r="14" spans="1:9" ht="15.75">
      <c r="A14" s="12" t="str">
        <v>Roswell</v>
      </c>
      <c r="B14" s="9" t="str">
        <v>GA</v>
      </c>
      <c r="C14" s="24">
        <f>SUM(Apr!C14, May!C14, Jun!C14)</f>
        <v>0</v>
      </c>
      <c r="D14" s="13">
        <f>SUM(Apr!D14, May!D14, Jun!D14)</f>
        <v>0</v>
      </c>
      <c r="E14" s="13">
        <f t="shared" si="0"/>
        <v>0</v>
      </c>
      <c r="F14" s="14" t="str">
        <f t="shared" si="1"/>
        <v/>
      </c>
      <c r="G14" s="15"/>
      <c r="H14" s="15">
        <f>SUM(Apr!H14, May!H14, Jun!H14)</f>
        <v>0</v>
      </c>
      <c r="I14" s="16" t="str">
        <f t="shared" si="2"/>
        <v/>
      </c>
    </row>
    <row r="15" spans="1:9" ht="15.75">
      <c r="A15" s="17" t="str">
        <v>Charlotte</v>
      </c>
      <c r="B15" s="10" t="str">
        <v>NC</v>
      </c>
      <c r="C15" s="11">
        <f>SUM(Apr!C15, May!C15, Jun!C15)</f>
        <v>0</v>
      </c>
      <c r="D15" s="18">
        <f>SUM(Apr!D15, May!D15, Jun!D15)</f>
        <v>0</v>
      </c>
      <c r="E15" s="18">
        <f t="shared" si="0"/>
        <v>0</v>
      </c>
      <c r="F15" s="19" t="str">
        <f t="shared" si="1"/>
        <v/>
      </c>
      <c r="G15" s="20"/>
      <c r="H15" s="20">
        <f>SUM(Apr!H15, May!H15, Jun!H15)</f>
        <v>0</v>
      </c>
      <c r="I15" s="19" t="str">
        <f t="shared" si="2"/>
        <v/>
      </c>
    </row>
    <row r="16" spans="1:9" ht="15.75">
      <c r="A16" s="12" t="str">
        <v>Raleigh</v>
      </c>
      <c r="B16" s="9" t="str">
        <v>NC</v>
      </c>
      <c r="C16" s="24">
        <f>SUM(Apr!C16, May!C16, Jun!C16)</f>
        <v>0</v>
      </c>
      <c r="D16" s="13">
        <f>SUM(Apr!D16, May!D16, Jun!D16)</f>
        <v>0</v>
      </c>
      <c r="E16" s="13">
        <f t="shared" ref="E16:E18" si="3">IF(AND(ISNUMBER(C16),ISNUMBER(D16)), C16-D16, "")</f>
        <v>0</v>
      </c>
      <c r="F16" s="14" t="str">
        <f t="shared" ref="F16:F18" si="4">IFERROR(E16/D16, "")</f>
        <v/>
      </c>
      <c r="G16" s="15"/>
      <c r="H16" s="15">
        <f>SUM(Apr!H16, May!H16, Jun!H16)</f>
        <v>0</v>
      </c>
      <c r="I16" s="16" t="str">
        <f t="shared" ref="I16:I18" si="5">IFERROR(H16/G16, "")</f>
        <v/>
      </c>
    </row>
    <row r="17" spans="1:9" ht="15.75">
      <c r="A17" s="17" t="str">
        <v>Cordova</v>
      </c>
      <c r="B17" s="10" t="str">
        <v>TN</v>
      </c>
      <c r="C17" s="11">
        <f>SUM(Apr!C17, May!C17, Jun!C17)</f>
        <v>0</v>
      </c>
      <c r="D17" s="18">
        <f>SUM(Apr!D17, May!D17, Jun!D17)</f>
        <v>0</v>
      </c>
      <c r="E17" s="18">
        <f t="shared" si="3"/>
        <v>0</v>
      </c>
      <c r="F17" s="19" t="str">
        <f t="shared" si="4"/>
        <v/>
      </c>
      <c r="G17" s="20"/>
      <c r="H17" s="20">
        <f>SUM(Apr!H17, May!H17, Jun!H17)</f>
        <v>0</v>
      </c>
      <c r="I17" s="19" t="str">
        <f t="shared" si="5"/>
        <v/>
      </c>
    </row>
    <row r="18" spans="1:9" ht="12.75" customHeight="1">
      <c r="A18" s="12" t="str">
        <v>Austin</v>
      </c>
      <c r="B18" s="9" t="str">
        <v>TX</v>
      </c>
      <c r="C18" s="24">
        <f>SUM(Apr!C18, May!C18, Jun!C18)</f>
        <v>0</v>
      </c>
      <c r="D18" s="13">
        <f>SUM(Apr!D18, May!D18, Jun!D18)</f>
        <v>0</v>
      </c>
      <c r="E18" s="13">
        <f t="shared" ref="E18:E23" si="6">IF(AND(ISNUMBER(C18),ISNUMBER(D18)), C18-D18, "")</f>
        <v>0</v>
      </c>
      <c r="F18" s="14" t="str">
        <f t="shared" ref="F18:F23" si="7">IFERROR(E18/D18, "")</f>
        <v/>
      </c>
      <c r="G18" s="15"/>
      <c r="H18" s="15">
        <f>SUM(Apr!H18, May!H18, Jun!H18)</f>
        <v>0</v>
      </c>
      <c r="I18" s="16" t="str">
        <f t="shared" ref="I18:I23" si="8">IFERROR(H18/G18, "")</f>
        <v/>
      </c>
    </row>
    <row r="19" spans="1:9" ht="15.75">
      <c r="A19" s="17" t="str">
        <v>Frisco</v>
      </c>
      <c r="B19" s="10" t="str">
        <v>TX</v>
      </c>
      <c r="C19" s="11">
        <f>SUM(Apr!C19, May!C19, Jun!C19)</f>
        <v>0</v>
      </c>
      <c r="D19" s="18">
        <f>SUM(Apr!D19, May!D19, Jun!D19)</f>
        <v>0</v>
      </c>
      <c r="E19" s="18">
        <f t="shared" si="6"/>
        <v>0</v>
      </c>
      <c r="F19" s="19" t="str">
        <f t="shared" si="7"/>
        <v/>
      </c>
      <c r="G19" s="20"/>
      <c r="H19" s="20">
        <f>SUM(Apr!H19, May!H19, Jun!H19)</f>
        <v>0</v>
      </c>
      <c r="I19" s="19" t="str">
        <f t="shared" si="8"/>
        <v/>
      </c>
    </row>
    <row r="20" spans="1:9" ht="15.75">
      <c r="A20" s="12" t="str">
        <v>Houston</v>
      </c>
      <c r="B20" s="9" t="str">
        <v>TX</v>
      </c>
      <c r="C20" s="24">
        <f>SUM(Apr!C20, May!C20, Jun!C20)</f>
        <v>0</v>
      </c>
      <c r="D20" s="13">
        <f>SUM(Apr!D20, May!D20, Jun!D20)</f>
        <v>0</v>
      </c>
      <c r="E20" s="13">
        <f t="shared" si="6"/>
        <v>0</v>
      </c>
      <c r="F20" s="14" t="str">
        <f t="shared" si="7"/>
        <v/>
      </c>
      <c r="G20" s="15"/>
      <c r="H20" s="15">
        <f>SUM(Apr!H20, May!H20, Jun!H20)</f>
        <v>0</v>
      </c>
      <c r="I20" s="16" t="str">
        <f t="shared" si="8"/>
        <v/>
      </c>
    </row>
    <row r="21" spans="1:9" ht="15.75">
      <c r="A21" s="17" t="str">
        <v>Plano Bldg A</v>
      </c>
      <c r="B21" s="10" t="str">
        <v>TX</v>
      </c>
      <c r="C21" s="11">
        <f>SUM(Apr!C21, May!C21, Jun!C21)</f>
        <v>0</v>
      </c>
      <c r="D21" s="18">
        <f>SUM(Apr!D21, May!D21, Jun!D21)</f>
        <v>0</v>
      </c>
      <c r="E21" s="18">
        <f t="shared" si="6"/>
        <v>0</v>
      </c>
      <c r="F21" s="19" t="str">
        <f t="shared" si="7"/>
        <v/>
      </c>
      <c r="G21" s="20"/>
      <c r="H21" s="20">
        <f>SUM(Apr!H21, May!H21, Jun!H21)</f>
        <v>0</v>
      </c>
      <c r="I21" s="19" t="str">
        <f t="shared" si="8"/>
        <v/>
      </c>
    </row>
    <row r="22" spans="1:9" ht="15.75">
      <c r="A22" s="12" t="str">
        <v>Plano Bldg B</v>
      </c>
      <c r="B22" s="9" t="str">
        <v>TX</v>
      </c>
      <c r="C22" s="24">
        <f>SUM(Apr!C22, May!C22, Jun!C22)</f>
        <v>0</v>
      </c>
      <c r="D22" s="13">
        <f>SUM(Apr!D22, May!D22, Jun!D22)</f>
        <v>0</v>
      </c>
      <c r="E22" s="13">
        <f t="shared" si="6"/>
        <v>0</v>
      </c>
      <c r="F22" s="14" t="str">
        <f t="shared" si="7"/>
        <v/>
      </c>
      <c r="G22" s="15"/>
      <c r="H22" s="15">
        <f>SUM(Apr!H22, May!H22, Jun!H22)</f>
        <v>0</v>
      </c>
      <c r="I22" s="16" t="str">
        <f t="shared" si="8"/>
        <v/>
      </c>
    </row>
    <row r="23" spans="1:9" ht="15.75">
      <c r="A23" s="17" t="str">
        <v>Plano Bldg C</v>
      </c>
      <c r="B23" s="10" t="str">
        <v>TX</v>
      </c>
      <c r="C23" s="11">
        <f>SUM(Apr!C23, May!C23, Jun!C23)</f>
        <v>0</v>
      </c>
      <c r="D23" s="18">
        <f>SUM(Apr!D23, May!D23, Jun!D23)</f>
        <v>0</v>
      </c>
      <c r="E23" s="18">
        <f t="shared" si="6"/>
        <v>0</v>
      </c>
      <c r="F23" s="19" t="str">
        <f t="shared" si="7"/>
        <v/>
      </c>
      <c r="G23" s="20"/>
      <c r="H23" s="20">
        <f>SUM(Apr!H23, May!H23, Jun!H23)</f>
        <v>0</v>
      </c>
      <c r="I23" s="19" t="str">
        <f t="shared" si="8"/>
        <v/>
      </c>
    </row>
    <row r="24" spans="1:9">
      <c r="A24" s="21"/>
      <c r="B24" s="21"/>
      <c r="C24" s="21"/>
      <c r="D24" s="21"/>
      <c r="E24" s="21"/>
      <c r="F24" s="21"/>
      <c r="G24" s="21"/>
      <c r="H24" s="21"/>
      <c r="I24" s="21"/>
    </row>
    <row r="25" spans="1:9">
      <c r="A25" s="21"/>
      <c r="B25" s="21"/>
      <c r="C25" s="21"/>
      <c r="D25" s="21"/>
      <c r="E25" s="21"/>
      <c r="F25" s="21"/>
      <c r="G25" s="21"/>
      <c r="H25" s="21"/>
      <c r="I25" s="21"/>
    </row>
    <row r="26" spans="1:9">
      <c r="A26" s="21"/>
      <c r="B26" s="21"/>
      <c r="C26" s="21"/>
      <c r="D26" s="21"/>
      <c r="E26" s="21"/>
      <c r="F26" s="21"/>
      <c r="G26" s="21"/>
      <c r="H26" s="21"/>
      <c r="I26" s="21"/>
    </row>
    <row r="27" spans="1:9">
      <c r="A27" s="21"/>
      <c r="B27" s="21"/>
      <c r="C27" s="21"/>
      <c r="D27" s="21"/>
      <c r="E27" s="21"/>
      <c r="F27" s="21"/>
      <c r="G27" s="21"/>
      <c r="H27" s="21"/>
      <c r="I27" s="21"/>
    </row>
    <row r="28" spans="1:9">
      <c r="A28" s="21"/>
      <c r="B28" s="21"/>
      <c r="C28" s="21"/>
      <c r="D28" s="21"/>
      <c r="E28" s="21"/>
      <c r="F28" s="21"/>
      <c r="G28" s="21"/>
      <c r="H28" s="21"/>
      <c r="I28" s="21"/>
    </row>
    <row r="29" spans="1:9">
      <c r="A29" s="21"/>
      <c r="B29" s="21"/>
      <c r="C29" s="21"/>
      <c r="D29" s="21"/>
      <c r="E29" s="21"/>
      <c r="F29" s="21"/>
      <c r="G29" s="21"/>
      <c r="H29" s="21"/>
      <c r="I29" s="21"/>
    </row>
    <row r="30" spans="1:9">
      <c r="A30" s="21"/>
      <c r="B30" s="21"/>
      <c r="C30" s="21"/>
      <c r="D30" s="21"/>
      <c r="E30" s="21"/>
      <c r="F30" s="21"/>
      <c r="G30" s="21"/>
      <c r="H30" s="21"/>
      <c r="I30" s="21"/>
    </row>
    <row r="31" spans="1:9">
      <c r="A31" s="21"/>
      <c r="B31" s="21"/>
      <c r="C31" s="21"/>
      <c r="D31" s="21"/>
      <c r="E31" s="21"/>
      <c r="F31" s="21"/>
      <c r="G31" s="21"/>
      <c r="H31" s="21"/>
      <c r="I31" s="21"/>
    </row>
    <row r="32" spans="1:9">
      <c r="A32" s="21"/>
      <c r="B32" s="21"/>
      <c r="C32" s="21"/>
      <c r="D32" s="21"/>
      <c r="E32" s="21"/>
      <c r="F32" s="21"/>
      <c r="G32" s="21"/>
      <c r="H32" s="21"/>
      <c r="I32" s="21"/>
    </row>
    <row r="33" spans="1:9">
      <c r="A33" s="21"/>
      <c r="B33" s="21"/>
      <c r="C33" s="21"/>
      <c r="D33" s="21"/>
      <c r="E33" s="21"/>
      <c r="F33" s="22"/>
      <c r="G33" s="21"/>
      <c r="H33" s="21"/>
      <c r="I33" s="22"/>
    </row>
    <row r="34" spans="1:9">
      <c r="A34" s="21"/>
      <c r="B34" s="21"/>
      <c r="C34" s="21"/>
      <c r="D34" s="21"/>
      <c r="E34" s="21"/>
      <c r="F34" s="22"/>
      <c r="G34" s="21"/>
      <c r="H34" s="21"/>
      <c r="I34" s="22"/>
    </row>
    <row r="35" spans="1:9">
      <c r="A35" s="21"/>
      <c r="B35" s="21"/>
      <c r="C35" s="21"/>
      <c r="D35" s="21"/>
      <c r="E35" s="21"/>
      <c r="F35" s="22"/>
      <c r="G35" s="21"/>
      <c r="H35" s="21"/>
      <c r="I35" s="22"/>
    </row>
    <row r="36" spans="1:9">
      <c r="A36" s="21"/>
      <c r="B36" s="21"/>
      <c r="C36" s="21"/>
      <c r="D36" s="21"/>
      <c r="E36" s="21"/>
      <c r="F36" s="22"/>
      <c r="G36" s="21"/>
      <c r="H36" s="21"/>
      <c r="I36" s="22"/>
    </row>
    <row r="37" spans="1:9">
      <c r="A37" s="21"/>
      <c r="B37" s="21"/>
      <c r="C37" s="21"/>
      <c r="D37" s="21"/>
      <c r="E37" s="21"/>
      <c r="F37" s="22"/>
      <c r="G37" s="21"/>
      <c r="H37" s="21"/>
      <c r="I37" s="22"/>
    </row>
    <row r="38" spans="1:9">
      <c r="A38" s="21"/>
      <c r="B38" s="21"/>
      <c r="C38" s="21"/>
      <c r="D38" s="21"/>
      <c r="E38" s="21"/>
      <c r="F38" s="22"/>
      <c r="G38" s="21"/>
      <c r="H38" s="21"/>
      <c r="I38" s="22"/>
    </row>
    <row r="39" spans="1:9">
      <c r="A39" s="21"/>
      <c r="B39" s="21"/>
      <c r="C39" s="21"/>
      <c r="D39" s="21"/>
      <c r="E39" s="21"/>
      <c r="F39" s="22"/>
      <c r="G39" s="21"/>
      <c r="H39" s="21"/>
      <c r="I39" s="22"/>
    </row>
    <row r="40" spans="1:9">
      <c r="A40" s="21"/>
      <c r="B40" s="21"/>
      <c r="C40" s="21"/>
      <c r="D40" s="21"/>
      <c r="E40" s="21"/>
      <c r="F40" s="22"/>
      <c r="G40" s="21"/>
      <c r="H40" s="21"/>
      <c r="I40" s="22"/>
    </row>
    <row r="41" spans="1:9">
      <c r="A41" s="21"/>
      <c r="B41" s="21"/>
      <c r="C41" s="21"/>
      <c r="D41" s="21"/>
      <c r="E41" s="21"/>
      <c r="F41" s="22"/>
      <c r="G41" s="21"/>
      <c r="H41" s="21"/>
      <c r="I41" s="22"/>
    </row>
    <row r="42" spans="1:9">
      <c r="A42" s="21"/>
      <c r="B42" s="21"/>
      <c r="C42" s="21"/>
      <c r="D42" s="21"/>
      <c r="E42" s="21"/>
      <c r="F42" s="22"/>
      <c r="G42" s="21"/>
      <c r="H42" s="21"/>
      <c r="I42" s="22"/>
    </row>
    <row r="43" spans="1:9">
      <c r="A43" s="21"/>
      <c r="B43" s="21"/>
      <c r="C43" s="21"/>
      <c r="D43" s="21"/>
      <c r="E43" s="21"/>
      <c r="F43" s="22"/>
      <c r="G43" s="21"/>
      <c r="H43" s="21"/>
      <c r="I43" s="22"/>
    </row>
    <row r="44" spans="1:9">
      <c r="A44" s="21"/>
      <c r="B44" s="21"/>
      <c r="C44" s="21"/>
      <c r="D44" s="21"/>
      <c r="E44" s="21"/>
      <c r="F44" s="22"/>
      <c r="G44" s="21"/>
      <c r="H44" s="21"/>
      <c r="I44" s="22"/>
    </row>
    <row r="45" spans="1:9">
      <c r="A45" s="21"/>
      <c r="B45" s="21"/>
      <c r="C45" s="21"/>
      <c r="D45" s="21"/>
      <c r="E45" s="21"/>
      <c r="F45" s="22"/>
      <c r="G45" s="21"/>
      <c r="H45" s="21"/>
      <c r="I45" s="22"/>
    </row>
    <row r="46" spans="1:9">
      <c r="A46" s="21"/>
      <c r="B46" s="21"/>
      <c r="C46" s="21"/>
      <c r="D46" s="21"/>
      <c r="E46" s="21"/>
      <c r="F46" s="22"/>
      <c r="G46" s="21"/>
      <c r="H46" s="21"/>
      <c r="I46" s="22"/>
    </row>
    <row r="47" spans="1:9">
      <c r="A47" s="21"/>
      <c r="B47" s="21"/>
      <c r="C47" s="21"/>
      <c r="D47" s="21"/>
      <c r="E47" s="21"/>
      <c r="F47" s="22"/>
      <c r="G47" s="21"/>
      <c r="H47" s="21"/>
      <c r="I47" s="22"/>
    </row>
    <row r="48" spans="1:9">
      <c r="A48" s="21"/>
      <c r="B48" s="21"/>
      <c r="C48" s="21"/>
      <c r="D48" s="21"/>
      <c r="E48" s="21"/>
      <c r="F48" s="22"/>
      <c r="G48" s="21"/>
      <c r="H48" s="21"/>
      <c r="I48" s="22"/>
    </row>
    <row r="49" spans="1:9">
      <c r="A49" s="21"/>
      <c r="B49" s="21"/>
      <c r="C49" s="21"/>
      <c r="D49" s="21"/>
      <c r="E49" s="21"/>
      <c r="F49" s="22"/>
      <c r="G49" s="21"/>
      <c r="H49" s="21"/>
      <c r="I49" s="22"/>
    </row>
    <row r="50" spans="1:9">
      <c r="A50" s="21"/>
      <c r="B50" s="21"/>
      <c r="C50" s="21"/>
      <c r="D50" s="21"/>
      <c r="E50" s="21"/>
      <c r="F50" s="22"/>
      <c r="G50" s="21"/>
      <c r="H50" s="21"/>
      <c r="I50" s="22"/>
    </row>
    <row r="51" spans="1:9">
      <c r="A51" s="21"/>
      <c r="B51" s="21"/>
      <c r="C51" s="21"/>
      <c r="D51" s="21"/>
      <c r="E51" s="21"/>
      <c r="F51" s="22"/>
      <c r="G51" s="21"/>
      <c r="H51" s="21"/>
      <c r="I51" s="22"/>
    </row>
    <row r="52" spans="1:9">
      <c r="A52" s="21"/>
      <c r="B52" s="21"/>
      <c r="C52" s="21"/>
      <c r="D52" s="21"/>
      <c r="E52" s="21"/>
      <c r="F52" s="22"/>
      <c r="G52" s="21"/>
      <c r="H52" s="21"/>
      <c r="I52" s="22"/>
    </row>
    <row r="53" spans="1:9">
      <c r="A53" s="21"/>
      <c r="B53" s="21"/>
      <c r="C53" s="21"/>
      <c r="D53" s="21"/>
      <c r="E53" s="21"/>
      <c r="F53" s="22"/>
      <c r="G53" s="21"/>
      <c r="H53" s="21"/>
      <c r="I53" s="22"/>
    </row>
    <row r="54" spans="1:9">
      <c r="A54" s="21"/>
      <c r="B54" s="21"/>
      <c r="C54" s="21"/>
      <c r="D54" s="21"/>
      <c r="E54" s="21"/>
      <c r="F54" s="22"/>
      <c r="G54" s="21"/>
      <c r="H54" s="21"/>
      <c r="I54" s="22"/>
    </row>
    <row r="55" spans="1:9">
      <c r="A55" s="21"/>
      <c r="B55" s="21"/>
      <c r="C55" s="21"/>
      <c r="D55" s="21"/>
      <c r="E55" s="21"/>
      <c r="F55" s="22"/>
      <c r="G55" s="21"/>
      <c r="H55" s="21"/>
      <c r="I55" s="22"/>
    </row>
    <row r="56" spans="1:9">
      <c r="A56" s="21"/>
      <c r="B56" s="21"/>
      <c r="C56" s="21"/>
      <c r="D56" s="21"/>
      <c r="E56" s="21"/>
      <c r="F56" s="22"/>
      <c r="G56" s="21"/>
      <c r="H56" s="21"/>
      <c r="I56" s="22"/>
    </row>
    <row r="57" spans="1:9">
      <c r="A57" s="21"/>
      <c r="B57" s="21"/>
      <c r="C57" s="21"/>
      <c r="D57" s="21"/>
      <c r="E57" s="21"/>
      <c r="F57" s="22"/>
      <c r="G57" s="21"/>
      <c r="H57" s="21"/>
      <c r="I57" s="22"/>
    </row>
    <row r="58" spans="1:9">
      <c r="A58" s="21"/>
      <c r="B58" s="21"/>
      <c r="C58" s="21"/>
      <c r="D58" s="21"/>
      <c r="E58" s="21"/>
      <c r="F58" s="22"/>
      <c r="G58" s="21"/>
      <c r="H58" s="21"/>
      <c r="I58" s="22"/>
    </row>
    <row r="59" spans="1:9">
      <c r="A59" s="21"/>
      <c r="B59" s="21"/>
      <c r="C59" s="21"/>
      <c r="D59" s="21"/>
      <c r="E59" s="21"/>
      <c r="F59" s="22"/>
      <c r="G59" s="21"/>
      <c r="H59" s="21"/>
      <c r="I59" s="22"/>
    </row>
    <row r="60" spans="1:9">
      <c r="A60" s="21"/>
      <c r="B60" s="21"/>
      <c r="C60" s="21"/>
      <c r="D60" s="21"/>
      <c r="E60" s="21"/>
      <c r="F60" s="22"/>
      <c r="G60" s="21"/>
      <c r="H60" s="21"/>
      <c r="I60" s="22"/>
    </row>
    <row r="61" spans="1:9">
      <c r="A61" s="21"/>
      <c r="B61" s="21"/>
      <c r="C61" s="21"/>
      <c r="D61" s="21"/>
      <c r="E61" s="21"/>
      <c r="F61" s="22"/>
      <c r="G61" s="21"/>
      <c r="H61" s="21"/>
      <c r="I61" s="22"/>
    </row>
    <row r="62" spans="1:9">
      <c r="A62" s="21"/>
      <c r="B62" s="21"/>
      <c r="C62" s="21"/>
      <c r="D62" s="21"/>
      <c r="E62" s="21"/>
      <c r="F62" s="22"/>
      <c r="G62" s="21"/>
      <c r="H62" s="21"/>
      <c r="I62" s="22"/>
    </row>
    <row r="63" spans="1:9">
      <c r="A63" s="21"/>
      <c r="B63" s="21"/>
      <c r="C63" s="21"/>
      <c r="D63" s="21"/>
      <c r="E63" s="21"/>
      <c r="F63" s="22"/>
      <c r="G63" s="21"/>
      <c r="H63" s="21"/>
      <c r="I63" s="22"/>
    </row>
    <row r="64" spans="1:9">
      <c r="A64" s="21"/>
      <c r="B64" s="21"/>
      <c r="C64" s="21"/>
      <c r="D64" s="21"/>
      <c r="E64" s="21"/>
      <c r="F64" s="22"/>
      <c r="G64" s="21"/>
      <c r="H64" s="21"/>
      <c r="I64" s="22"/>
    </row>
    <row r="65" spans="1:9">
      <c r="A65" s="21"/>
      <c r="B65" s="21"/>
      <c r="C65" s="21"/>
      <c r="D65" s="21"/>
      <c r="E65" s="21"/>
      <c r="F65" s="22"/>
      <c r="G65" s="21"/>
      <c r="H65" s="21"/>
      <c r="I65" s="22"/>
    </row>
    <row r="66" spans="1:9">
      <c r="A66" s="21"/>
      <c r="B66" s="21"/>
      <c r="C66" s="21"/>
      <c r="D66" s="21"/>
      <c r="E66" s="21"/>
      <c r="F66" s="22"/>
      <c r="G66" s="21"/>
      <c r="H66" s="21"/>
      <c r="I66" s="22"/>
    </row>
    <row r="67" spans="1:9">
      <c r="A67" s="21"/>
      <c r="B67" s="21"/>
      <c r="C67" s="21"/>
      <c r="D67" s="21"/>
      <c r="E67" s="21"/>
      <c r="F67" s="22"/>
      <c r="G67" s="21"/>
      <c r="H67" s="21"/>
      <c r="I67" s="22"/>
    </row>
    <row r="68" spans="1:9">
      <c r="A68" s="21"/>
      <c r="B68" s="21"/>
      <c r="C68" s="21"/>
      <c r="D68" s="21"/>
      <c r="E68" s="21"/>
      <c r="F68" s="22"/>
      <c r="G68" s="21"/>
      <c r="H68" s="21"/>
      <c r="I68" s="22"/>
    </row>
    <row r="69" spans="1:9">
      <c r="A69" s="21"/>
      <c r="B69" s="21"/>
      <c r="C69" s="21"/>
      <c r="D69" s="21"/>
      <c r="E69" s="21"/>
      <c r="F69" s="22"/>
      <c r="G69" s="21"/>
      <c r="H69" s="21"/>
      <c r="I69" s="22"/>
    </row>
    <row r="70" spans="1:9">
      <c r="A70" s="21"/>
      <c r="B70" s="21"/>
      <c r="C70" s="21"/>
      <c r="D70" s="21"/>
      <c r="E70" s="21"/>
      <c r="F70" s="22"/>
      <c r="G70" s="21"/>
      <c r="H70" s="21"/>
      <c r="I70" s="22"/>
    </row>
    <row r="71" spans="1:9">
      <c r="A71" s="21"/>
      <c r="B71" s="21"/>
      <c r="C71" s="21"/>
      <c r="D71" s="21"/>
      <c r="E71" s="21"/>
      <c r="F71" s="22"/>
      <c r="G71" s="21"/>
      <c r="H71" s="21"/>
      <c r="I71" s="22"/>
    </row>
    <row r="72" spans="1:9">
      <c r="A72" s="21"/>
      <c r="B72" s="21"/>
      <c r="C72" s="21"/>
      <c r="D72" s="21"/>
      <c r="E72" s="21"/>
      <c r="F72" s="22"/>
      <c r="G72" s="21"/>
      <c r="H72" s="21"/>
      <c r="I72" s="22"/>
    </row>
    <row r="73" spans="1:9">
      <c r="A73" s="21"/>
      <c r="B73" s="21"/>
      <c r="C73" s="21"/>
      <c r="D73" s="21"/>
      <c r="E73" s="21"/>
      <c r="F73" s="22"/>
      <c r="G73" s="21"/>
      <c r="H73" s="21"/>
      <c r="I73" s="22"/>
    </row>
    <row r="74" spans="1:9">
      <c r="A74" s="21"/>
      <c r="B74" s="21"/>
      <c r="C74" s="21"/>
      <c r="D74" s="21"/>
      <c r="E74" s="21"/>
      <c r="F74" s="22"/>
      <c r="G74" s="21"/>
      <c r="H74" s="21"/>
      <c r="I74" s="22"/>
    </row>
    <row r="75" spans="1:9">
      <c r="A75" s="21"/>
      <c r="B75" s="21"/>
      <c r="C75" s="21"/>
      <c r="D75" s="21"/>
      <c r="E75" s="21"/>
      <c r="F75" s="22"/>
      <c r="G75" s="21"/>
      <c r="H75" s="21"/>
      <c r="I75" s="22"/>
    </row>
    <row r="76" spans="1:9">
      <c r="A76" s="21"/>
      <c r="B76" s="21"/>
      <c r="C76" s="21"/>
      <c r="D76" s="21"/>
      <c r="E76" s="21"/>
      <c r="F76" s="22"/>
      <c r="G76" s="21"/>
      <c r="H76" s="21"/>
      <c r="I76" s="22"/>
    </row>
    <row r="77" spans="1:9">
      <c r="A77" s="21"/>
      <c r="B77" s="21"/>
      <c r="C77" s="21"/>
      <c r="D77" s="21"/>
      <c r="E77" s="21"/>
      <c r="F77" s="22"/>
      <c r="G77" s="21"/>
      <c r="H77" s="21"/>
      <c r="I77" s="22"/>
    </row>
    <row r="78" spans="1:9">
      <c r="A78" s="21"/>
      <c r="B78" s="21"/>
      <c r="C78" s="21"/>
      <c r="D78" s="21"/>
      <c r="E78" s="21"/>
      <c r="F78" s="22"/>
      <c r="G78" s="21"/>
      <c r="H78" s="21"/>
      <c r="I78" s="22"/>
    </row>
    <row r="79" spans="1:9">
      <c r="A79" s="21"/>
      <c r="B79" s="21"/>
      <c r="C79" s="21"/>
      <c r="D79" s="21"/>
      <c r="E79" s="21"/>
      <c r="F79" s="22"/>
      <c r="G79" s="21"/>
      <c r="H79" s="21"/>
      <c r="I79" s="22"/>
    </row>
    <row r="80" spans="1:9">
      <c r="A80" s="21"/>
      <c r="B80" s="21"/>
      <c r="C80" s="21"/>
      <c r="D80" s="21"/>
      <c r="E80" s="21"/>
      <c r="F80" s="22"/>
      <c r="G80" s="21"/>
      <c r="H80" s="21"/>
      <c r="I80" s="22"/>
    </row>
    <row r="81" spans="1:9">
      <c r="A81" s="21"/>
      <c r="B81" s="21"/>
      <c r="C81" s="21"/>
      <c r="D81" s="21"/>
      <c r="E81" s="21"/>
      <c r="F81" s="22"/>
      <c r="G81" s="21"/>
      <c r="H81" s="21"/>
      <c r="I81" s="22"/>
    </row>
    <row r="82" spans="1:9">
      <c r="A82" s="21"/>
      <c r="B82" s="21"/>
      <c r="C82" s="21"/>
      <c r="D82" s="21"/>
      <c r="E82" s="21"/>
      <c r="F82" s="22"/>
      <c r="G82" s="21"/>
      <c r="H82" s="21"/>
      <c r="I82" s="22"/>
    </row>
    <row r="83" spans="1:9">
      <c r="A83" s="21"/>
      <c r="B83" s="21"/>
      <c r="C83" s="21"/>
      <c r="D83" s="21"/>
      <c r="E83" s="21"/>
      <c r="F83" s="22"/>
      <c r="G83" s="21"/>
      <c r="H83" s="21"/>
      <c r="I83" s="22"/>
    </row>
    <row r="84" spans="1:9">
      <c r="A84" s="21"/>
      <c r="B84" s="21"/>
      <c r="C84" s="21"/>
      <c r="D84" s="21"/>
      <c r="E84" s="21"/>
      <c r="F84" s="22"/>
      <c r="G84" s="21"/>
      <c r="H84" s="21"/>
      <c r="I84" s="22"/>
    </row>
    <row r="85" spans="1:9">
      <c r="A85" s="21"/>
      <c r="B85" s="21"/>
      <c r="C85" s="21"/>
      <c r="D85" s="21"/>
      <c r="E85" s="21"/>
      <c r="F85" s="22"/>
      <c r="G85" s="21"/>
      <c r="H85" s="21"/>
      <c r="I85" s="22"/>
    </row>
    <row r="86" spans="1:9">
      <c r="A86" s="21"/>
      <c r="B86" s="21"/>
      <c r="C86" s="21"/>
      <c r="D86" s="21"/>
      <c r="E86" s="21"/>
      <c r="F86" s="22"/>
      <c r="G86" s="21"/>
      <c r="H86" s="21"/>
      <c r="I86" s="22"/>
    </row>
    <row r="87" spans="1:9">
      <c r="A87" s="21"/>
      <c r="B87" s="21"/>
      <c r="C87" s="21"/>
      <c r="D87" s="21"/>
      <c r="E87" s="21"/>
      <c r="F87" s="22"/>
      <c r="G87" s="21"/>
      <c r="H87" s="21"/>
      <c r="I87" s="22"/>
    </row>
    <row r="88" spans="1:9">
      <c r="A88" s="21"/>
      <c r="B88" s="21"/>
      <c r="C88" s="21"/>
      <c r="D88" s="21"/>
      <c r="E88" s="21"/>
      <c r="F88" s="22"/>
      <c r="G88" s="21"/>
      <c r="H88" s="21"/>
      <c r="I88" s="22"/>
    </row>
    <row r="89" spans="1:9">
      <c r="A89" s="21"/>
      <c r="B89" s="21"/>
      <c r="C89" s="21"/>
      <c r="D89" s="21"/>
      <c r="E89" s="21"/>
      <c r="F89" s="22"/>
      <c r="G89" s="21"/>
      <c r="H89" s="21"/>
      <c r="I89" s="22"/>
    </row>
    <row r="90" spans="1:9">
      <c r="A90" s="21"/>
      <c r="B90" s="21"/>
      <c r="C90" s="21"/>
      <c r="D90" s="21"/>
      <c r="E90" s="21"/>
      <c r="F90" s="22"/>
      <c r="G90" s="21"/>
      <c r="H90" s="21"/>
      <c r="I90" s="22"/>
    </row>
    <row r="91" spans="1:9">
      <c r="A91" s="21"/>
      <c r="B91" s="21"/>
      <c r="C91" s="21"/>
      <c r="D91" s="21"/>
      <c r="E91" s="21"/>
      <c r="F91" s="22"/>
      <c r="G91" s="21"/>
      <c r="H91" s="21"/>
      <c r="I91" s="22"/>
    </row>
    <row r="92" spans="1:9">
      <c r="A92" s="21"/>
      <c r="B92" s="21"/>
      <c r="C92" s="21"/>
      <c r="D92" s="21"/>
      <c r="E92" s="21"/>
      <c r="F92" s="22"/>
      <c r="G92" s="21"/>
      <c r="H92" s="21"/>
      <c r="I92" s="22"/>
    </row>
    <row r="93" spans="1:9">
      <c r="A93" s="21"/>
      <c r="B93" s="21"/>
      <c r="C93" s="21"/>
      <c r="D93" s="21"/>
      <c r="E93" s="21"/>
      <c r="F93" s="22"/>
      <c r="G93" s="21"/>
      <c r="H93" s="21"/>
      <c r="I93" s="22"/>
    </row>
    <row r="94" spans="1:9">
      <c r="A94" s="21"/>
      <c r="B94" s="21"/>
      <c r="C94" s="21"/>
      <c r="D94" s="21"/>
      <c r="E94" s="21"/>
      <c r="F94" s="22"/>
      <c r="G94" s="21"/>
      <c r="H94" s="21"/>
      <c r="I94" s="22"/>
    </row>
    <row r="95" spans="1:9">
      <c r="A95" s="21"/>
      <c r="B95" s="21"/>
      <c r="C95" s="21"/>
      <c r="D95" s="21"/>
      <c r="E95" s="21"/>
      <c r="F95" s="22"/>
      <c r="G95" s="21"/>
      <c r="H95" s="21"/>
      <c r="I95" s="22"/>
    </row>
    <row r="96" spans="1:9">
      <c r="A96" s="21"/>
      <c r="B96" s="21"/>
      <c r="C96" s="21"/>
      <c r="D96" s="21"/>
      <c r="E96" s="21"/>
      <c r="F96" s="22"/>
      <c r="G96" s="21"/>
      <c r="H96" s="21"/>
      <c r="I96" s="22"/>
    </row>
    <row r="97" spans="1:9">
      <c r="A97" s="21"/>
      <c r="B97" s="21"/>
      <c r="C97" s="21"/>
      <c r="D97" s="21"/>
      <c r="E97" s="21"/>
      <c r="F97" s="22"/>
      <c r="G97" s="21"/>
      <c r="H97" s="21"/>
      <c r="I97" s="22"/>
    </row>
    <row r="98" spans="1:9">
      <c r="A98" s="21"/>
      <c r="B98" s="21"/>
      <c r="C98" s="21"/>
      <c r="D98" s="21"/>
      <c r="E98" s="21"/>
      <c r="F98" s="22"/>
      <c r="G98" s="21"/>
      <c r="H98" s="21"/>
      <c r="I98" s="22"/>
    </row>
    <row r="99" spans="1:9">
      <c r="A99" s="21"/>
      <c r="B99" s="21"/>
      <c r="C99" s="21"/>
      <c r="D99" s="21"/>
      <c r="E99" s="21"/>
      <c r="F99" s="22"/>
      <c r="G99" s="21"/>
      <c r="H99" s="21"/>
      <c r="I99" s="22"/>
    </row>
    <row r="100" spans="1: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4" activePane="bottomRight" state="frozen"/>
      <selection pane="bottomRight" activeCell="A16" sqref="A16:I23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JLL</v>
      </c>
      <c r="B1" s="47"/>
      <c r="C1" s="47"/>
      <c r="D1" s="48" t="s">
        <v>14</v>
      </c>
      <c r="E1" s="48"/>
      <c r="F1" s="48"/>
      <c r="G1" s="46" t="s">
        <v>15</v>
      </c>
      <c r="H1" s="46"/>
      <c r="I1" s="46"/>
    </row>
    <row r="2" spans="1:9" ht="19.5" customHeight="1">
      <c r="A2" s="49" t="s">
        <v>2</v>
      </c>
      <c r="B2" s="4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23">Sites[Site]</f>
        <v>Bullhead</v>
      </c>
      <c r="B4" s="9" t="str" cm="1">
        <f t="array" ref="B4:B23">Sites[State]</f>
        <v>AZ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75">
      <c r="A5" s="17" t="str">
        <v>Peoria</v>
      </c>
      <c r="B5" s="10" t="str">
        <v>AZ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75">
      <c r="A6" s="12" t="str">
        <v>Tucson</v>
      </c>
      <c r="B6" s="9" t="str">
        <v>AZ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SUM(Jul!H6, Aug!H6, Sep!H6)</f>
        <v>0</v>
      </c>
      <c r="I6" s="16" t="str">
        <f t="shared" ref="I6:I15" si="2">IFERROR(H6/G6, "")</f>
        <v/>
      </c>
    </row>
    <row r="7" spans="1:9" ht="15.75">
      <c r="A7" s="17" t="str">
        <v>Hialeah</v>
      </c>
      <c r="B7" s="10" t="str">
        <v>FL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/>
      <c r="H7" s="20">
        <f>SUM(Jul!H7, Aug!H7, Sep!H7)</f>
        <v>0</v>
      </c>
      <c r="I7" s="19" t="str">
        <f t="shared" si="2"/>
        <v/>
      </c>
    </row>
    <row r="8" spans="1:9" ht="15.75">
      <c r="A8" s="12" t="str">
        <v>Jacksonville</v>
      </c>
      <c r="B8" s="9" t="str">
        <v>FL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75">
      <c r="A9" s="17" t="str">
        <v>Miami Gardens</v>
      </c>
      <c r="B9" s="10" t="str">
        <v>FL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5.75">
      <c r="A10" s="12" t="str">
        <v>Fort Myers</v>
      </c>
      <c r="B10" s="9" t="str">
        <v>FL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75">
      <c r="A11" s="17" t="str">
        <v>Orlando</v>
      </c>
      <c r="B11" s="10" t="str">
        <v>FL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20"/>
      <c r="H11" s="20">
        <f>SUM(Jul!H11, Aug!H11, Sep!H11)</f>
        <v>0</v>
      </c>
      <c r="I11" s="19" t="str">
        <f t="shared" si="2"/>
        <v/>
      </c>
    </row>
    <row r="12" spans="1:9" ht="15.75">
      <c r="A12" s="12" t="str">
        <v>Port St. Lucie</v>
      </c>
      <c r="B12" s="9" t="str">
        <v>FL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75">
      <c r="A13" s="17" t="str">
        <v>Tampa</v>
      </c>
      <c r="B13" s="10" t="str">
        <v>FL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/>
      <c r="H13" s="20">
        <f>SUM(Jul!H13, Aug!H13, Sep!H13)</f>
        <v>0</v>
      </c>
      <c r="I13" s="19" t="str">
        <f t="shared" si="2"/>
        <v/>
      </c>
    </row>
    <row r="14" spans="1:9" ht="15.75">
      <c r="A14" s="12" t="str">
        <v>Roswell</v>
      </c>
      <c r="B14" s="9" t="str">
        <v>GA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5.75">
      <c r="A15" s="17" t="str">
        <v>Charlotte</v>
      </c>
      <c r="B15" s="10" t="str">
        <v>NC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20"/>
      <c r="H15" s="20">
        <f>SUM(Jul!H15, Aug!H15, Sep!H15)</f>
        <v>0</v>
      </c>
      <c r="I15" s="19" t="str">
        <f t="shared" si="2"/>
        <v/>
      </c>
    </row>
    <row r="16" spans="1:9" ht="15.75">
      <c r="A16" s="12" t="str">
        <v>Raleigh</v>
      </c>
      <c r="B16" s="9" t="str">
        <v>NC</v>
      </c>
      <c r="C16" s="24">
        <f>SUM(Jul!C16, Aug!C16, Sep!C16)</f>
        <v>0</v>
      </c>
      <c r="D16" s="13">
        <f>SUM(Jul!D16, Aug!D16, Sep!D16)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/>
      <c r="H16" s="15">
        <f>SUM(Jul!H16, Aug!H16, Sep!H16)</f>
        <v>0</v>
      </c>
      <c r="I16" s="16" t="str">
        <f t="shared" ref="I16:I17" si="5">IFERROR(H16/G16, "")</f>
        <v/>
      </c>
    </row>
    <row r="17" spans="1:9" ht="15.75">
      <c r="A17" s="17" t="str">
        <v>Cordova</v>
      </c>
      <c r="B17" s="10" t="str">
        <v>TN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20"/>
      <c r="H17" s="20">
        <f>SUM(Jul!H17, Aug!H17, Sep!H17)</f>
        <v>0</v>
      </c>
      <c r="I17" s="19" t="str">
        <f t="shared" si="5"/>
        <v/>
      </c>
    </row>
    <row r="18" spans="1:9" ht="12.75" customHeight="1">
      <c r="A18" s="12" t="str">
        <v>Austin</v>
      </c>
      <c r="B18" s="9" t="str">
        <v>TX</v>
      </c>
      <c r="C18" s="24">
        <f>SUM(Jul!C18, Aug!C18, Sep!C18)</f>
        <v>0</v>
      </c>
      <c r="D18" s="13">
        <f>SUM(Jul!D18, Aug!D18, Sep!D18)</f>
        <v>0</v>
      </c>
      <c r="E18" s="13">
        <f t="shared" ref="E18:E23" si="6">IF(AND(ISNUMBER(C18),ISNUMBER(D18)), C18-D18, "")</f>
        <v>0</v>
      </c>
      <c r="F18" s="14" t="str">
        <f t="shared" ref="F18:F23" si="7">IFERROR(E18/D18, "")</f>
        <v/>
      </c>
      <c r="G18" s="15"/>
      <c r="H18" s="15">
        <f>SUM(Jul!H18, Aug!H18, Sep!H18)</f>
        <v>0</v>
      </c>
      <c r="I18" s="16" t="str">
        <f t="shared" ref="I18:I23" si="8">IFERROR(H18/G18, "")</f>
        <v/>
      </c>
    </row>
    <row r="19" spans="1:9" ht="15.75">
      <c r="A19" s="17" t="str">
        <v>Frisco</v>
      </c>
      <c r="B19" s="10" t="str">
        <v>TX</v>
      </c>
      <c r="C19" s="11">
        <f>SUM(Jul!C19, Aug!C19, Sep!C19)</f>
        <v>0</v>
      </c>
      <c r="D19" s="18">
        <f>SUM(Jul!D19, Aug!D19, Sep!D19)</f>
        <v>0</v>
      </c>
      <c r="E19" s="18">
        <f t="shared" si="6"/>
        <v>0</v>
      </c>
      <c r="F19" s="19" t="str">
        <f t="shared" si="7"/>
        <v/>
      </c>
      <c r="G19" s="20"/>
      <c r="H19" s="20">
        <f>SUM(Jul!H19, Aug!H19, Sep!H19)</f>
        <v>0</v>
      </c>
      <c r="I19" s="19" t="str">
        <f t="shared" si="8"/>
        <v/>
      </c>
    </row>
    <row r="20" spans="1:9" ht="15.75">
      <c r="A20" s="12" t="str">
        <v>Houston</v>
      </c>
      <c r="B20" s="9" t="str">
        <v>TX</v>
      </c>
      <c r="C20" s="24">
        <f>SUM(Jul!C20, Aug!C20, Sep!C20)</f>
        <v>0</v>
      </c>
      <c r="D20" s="13">
        <f>SUM(Jul!D20, Aug!D20, Sep!D20)</f>
        <v>0</v>
      </c>
      <c r="E20" s="13">
        <f t="shared" si="6"/>
        <v>0</v>
      </c>
      <c r="F20" s="14" t="str">
        <f t="shared" si="7"/>
        <v/>
      </c>
      <c r="G20" s="15"/>
      <c r="H20" s="15">
        <f>SUM(Jul!H20, Aug!H20, Sep!H20)</f>
        <v>0</v>
      </c>
      <c r="I20" s="16" t="str">
        <f t="shared" si="8"/>
        <v/>
      </c>
    </row>
    <row r="21" spans="1:9" ht="15.75">
      <c r="A21" s="17" t="str">
        <v>Plano Bldg A</v>
      </c>
      <c r="B21" s="10" t="str">
        <v>TX</v>
      </c>
      <c r="C21" s="11">
        <f>SUM(Jul!C21, Aug!C21, Sep!C21)</f>
        <v>0</v>
      </c>
      <c r="D21" s="18">
        <f>SUM(Jul!D21, Aug!D21, Sep!D21)</f>
        <v>0</v>
      </c>
      <c r="E21" s="18">
        <f t="shared" si="6"/>
        <v>0</v>
      </c>
      <c r="F21" s="19" t="str">
        <f t="shared" si="7"/>
        <v/>
      </c>
      <c r="G21" s="20"/>
      <c r="H21" s="20">
        <f>SUM(Jul!H21, Aug!H21, Sep!H21)</f>
        <v>0</v>
      </c>
      <c r="I21" s="19" t="str">
        <f t="shared" si="8"/>
        <v/>
      </c>
    </row>
    <row r="22" spans="1:9" ht="15.75">
      <c r="A22" s="12" t="str">
        <v>Plano Bldg B</v>
      </c>
      <c r="B22" s="9" t="str">
        <v>TX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/>
      <c r="H22" s="15">
        <f>SUM(Jul!H22, Aug!H22, Sep!H22)</f>
        <v>0</v>
      </c>
      <c r="I22" s="16" t="str">
        <f t="shared" si="8"/>
        <v/>
      </c>
    </row>
    <row r="23" spans="1:9" ht="15.75">
      <c r="A23" s="17" t="str">
        <v>Plano Bldg C</v>
      </c>
      <c r="B23" s="10" t="str">
        <v>TX</v>
      </c>
      <c r="C23" s="11">
        <f>SUM(Jul!C23, Aug!C23, Sep!C23)</f>
        <v>0</v>
      </c>
      <c r="D23" s="18">
        <f>SUM(Jul!D23, Aug!D23, Sep!D23)</f>
        <v>0</v>
      </c>
      <c r="E23" s="18">
        <f t="shared" si="6"/>
        <v>0</v>
      </c>
      <c r="F23" s="19" t="str">
        <f t="shared" si="7"/>
        <v/>
      </c>
      <c r="G23" s="20"/>
      <c r="H23" s="20">
        <f>SUM(Jul!H23, Aug!H23, Sep!H23)</f>
        <v>0</v>
      </c>
      <c r="I23" s="19" t="str">
        <f t="shared" si="8"/>
        <v/>
      </c>
    </row>
    <row r="24" spans="1:9">
      <c r="A24" s="21"/>
      <c r="B24" s="21"/>
      <c r="C24" s="21"/>
      <c r="D24" s="21"/>
      <c r="E24" s="21"/>
      <c r="F24" s="21"/>
      <c r="G24" s="21"/>
      <c r="H24" s="21"/>
      <c r="I24" s="21"/>
    </row>
    <row r="25" spans="1:9">
      <c r="A25" s="21"/>
      <c r="B25" s="21"/>
      <c r="C25" s="21"/>
      <c r="D25" s="21"/>
      <c r="E25" s="21"/>
      <c r="F25" s="21"/>
      <c r="G25" s="21"/>
      <c r="H25" s="21"/>
      <c r="I25" s="21"/>
    </row>
    <row r="26" spans="1:9">
      <c r="A26" s="21"/>
      <c r="B26" s="21"/>
      <c r="C26" s="21"/>
      <c r="D26" s="21"/>
      <c r="E26" s="21"/>
      <c r="F26" s="21"/>
      <c r="G26" s="21"/>
      <c r="H26" s="21"/>
      <c r="I26" s="21"/>
    </row>
    <row r="27" spans="1:9">
      <c r="A27" s="21"/>
      <c r="B27" s="21"/>
      <c r="C27" s="21"/>
      <c r="D27" s="21"/>
      <c r="E27" s="21"/>
      <c r="F27" s="21"/>
      <c r="G27" s="21"/>
      <c r="H27" s="21"/>
      <c r="I27" s="21"/>
    </row>
    <row r="28" spans="1:9">
      <c r="A28" s="21"/>
      <c r="B28" s="21"/>
      <c r="C28" s="21"/>
      <c r="D28" s="21"/>
      <c r="E28" s="21"/>
      <c r="F28" s="21"/>
      <c r="G28" s="21"/>
      <c r="H28" s="21"/>
      <c r="I28" s="21"/>
    </row>
    <row r="29" spans="1:9">
      <c r="A29" s="21"/>
      <c r="B29" s="21"/>
      <c r="C29" s="21"/>
      <c r="D29" s="21"/>
      <c r="E29" s="21"/>
      <c r="F29" s="21"/>
      <c r="G29" s="21"/>
      <c r="H29" s="21"/>
      <c r="I29" s="21"/>
    </row>
    <row r="30" spans="1:9">
      <c r="A30" s="21"/>
      <c r="B30" s="21"/>
      <c r="C30" s="21"/>
      <c r="D30" s="21"/>
      <c r="E30" s="21"/>
      <c r="F30" s="21"/>
      <c r="G30" s="21"/>
      <c r="H30" s="21"/>
      <c r="I30" s="21"/>
    </row>
    <row r="31" spans="1:9">
      <c r="A31" s="21"/>
      <c r="B31" s="21"/>
      <c r="C31" s="21"/>
      <c r="D31" s="21"/>
      <c r="E31" s="21"/>
      <c r="F31" s="21"/>
      <c r="G31" s="21"/>
      <c r="H31" s="21"/>
      <c r="I31" s="21"/>
    </row>
    <row r="32" spans="1:9">
      <c r="A32" s="21"/>
      <c r="B32" s="21"/>
      <c r="C32" s="21"/>
      <c r="D32" s="21"/>
      <c r="E32" s="21"/>
      <c r="F32" s="21"/>
      <c r="G32" s="21"/>
      <c r="H32" s="21"/>
      <c r="I32" s="21"/>
    </row>
    <row r="33" spans="1:9">
      <c r="A33" s="21"/>
      <c r="B33" s="21"/>
      <c r="C33" s="21"/>
      <c r="D33" s="21"/>
      <c r="E33" s="21"/>
      <c r="F33" s="22"/>
      <c r="G33" s="21"/>
      <c r="H33" s="21"/>
      <c r="I33" s="22"/>
    </row>
    <row r="34" spans="1:9">
      <c r="A34" s="21"/>
      <c r="B34" s="21"/>
      <c r="C34" s="21"/>
      <c r="D34" s="21"/>
      <c r="E34" s="21"/>
      <c r="F34" s="22"/>
      <c r="G34" s="21"/>
      <c r="H34" s="21"/>
      <c r="I34" s="22"/>
    </row>
    <row r="35" spans="1:9">
      <c r="A35" s="21"/>
      <c r="B35" s="21"/>
      <c r="C35" s="21"/>
      <c r="D35" s="21"/>
      <c r="E35" s="21"/>
      <c r="F35" s="22"/>
      <c r="G35" s="21"/>
      <c r="H35" s="21"/>
      <c r="I35" s="22"/>
    </row>
    <row r="36" spans="1:9">
      <c r="A36" s="21"/>
      <c r="B36" s="21"/>
      <c r="C36" s="21"/>
      <c r="D36" s="21"/>
      <c r="E36" s="21"/>
      <c r="F36" s="22"/>
      <c r="G36" s="21"/>
      <c r="H36" s="21"/>
      <c r="I36" s="22"/>
    </row>
    <row r="37" spans="1:9">
      <c r="A37" s="21"/>
      <c r="B37" s="21"/>
      <c r="C37" s="21"/>
      <c r="D37" s="21"/>
      <c r="E37" s="21"/>
      <c r="F37" s="22"/>
      <c r="G37" s="21"/>
      <c r="H37" s="21"/>
      <c r="I37" s="22"/>
    </row>
    <row r="38" spans="1:9">
      <c r="A38" s="21"/>
      <c r="B38" s="21"/>
      <c r="C38" s="21"/>
      <c r="D38" s="21"/>
      <c r="E38" s="21"/>
      <c r="F38" s="22"/>
      <c r="G38" s="21"/>
      <c r="H38" s="21"/>
      <c r="I38" s="22"/>
    </row>
    <row r="39" spans="1:9">
      <c r="A39" s="21"/>
      <c r="B39" s="21"/>
      <c r="C39" s="21"/>
      <c r="D39" s="21"/>
      <c r="E39" s="21"/>
      <c r="F39" s="22"/>
      <c r="G39" s="21"/>
      <c r="H39" s="21"/>
      <c r="I39" s="22"/>
    </row>
    <row r="40" spans="1:9">
      <c r="A40" s="21"/>
      <c r="B40" s="21"/>
      <c r="C40" s="21"/>
      <c r="D40" s="21"/>
      <c r="E40" s="21"/>
      <c r="F40" s="22"/>
      <c r="G40" s="21"/>
      <c r="H40" s="21"/>
      <c r="I40" s="22"/>
    </row>
    <row r="41" spans="1:9">
      <c r="A41" s="21"/>
      <c r="B41" s="21"/>
      <c r="C41" s="21"/>
      <c r="D41" s="21"/>
      <c r="E41" s="21"/>
      <c r="F41" s="22"/>
      <c r="G41" s="21"/>
      <c r="H41" s="21"/>
      <c r="I41" s="22"/>
    </row>
    <row r="42" spans="1:9">
      <c r="A42" s="21"/>
      <c r="B42" s="21"/>
      <c r="C42" s="21"/>
      <c r="D42" s="21"/>
      <c r="E42" s="21"/>
      <c r="F42" s="22"/>
      <c r="G42" s="21"/>
      <c r="H42" s="21"/>
      <c r="I42" s="22"/>
    </row>
    <row r="43" spans="1:9">
      <c r="A43" s="21"/>
      <c r="B43" s="21"/>
      <c r="C43" s="21"/>
      <c r="D43" s="21"/>
      <c r="E43" s="21"/>
      <c r="F43" s="22"/>
      <c r="G43" s="21"/>
      <c r="H43" s="21"/>
      <c r="I43" s="22"/>
    </row>
    <row r="44" spans="1:9">
      <c r="A44" s="21"/>
      <c r="B44" s="21"/>
      <c r="C44" s="21"/>
      <c r="D44" s="21"/>
      <c r="E44" s="21"/>
      <c r="F44" s="22"/>
      <c r="G44" s="21"/>
      <c r="H44" s="21"/>
      <c r="I44" s="22"/>
    </row>
    <row r="45" spans="1:9">
      <c r="A45" s="21"/>
      <c r="B45" s="21"/>
      <c r="C45" s="21"/>
      <c r="D45" s="21"/>
      <c r="E45" s="21"/>
      <c r="F45" s="22"/>
      <c r="G45" s="21"/>
      <c r="H45" s="21"/>
      <c r="I45" s="22"/>
    </row>
    <row r="46" spans="1:9">
      <c r="A46" s="21"/>
      <c r="B46" s="21"/>
      <c r="C46" s="21"/>
      <c r="D46" s="21"/>
      <c r="E46" s="21"/>
      <c r="F46" s="22"/>
      <c r="G46" s="21"/>
      <c r="H46" s="21"/>
      <c r="I46" s="22"/>
    </row>
    <row r="47" spans="1:9">
      <c r="A47" s="21"/>
      <c r="B47" s="21"/>
      <c r="C47" s="21"/>
      <c r="D47" s="21"/>
      <c r="E47" s="21"/>
      <c r="F47" s="22"/>
      <c r="G47" s="21"/>
      <c r="H47" s="21"/>
      <c r="I47" s="22"/>
    </row>
    <row r="48" spans="1:9">
      <c r="A48" s="21"/>
      <c r="B48" s="21"/>
      <c r="C48" s="21"/>
      <c r="D48" s="21"/>
      <c r="E48" s="21"/>
      <c r="F48" s="22"/>
      <c r="G48" s="21"/>
      <c r="H48" s="21"/>
      <c r="I48" s="22"/>
    </row>
    <row r="49" spans="1:9">
      <c r="A49" s="21"/>
      <c r="B49" s="21"/>
      <c r="C49" s="21"/>
      <c r="D49" s="21"/>
      <c r="E49" s="21"/>
      <c r="F49" s="22"/>
      <c r="G49" s="21"/>
      <c r="H49" s="21"/>
      <c r="I49" s="22"/>
    </row>
    <row r="50" spans="1:9">
      <c r="A50" s="21"/>
      <c r="B50" s="21"/>
      <c r="C50" s="21"/>
      <c r="D50" s="21"/>
      <c r="E50" s="21"/>
      <c r="F50" s="22"/>
      <c r="G50" s="21"/>
      <c r="H50" s="21"/>
      <c r="I50" s="22"/>
    </row>
    <row r="51" spans="1:9">
      <c r="A51" s="21"/>
      <c r="B51" s="21"/>
      <c r="C51" s="21"/>
      <c r="D51" s="21"/>
      <c r="E51" s="21"/>
      <c r="F51" s="22"/>
      <c r="G51" s="21"/>
      <c r="H51" s="21"/>
      <c r="I51" s="22"/>
    </row>
    <row r="52" spans="1:9">
      <c r="A52" s="21"/>
      <c r="B52" s="21"/>
      <c r="C52" s="21"/>
      <c r="D52" s="21"/>
      <c r="E52" s="21"/>
      <c r="F52" s="22"/>
      <c r="G52" s="21"/>
      <c r="H52" s="21"/>
      <c r="I52" s="22"/>
    </row>
    <row r="53" spans="1:9">
      <c r="A53" s="21"/>
      <c r="B53" s="21"/>
      <c r="C53" s="21"/>
      <c r="D53" s="21"/>
      <c r="E53" s="21"/>
      <c r="F53" s="22"/>
      <c r="G53" s="21"/>
      <c r="H53" s="21"/>
      <c r="I53" s="22"/>
    </row>
    <row r="54" spans="1:9">
      <c r="A54" s="21"/>
      <c r="B54" s="21"/>
      <c r="C54" s="21"/>
      <c r="D54" s="21"/>
      <c r="E54" s="21"/>
      <c r="F54" s="22"/>
      <c r="G54" s="21"/>
      <c r="H54" s="21"/>
      <c r="I54" s="22"/>
    </row>
    <row r="55" spans="1:9">
      <c r="A55" s="21"/>
      <c r="B55" s="21"/>
      <c r="C55" s="21"/>
      <c r="D55" s="21"/>
      <c r="E55" s="21"/>
      <c r="F55" s="22"/>
      <c r="G55" s="21"/>
      <c r="H55" s="21"/>
      <c r="I55" s="22"/>
    </row>
    <row r="56" spans="1:9">
      <c r="A56" s="21"/>
      <c r="B56" s="21"/>
      <c r="C56" s="21"/>
      <c r="D56" s="21"/>
      <c r="E56" s="21"/>
      <c r="F56" s="22"/>
      <c r="G56" s="21"/>
      <c r="H56" s="21"/>
      <c r="I56" s="22"/>
    </row>
    <row r="57" spans="1:9">
      <c r="A57" s="21"/>
      <c r="B57" s="21"/>
      <c r="C57" s="21"/>
      <c r="D57" s="21"/>
      <c r="E57" s="21"/>
      <c r="F57" s="22"/>
      <c r="G57" s="21"/>
      <c r="H57" s="21"/>
      <c r="I57" s="22"/>
    </row>
    <row r="58" spans="1:9">
      <c r="A58" s="21"/>
      <c r="B58" s="21"/>
      <c r="C58" s="21"/>
      <c r="D58" s="21"/>
      <c r="E58" s="21"/>
      <c r="F58" s="22"/>
      <c r="G58" s="21"/>
      <c r="H58" s="21"/>
      <c r="I58" s="22"/>
    </row>
    <row r="59" spans="1:9">
      <c r="A59" s="21"/>
      <c r="B59" s="21"/>
      <c r="C59" s="21"/>
      <c r="D59" s="21"/>
      <c r="E59" s="21"/>
      <c r="F59" s="22"/>
      <c r="G59" s="21"/>
      <c r="H59" s="21"/>
      <c r="I59" s="22"/>
    </row>
    <row r="60" spans="1:9">
      <c r="A60" s="21"/>
      <c r="B60" s="21"/>
      <c r="C60" s="21"/>
      <c r="D60" s="21"/>
      <c r="E60" s="21"/>
      <c r="F60" s="22"/>
      <c r="G60" s="21"/>
      <c r="H60" s="21"/>
      <c r="I60" s="22"/>
    </row>
    <row r="61" spans="1:9">
      <c r="A61" s="21"/>
      <c r="B61" s="21"/>
      <c r="C61" s="21"/>
      <c r="D61" s="21"/>
      <c r="E61" s="21"/>
      <c r="F61" s="22"/>
      <c r="G61" s="21"/>
      <c r="H61" s="21"/>
      <c r="I61" s="22"/>
    </row>
    <row r="62" spans="1:9">
      <c r="A62" s="21"/>
      <c r="B62" s="21"/>
      <c r="C62" s="21"/>
      <c r="D62" s="21"/>
      <c r="E62" s="21"/>
      <c r="F62" s="22"/>
      <c r="G62" s="21"/>
      <c r="H62" s="21"/>
      <c r="I62" s="22"/>
    </row>
    <row r="63" spans="1:9">
      <c r="A63" s="21"/>
      <c r="B63" s="21"/>
      <c r="C63" s="21"/>
      <c r="D63" s="21"/>
      <c r="E63" s="21"/>
      <c r="F63" s="22"/>
      <c r="G63" s="21"/>
      <c r="H63" s="21"/>
      <c r="I63" s="22"/>
    </row>
    <row r="64" spans="1:9">
      <c r="A64" s="21"/>
      <c r="B64" s="21"/>
      <c r="C64" s="21"/>
      <c r="D64" s="21"/>
      <c r="E64" s="21"/>
      <c r="F64" s="22"/>
      <c r="G64" s="21"/>
      <c r="H64" s="21"/>
      <c r="I64" s="22"/>
    </row>
    <row r="65" spans="1:9">
      <c r="A65" s="21"/>
      <c r="B65" s="21"/>
      <c r="C65" s="21"/>
      <c r="D65" s="21"/>
      <c r="E65" s="21"/>
      <c r="F65" s="22"/>
      <c r="G65" s="21"/>
      <c r="H65" s="21"/>
      <c r="I65" s="22"/>
    </row>
    <row r="66" spans="1:9">
      <c r="A66" s="21"/>
      <c r="B66" s="21"/>
      <c r="C66" s="21"/>
      <c r="D66" s="21"/>
      <c r="E66" s="21"/>
      <c r="F66" s="22"/>
      <c r="G66" s="21"/>
      <c r="H66" s="21"/>
      <c r="I66" s="22"/>
    </row>
    <row r="67" spans="1:9">
      <c r="A67" s="21"/>
      <c r="B67" s="21"/>
      <c r="C67" s="21"/>
      <c r="D67" s="21"/>
      <c r="E67" s="21"/>
      <c r="F67" s="22"/>
      <c r="G67" s="21"/>
      <c r="H67" s="21"/>
      <c r="I67" s="22"/>
    </row>
    <row r="68" spans="1:9">
      <c r="A68" s="21"/>
      <c r="B68" s="21"/>
      <c r="C68" s="21"/>
      <c r="D68" s="21"/>
      <c r="E68" s="21"/>
      <c r="F68" s="22"/>
      <c r="G68" s="21"/>
      <c r="H68" s="21"/>
      <c r="I68" s="22"/>
    </row>
    <row r="69" spans="1:9">
      <c r="A69" s="21"/>
      <c r="B69" s="21"/>
      <c r="C69" s="21"/>
      <c r="D69" s="21"/>
      <c r="E69" s="21"/>
      <c r="F69" s="22"/>
      <c r="G69" s="21"/>
      <c r="H69" s="21"/>
      <c r="I69" s="22"/>
    </row>
    <row r="70" spans="1:9">
      <c r="A70" s="21"/>
      <c r="B70" s="21"/>
      <c r="C70" s="21"/>
      <c r="D70" s="21"/>
      <c r="E70" s="21"/>
      <c r="F70" s="22"/>
      <c r="G70" s="21"/>
      <c r="H70" s="21"/>
      <c r="I70" s="22"/>
    </row>
    <row r="71" spans="1:9">
      <c r="A71" s="21"/>
      <c r="B71" s="21"/>
      <c r="C71" s="21"/>
      <c r="D71" s="21"/>
      <c r="E71" s="21"/>
      <c r="F71" s="22"/>
      <c r="G71" s="21"/>
      <c r="H71" s="21"/>
      <c r="I71" s="22"/>
    </row>
    <row r="72" spans="1:9">
      <c r="A72" s="21"/>
      <c r="B72" s="21"/>
      <c r="C72" s="21"/>
      <c r="D72" s="21"/>
      <c r="E72" s="21"/>
      <c r="F72" s="22"/>
      <c r="G72" s="21"/>
      <c r="H72" s="21"/>
      <c r="I72" s="22"/>
    </row>
    <row r="73" spans="1:9">
      <c r="A73" s="21"/>
      <c r="B73" s="21"/>
      <c r="C73" s="21"/>
      <c r="D73" s="21"/>
      <c r="E73" s="21"/>
      <c r="F73" s="22"/>
      <c r="G73" s="21"/>
      <c r="H73" s="21"/>
      <c r="I73" s="22"/>
    </row>
    <row r="74" spans="1:9">
      <c r="A74" s="21"/>
      <c r="B74" s="21"/>
      <c r="C74" s="21"/>
      <c r="D74" s="21"/>
      <c r="E74" s="21"/>
      <c r="F74" s="22"/>
      <c r="G74" s="21"/>
      <c r="H74" s="21"/>
      <c r="I74" s="22"/>
    </row>
    <row r="75" spans="1:9">
      <c r="A75" s="21"/>
      <c r="B75" s="21"/>
      <c r="C75" s="21"/>
      <c r="D75" s="21"/>
      <c r="E75" s="21"/>
      <c r="F75" s="22"/>
      <c r="G75" s="21"/>
      <c r="H75" s="21"/>
      <c r="I75" s="22"/>
    </row>
    <row r="76" spans="1:9">
      <c r="A76" s="21"/>
      <c r="B76" s="21"/>
      <c r="C76" s="21"/>
      <c r="D76" s="21"/>
      <c r="E76" s="21"/>
      <c r="F76" s="22"/>
      <c r="G76" s="21"/>
      <c r="H76" s="21"/>
      <c r="I76" s="22"/>
    </row>
    <row r="77" spans="1:9">
      <c r="A77" s="21"/>
      <c r="B77" s="21"/>
      <c r="C77" s="21"/>
      <c r="D77" s="21"/>
      <c r="E77" s="21"/>
      <c r="F77" s="22"/>
      <c r="G77" s="21"/>
      <c r="H77" s="21"/>
      <c r="I77" s="22"/>
    </row>
    <row r="78" spans="1:9">
      <c r="A78" s="21"/>
      <c r="B78" s="21"/>
      <c r="C78" s="21"/>
      <c r="D78" s="21"/>
      <c r="E78" s="21"/>
      <c r="F78" s="22"/>
      <c r="G78" s="21"/>
      <c r="H78" s="21"/>
      <c r="I78" s="22"/>
    </row>
    <row r="79" spans="1:9">
      <c r="A79" s="21"/>
      <c r="B79" s="21"/>
      <c r="C79" s="21"/>
      <c r="D79" s="21"/>
      <c r="E79" s="21"/>
      <c r="F79" s="22"/>
      <c r="G79" s="21"/>
      <c r="H79" s="21"/>
      <c r="I79" s="22"/>
    </row>
    <row r="80" spans="1:9">
      <c r="A80" s="21"/>
      <c r="B80" s="21"/>
      <c r="C80" s="21"/>
      <c r="D80" s="21"/>
      <c r="E80" s="21"/>
      <c r="F80" s="22"/>
      <c r="G80" s="21"/>
      <c r="H80" s="21"/>
      <c r="I80" s="22"/>
    </row>
    <row r="81" spans="1:9">
      <c r="A81" s="21"/>
      <c r="B81" s="21"/>
      <c r="C81" s="21"/>
      <c r="D81" s="21"/>
      <c r="E81" s="21"/>
      <c r="F81" s="22"/>
      <c r="G81" s="21"/>
      <c r="H81" s="21"/>
      <c r="I81" s="22"/>
    </row>
    <row r="82" spans="1:9">
      <c r="A82" s="21"/>
      <c r="B82" s="21"/>
      <c r="C82" s="21"/>
      <c r="D82" s="21"/>
      <c r="E82" s="21"/>
      <c r="F82" s="22"/>
      <c r="G82" s="21"/>
      <c r="H82" s="21"/>
      <c r="I82" s="22"/>
    </row>
    <row r="83" spans="1:9">
      <c r="A83" s="21"/>
      <c r="B83" s="21"/>
      <c r="C83" s="21"/>
      <c r="D83" s="21"/>
      <c r="E83" s="21"/>
      <c r="F83" s="22"/>
      <c r="G83" s="21"/>
      <c r="H83" s="21"/>
      <c r="I83" s="22"/>
    </row>
    <row r="84" spans="1:9">
      <c r="A84" s="21"/>
      <c r="B84" s="21"/>
      <c r="C84" s="21"/>
      <c r="D84" s="21"/>
      <c r="E84" s="21"/>
      <c r="F84" s="22"/>
      <c r="G84" s="21"/>
      <c r="H84" s="21"/>
      <c r="I84" s="22"/>
    </row>
    <row r="85" spans="1:9">
      <c r="A85" s="21"/>
      <c r="B85" s="21"/>
      <c r="C85" s="21"/>
      <c r="D85" s="21"/>
      <c r="E85" s="21"/>
      <c r="F85" s="22"/>
      <c r="G85" s="21"/>
      <c r="H85" s="21"/>
      <c r="I85" s="22"/>
    </row>
    <row r="86" spans="1:9">
      <c r="A86" s="21"/>
      <c r="B86" s="21"/>
      <c r="C86" s="21"/>
      <c r="D86" s="21"/>
      <c r="E86" s="21"/>
      <c r="F86" s="22"/>
      <c r="G86" s="21"/>
      <c r="H86" s="21"/>
      <c r="I86" s="22"/>
    </row>
    <row r="87" spans="1:9">
      <c r="A87" s="21"/>
      <c r="B87" s="21"/>
      <c r="C87" s="21"/>
      <c r="D87" s="21"/>
      <c r="E87" s="21"/>
      <c r="F87" s="22"/>
      <c r="G87" s="21"/>
      <c r="H87" s="21"/>
      <c r="I87" s="22"/>
    </row>
    <row r="88" spans="1:9">
      <c r="A88" s="21"/>
      <c r="B88" s="21"/>
      <c r="C88" s="21"/>
      <c r="D88" s="21"/>
      <c r="E88" s="21"/>
      <c r="F88" s="22"/>
      <c r="G88" s="21"/>
      <c r="H88" s="21"/>
      <c r="I88" s="22"/>
    </row>
    <row r="89" spans="1:9">
      <c r="A89" s="21"/>
      <c r="B89" s="21"/>
      <c r="C89" s="21"/>
      <c r="D89" s="21"/>
      <c r="E89" s="21"/>
      <c r="F89" s="22"/>
      <c r="G89" s="21"/>
      <c r="H89" s="21"/>
      <c r="I89" s="22"/>
    </row>
    <row r="90" spans="1:9">
      <c r="A90" s="21"/>
      <c r="B90" s="21"/>
      <c r="C90" s="21"/>
      <c r="D90" s="21"/>
      <c r="E90" s="21"/>
      <c r="F90" s="22"/>
      <c r="G90" s="21"/>
      <c r="H90" s="21"/>
      <c r="I90" s="22"/>
    </row>
    <row r="91" spans="1:9">
      <c r="A91" s="21"/>
      <c r="B91" s="21"/>
      <c r="C91" s="21"/>
      <c r="D91" s="21"/>
      <c r="E91" s="21"/>
      <c r="F91" s="22"/>
      <c r="G91" s="21"/>
      <c r="H91" s="21"/>
      <c r="I91" s="22"/>
    </row>
    <row r="92" spans="1:9">
      <c r="A92" s="21"/>
      <c r="B92" s="21"/>
      <c r="C92" s="21"/>
      <c r="D92" s="21"/>
      <c r="E92" s="21"/>
      <c r="F92" s="22"/>
      <c r="G92" s="21"/>
      <c r="H92" s="21"/>
      <c r="I92" s="22"/>
    </row>
    <row r="93" spans="1:9">
      <c r="A93" s="21"/>
      <c r="B93" s="21"/>
      <c r="C93" s="21"/>
      <c r="D93" s="21"/>
      <c r="E93" s="21"/>
      <c r="F93" s="22"/>
      <c r="G93" s="21"/>
      <c r="H93" s="21"/>
      <c r="I93" s="22"/>
    </row>
    <row r="94" spans="1:9">
      <c r="A94" s="21"/>
      <c r="B94" s="21"/>
      <c r="C94" s="21"/>
      <c r="D94" s="21"/>
      <c r="E94" s="21"/>
      <c r="F94" s="22"/>
      <c r="G94" s="21"/>
      <c r="H94" s="21"/>
      <c r="I94" s="22"/>
    </row>
    <row r="95" spans="1:9">
      <c r="A95" s="21"/>
      <c r="B95" s="21"/>
      <c r="C95" s="21"/>
      <c r="D95" s="21"/>
      <c r="E95" s="21"/>
      <c r="F95" s="22"/>
      <c r="G95" s="21"/>
      <c r="H95" s="21"/>
      <c r="I95" s="22"/>
    </row>
    <row r="96" spans="1:9">
      <c r="A96" s="21"/>
      <c r="B96" s="21"/>
      <c r="C96" s="21"/>
      <c r="D96" s="21"/>
      <c r="E96" s="21"/>
      <c r="F96" s="22"/>
      <c r="G96" s="21"/>
      <c r="H96" s="21"/>
      <c r="I96" s="22"/>
    </row>
    <row r="97" spans="1:9">
      <c r="A97" s="21"/>
      <c r="B97" s="21"/>
      <c r="C97" s="21"/>
      <c r="D97" s="21"/>
      <c r="E97" s="21"/>
      <c r="F97" s="22"/>
      <c r="G97" s="21"/>
      <c r="H97" s="21"/>
      <c r="I97" s="22"/>
    </row>
    <row r="98" spans="1:9">
      <c r="A98" s="21"/>
      <c r="B98" s="21"/>
      <c r="C98" s="21"/>
      <c r="D98" s="21"/>
      <c r="E98" s="21"/>
      <c r="F98" s="22"/>
      <c r="G98" s="21"/>
      <c r="H98" s="21"/>
      <c r="I98" s="22"/>
    </row>
    <row r="99" spans="1:9">
      <c r="A99" s="21"/>
      <c r="B99" s="21"/>
      <c r="C99" s="21"/>
      <c r="D99" s="21"/>
      <c r="E99" s="21"/>
      <c r="F99" s="22"/>
      <c r="G99" s="21"/>
      <c r="H99" s="21"/>
      <c r="I99" s="22"/>
    </row>
    <row r="100" spans="1: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C4" activePane="bottomRight" state="frozen"/>
      <selection pane="bottomRight" activeCell="A16" sqref="A16:I23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JLL</v>
      </c>
      <c r="B1" s="47"/>
      <c r="C1" s="47"/>
      <c r="D1" s="48" t="s">
        <v>16</v>
      </c>
      <c r="E1" s="48"/>
      <c r="F1" s="48"/>
      <c r="G1" s="46" t="s">
        <v>17</v>
      </c>
      <c r="H1" s="46"/>
      <c r="I1" s="46"/>
    </row>
    <row r="2" spans="1:9" ht="19.5" customHeight="1">
      <c r="A2" s="49" t="s">
        <v>2</v>
      </c>
      <c r="B2" s="4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23">Sites[Site]</f>
        <v>Bullhead</v>
      </c>
      <c r="B4" s="9" t="str" cm="1">
        <f t="array" ref="B4:B23">Sites[State]</f>
        <v>AZ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>
      <c r="A5" s="17" t="str">
        <v>Peoria</v>
      </c>
      <c r="B5" s="10" t="str">
        <v>AZ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75">
      <c r="A6" s="12" t="str">
        <v>Tucson</v>
      </c>
      <c r="B6" s="9" t="str">
        <v>AZ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75">
      <c r="A7" s="17" t="str">
        <v>Hialeah</v>
      </c>
      <c r="B7" s="10" t="str">
        <v>FL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75">
      <c r="A8" s="12" t="str">
        <v>Jacksonville</v>
      </c>
      <c r="B8" s="9" t="str">
        <v>FL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75">
      <c r="A9" s="17" t="str">
        <v>Miami Gardens</v>
      </c>
      <c r="B9" s="10" t="str">
        <v>FL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75">
      <c r="A10" s="12" t="str">
        <v>Fort Myers</v>
      </c>
      <c r="B10" s="9" t="str">
        <v>FL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75">
      <c r="A11" s="17" t="str">
        <v>Orlando</v>
      </c>
      <c r="B11" s="10" t="str">
        <v>FL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75">
      <c r="A12" s="12" t="str">
        <v>Port St. Lucie</v>
      </c>
      <c r="B12" s="9" t="str">
        <v>FL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75">
      <c r="A13" s="17" t="str">
        <v>Tampa</v>
      </c>
      <c r="B13" s="10" t="str">
        <v>FL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75">
      <c r="A14" s="12" t="str">
        <v>Roswell</v>
      </c>
      <c r="B14" s="9" t="str">
        <v>GA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75">
      <c r="A15" s="17" t="str">
        <v>Charlotte</v>
      </c>
      <c r="B15" s="10" t="str">
        <v>NC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75">
      <c r="A16" s="12" t="str">
        <v>Raleigh</v>
      </c>
      <c r="B16" s="9" t="str">
        <v>NC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/>
      <c r="H16" s="15">
        <f>SUM(Oct!H16, Nov!H16, Dec!H16)</f>
        <v>0</v>
      </c>
      <c r="I16" s="16" t="str">
        <f t="shared" ref="I16:I17" si="5">IFERROR(H16/G16, "")</f>
        <v/>
      </c>
    </row>
    <row r="17" spans="1:9" ht="15.75">
      <c r="A17" s="17" t="str">
        <v>Cordova</v>
      </c>
      <c r="B17" s="10" t="str">
        <v>TN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>
      <c r="A18" s="12" t="str">
        <v>Austin</v>
      </c>
      <c r="B18" s="9" t="str">
        <v>TX</v>
      </c>
      <c r="C18" s="24">
        <f>SUM(Oct!C18, Nov!C18, Dec!C18)</f>
        <v>0</v>
      </c>
      <c r="D18" s="13">
        <f>SUM(Oct!D18, Nov!D18, Dec!D18)</f>
        <v>0</v>
      </c>
      <c r="E18" s="13">
        <f t="shared" ref="E18:E23" si="6">IF(AND(ISNUMBER(C18),ISNUMBER(D18)), C18-D18, "")</f>
        <v>0</v>
      </c>
      <c r="F18" s="14" t="str">
        <f t="shared" ref="F18:F23" si="7">IFERROR(E18/D18, "")</f>
        <v/>
      </c>
      <c r="G18" s="15"/>
      <c r="H18" s="15">
        <f>SUM(Oct!H18, Nov!H18, Dec!H18)</f>
        <v>0</v>
      </c>
      <c r="I18" s="16" t="str">
        <f t="shared" ref="I18:I23" si="8">IFERROR(H18/G18, "")</f>
        <v/>
      </c>
    </row>
    <row r="19" spans="1:9" ht="15.75">
      <c r="A19" s="17" t="str">
        <v>Frisco</v>
      </c>
      <c r="B19" s="10" t="str">
        <v>TX</v>
      </c>
      <c r="C19" s="11">
        <f>SUM(Oct!C19, Nov!C19, Dec!C19)</f>
        <v>0</v>
      </c>
      <c r="D19" s="18">
        <f>SUM(Oct!D19, Nov!D19, Dec!D19)</f>
        <v>0</v>
      </c>
      <c r="E19" s="18">
        <f t="shared" si="6"/>
        <v>0</v>
      </c>
      <c r="F19" s="19" t="str">
        <f t="shared" si="7"/>
        <v/>
      </c>
      <c r="G19" s="20"/>
      <c r="H19" s="20">
        <f>SUM(Oct!H19, Nov!H19, Dec!H19)</f>
        <v>0</v>
      </c>
      <c r="I19" s="19" t="str">
        <f t="shared" si="8"/>
        <v/>
      </c>
    </row>
    <row r="20" spans="1:9" ht="15.75">
      <c r="A20" s="12" t="str">
        <v>Houston</v>
      </c>
      <c r="B20" s="9" t="str">
        <v>TX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/>
      <c r="H20" s="15">
        <f>SUM(Oct!H20, Nov!H20, Dec!H20)</f>
        <v>0</v>
      </c>
      <c r="I20" s="16" t="str">
        <f t="shared" si="8"/>
        <v/>
      </c>
    </row>
    <row r="21" spans="1:9" ht="15.75">
      <c r="A21" s="17" t="str">
        <v>Plano Bldg A</v>
      </c>
      <c r="B21" s="10" t="str">
        <v>TX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/>
      <c r="H21" s="20">
        <f>SUM(Oct!H21, Nov!H21, Dec!H21)</f>
        <v>0</v>
      </c>
      <c r="I21" s="19" t="str">
        <f t="shared" si="8"/>
        <v/>
      </c>
    </row>
    <row r="22" spans="1:9" ht="15.75">
      <c r="A22" s="12" t="str">
        <v>Plano Bldg B</v>
      </c>
      <c r="B22" s="9" t="str">
        <v>TX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/>
      <c r="H22" s="15">
        <f>SUM(Oct!H22, Nov!H22, Dec!H22)</f>
        <v>0</v>
      </c>
      <c r="I22" s="16" t="str">
        <f t="shared" si="8"/>
        <v/>
      </c>
    </row>
    <row r="23" spans="1:9" ht="15.75">
      <c r="A23" s="17" t="str">
        <v>Plano Bldg C</v>
      </c>
      <c r="B23" s="10" t="str">
        <v>TX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>
      <c r="A24" s="21"/>
      <c r="B24" s="21"/>
      <c r="C24" s="21"/>
      <c r="D24" s="21"/>
      <c r="E24" s="21"/>
      <c r="F24" s="21"/>
      <c r="G24" s="21"/>
      <c r="H24" s="21"/>
      <c r="I24" s="21"/>
    </row>
    <row r="25" spans="1:9">
      <c r="A25" s="21"/>
      <c r="B25" s="21"/>
      <c r="C25" s="21"/>
      <c r="D25" s="21"/>
      <c r="E25" s="21"/>
      <c r="F25" s="21"/>
      <c r="G25" s="21"/>
      <c r="H25" s="21"/>
      <c r="I25" s="21"/>
    </row>
    <row r="26" spans="1:9">
      <c r="A26" s="21"/>
      <c r="B26" s="21"/>
      <c r="C26" s="21"/>
      <c r="D26" s="21"/>
      <c r="E26" s="21"/>
      <c r="F26" s="21"/>
      <c r="G26" s="21"/>
      <c r="H26" s="21"/>
      <c r="I26" s="21"/>
    </row>
    <row r="27" spans="1:9">
      <c r="A27" s="21"/>
      <c r="B27" s="21"/>
      <c r="C27" s="21"/>
      <c r="D27" s="21"/>
      <c r="E27" s="21"/>
      <c r="F27" s="21"/>
      <c r="G27" s="21"/>
      <c r="H27" s="21"/>
      <c r="I27" s="21"/>
    </row>
    <row r="28" spans="1:9">
      <c r="A28" s="21"/>
      <c r="B28" s="21"/>
      <c r="C28" s="21"/>
      <c r="D28" s="21"/>
      <c r="E28" s="21"/>
      <c r="F28" s="21"/>
      <c r="G28" s="21"/>
      <c r="H28" s="21"/>
      <c r="I28" s="21"/>
    </row>
    <row r="29" spans="1:9">
      <c r="A29" s="21"/>
      <c r="B29" s="21"/>
      <c r="C29" s="21"/>
      <c r="D29" s="21"/>
      <c r="E29" s="21"/>
      <c r="F29" s="21"/>
      <c r="G29" s="21"/>
      <c r="H29" s="21"/>
      <c r="I29" s="21"/>
    </row>
    <row r="30" spans="1:9">
      <c r="A30" s="21"/>
      <c r="B30" s="21"/>
      <c r="C30" s="21"/>
      <c r="D30" s="21"/>
      <c r="E30" s="21"/>
      <c r="F30" s="21"/>
      <c r="G30" s="21"/>
      <c r="H30" s="21"/>
      <c r="I30" s="21"/>
    </row>
    <row r="31" spans="1:9">
      <c r="A31" s="21"/>
      <c r="B31" s="21"/>
      <c r="C31" s="21"/>
      <c r="D31" s="21"/>
      <c r="E31" s="21"/>
      <c r="F31" s="21"/>
      <c r="G31" s="21"/>
      <c r="H31" s="21"/>
      <c r="I31" s="21"/>
    </row>
    <row r="32" spans="1:9">
      <c r="A32" s="21"/>
      <c r="B32" s="21"/>
      <c r="C32" s="21"/>
      <c r="D32" s="21"/>
      <c r="E32" s="21"/>
      <c r="F32" s="21"/>
      <c r="G32" s="21"/>
      <c r="H32" s="21"/>
      <c r="I32" s="21"/>
    </row>
    <row r="33" spans="1:9">
      <c r="A33" s="21"/>
      <c r="B33" s="21"/>
      <c r="C33" s="21"/>
      <c r="D33" s="21"/>
      <c r="E33" s="21"/>
      <c r="F33" s="22"/>
      <c r="G33" s="21"/>
      <c r="H33" s="21"/>
      <c r="I33" s="22"/>
    </row>
    <row r="34" spans="1:9">
      <c r="A34" s="21"/>
      <c r="B34" s="21"/>
      <c r="C34" s="21"/>
      <c r="D34" s="21"/>
      <c r="E34" s="21"/>
      <c r="F34" s="22"/>
      <c r="G34" s="21"/>
      <c r="H34" s="21"/>
      <c r="I34" s="22"/>
    </row>
    <row r="35" spans="1:9">
      <c r="A35" s="21"/>
      <c r="B35" s="21"/>
      <c r="C35" s="21"/>
      <c r="D35" s="21"/>
      <c r="E35" s="21"/>
      <c r="F35" s="22"/>
      <c r="G35" s="21"/>
      <c r="H35" s="21"/>
      <c r="I35" s="22"/>
    </row>
    <row r="36" spans="1:9">
      <c r="A36" s="21"/>
      <c r="B36" s="21"/>
      <c r="C36" s="21"/>
      <c r="D36" s="21"/>
      <c r="E36" s="21"/>
      <c r="F36" s="22"/>
      <c r="G36" s="21"/>
      <c r="H36" s="21"/>
      <c r="I36" s="22"/>
    </row>
    <row r="37" spans="1:9">
      <c r="A37" s="21"/>
      <c r="B37" s="21"/>
      <c r="C37" s="21"/>
      <c r="D37" s="21"/>
      <c r="E37" s="21"/>
      <c r="F37" s="22"/>
      <c r="G37" s="21"/>
      <c r="H37" s="21"/>
      <c r="I37" s="22"/>
    </row>
    <row r="38" spans="1:9">
      <c r="A38" s="21"/>
      <c r="B38" s="21"/>
      <c r="C38" s="21"/>
      <c r="D38" s="21"/>
      <c r="E38" s="21"/>
      <c r="F38" s="22"/>
      <c r="G38" s="21"/>
      <c r="H38" s="21"/>
      <c r="I38" s="22"/>
    </row>
    <row r="39" spans="1:9">
      <c r="A39" s="21"/>
      <c r="B39" s="21"/>
      <c r="C39" s="21"/>
      <c r="D39" s="21"/>
      <c r="E39" s="21"/>
      <c r="F39" s="22"/>
      <c r="G39" s="21"/>
      <c r="H39" s="21"/>
      <c r="I39" s="22"/>
    </row>
    <row r="40" spans="1:9">
      <c r="A40" s="21"/>
      <c r="B40" s="21"/>
      <c r="C40" s="21"/>
      <c r="D40" s="21"/>
      <c r="E40" s="21"/>
      <c r="F40" s="22"/>
      <c r="G40" s="21"/>
      <c r="H40" s="21"/>
      <c r="I40" s="22"/>
    </row>
    <row r="41" spans="1:9">
      <c r="A41" s="21"/>
      <c r="B41" s="21"/>
      <c r="C41" s="21"/>
      <c r="D41" s="21"/>
      <c r="E41" s="21"/>
      <c r="F41" s="22"/>
      <c r="G41" s="21"/>
      <c r="H41" s="21"/>
      <c r="I41" s="22"/>
    </row>
    <row r="42" spans="1:9">
      <c r="A42" s="21"/>
      <c r="B42" s="21"/>
      <c r="C42" s="21"/>
      <c r="D42" s="21"/>
      <c r="E42" s="21"/>
      <c r="F42" s="22"/>
      <c r="G42" s="21"/>
      <c r="H42" s="21"/>
      <c r="I42" s="22"/>
    </row>
    <row r="43" spans="1:9">
      <c r="A43" s="21"/>
      <c r="B43" s="21"/>
      <c r="C43" s="21"/>
      <c r="D43" s="21"/>
      <c r="E43" s="21"/>
      <c r="F43" s="22"/>
      <c r="G43" s="21"/>
      <c r="H43" s="21"/>
      <c r="I43" s="22"/>
    </row>
    <row r="44" spans="1:9">
      <c r="A44" s="21"/>
      <c r="B44" s="21"/>
      <c r="C44" s="21"/>
      <c r="D44" s="21"/>
      <c r="E44" s="21"/>
      <c r="F44" s="22"/>
      <c r="G44" s="21"/>
      <c r="H44" s="21"/>
      <c r="I44" s="22"/>
    </row>
    <row r="45" spans="1:9">
      <c r="A45" s="21"/>
      <c r="B45" s="21"/>
      <c r="C45" s="21"/>
      <c r="D45" s="21"/>
      <c r="E45" s="21"/>
      <c r="F45" s="22"/>
      <c r="G45" s="21"/>
      <c r="H45" s="21"/>
      <c r="I45" s="22"/>
    </row>
    <row r="46" spans="1:9">
      <c r="A46" s="21"/>
      <c r="B46" s="21"/>
      <c r="C46" s="21"/>
      <c r="D46" s="21"/>
      <c r="E46" s="21"/>
      <c r="F46" s="22"/>
      <c r="G46" s="21"/>
      <c r="H46" s="21"/>
      <c r="I46" s="22"/>
    </row>
    <row r="47" spans="1:9">
      <c r="A47" s="21"/>
      <c r="B47" s="21"/>
      <c r="C47" s="21"/>
      <c r="D47" s="21"/>
      <c r="E47" s="21"/>
      <c r="F47" s="22"/>
      <c r="G47" s="21"/>
      <c r="H47" s="21"/>
      <c r="I47" s="22"/>
    </row>
    <row r="48" spans="1:9">
      <c r="A48" s="21"/>
      <c r="B48" s="21"/>
      <c r="C48" s="21"/>
      <c r="D48" s="21"/>
      <c r="E48" s="21"/>
      <c r="F48" s="22"/>
      <c r="G48" s="21"/>
      <c r="H48" s="21"/>
      <c r="I48" s="22"/>
    </row>
    <row r="49" spans="1:9">
      <c r="A49" s="21"/>
      <c r="B49" s="21"/>
      <c r="C49" s="21"/>
      <c r="D49" s="21"/>
      <c r="E49" s="21"/>
      <c r="F49" s="22"/>
      <c r="G49" s="21"/>
      <c r="H49" s="21"/>
      <c r="I49" s="22"/>
    </row>
    <row r="50" spans="1:9">
      <c r="A50" s="21"/>
      <c r="B50" s="21"/>
      <c r="C50" s="21"/>
      <c r="D50" s="21"/>
      <c r="E50" s="21"/>
      <c r="F50" s="22"/>
      <c r="G50" s="21"/>
      <c r="H50" s="21"/>
      <c r="I50" s="22"/>
    </row>
    <row r="51" spans="1:9">
      <c r="A51" s="21"/>
      <c r="B51" s="21"/>
      <c r="C51" s="21"/>
      <c r="D51" s="21"/>
      <c r="E51" s="21"/>
      <c r="F51" s="22"/>
      <c r="G51" s="21"/>
      <c r="H51" s="21"/>
      <c r="I51" s="22"/>
    </row>
    <row r="52" spans="1:9">
      <c r="A52" s="21"/>
      <c r="B52" s="21"/>
      <c r="C52" s="21"/>
      <c r="D52" s="21"/>
      <c r="E52" s="21"/>
      <c r="F52" s="22"/>
      <c r="G52" s="21"/>
      <c r="H52" s="21"/>
      <c r="I52" s="22"/>
    </row>
    <row r="53" spans="1:9">
      <c r="A53" s="21"/>
      <c r="B53" s="21"/>
      <c r="C53" s="21"/>
      <c r="D53" s="21"/>
      <c r="E53" s="21"/>
      <c r="F53" s="22"/>
      <c r="G53" s="21"/>
      <c r="H53" s="21"/>
      <c r="I53" s="22"/>
    </row>
    <row r="54" spans="1:9">
      <c r="A54" s="21"/>
      <c r="B54" s="21"/>
      <c r="C54" s="21"/>
      <c r="D54" s="21"/>
      <c r="E54" s="21"/>
      <c r="F54" s="22"/>
      <c r="G54" s="21"/>
      <c r="H54" s="21"/>
      <c r="I54" s="22"/>
    </row>
    <row r="55" spans="1:9">
      <c r="A55" s="21"/>
      <c r="B55" s="21"/>
      <c r="C55" s="21"/>
      <c r="D55" s="21"/>
      <c r="E55" s="21"/>
      <c r="F55" s="22"/>
      <c r="G55" s="21"/>
      <c r="H55" s="21"/>
      <c r="I55" s="22"/>
    </row>
    <row r="56" spans="1:9">
      <c r="A56" s="21"/>
      <c r="B56" s="21"/>
      <c r="C56" s="21"/>
      <c r="D56" s="21"/>
      <c r="E56" s="21"/>
      <c r="F56" s="22"/>
      <c r="G56" s="21"/>
      <c r="H56" s="21"/>
      <c r="I56" s="22"/>
    </row>
    <row r="57" spans="1:9">
      <c r="A57" s="21"/>
      <c r="B57" s="21"/>
      <c r="C57" s="21"/>
      <c r="D57" s="21"/>
      <c r="E57" s="21"/>
      <c r="F57" s="22"/>
      <c r="G57" s="21"/>
      <c r="H57" s="21"/>
      <c r="I57" s="22"/>
    </row>
    <row r="58" spans="1:9">
      <c r="A58" s="21"/>
      <c r="B58" s="21"/>
      <c r="C58" s="21"/>
      <c r="D58" s="21"/>
      <c r="E58" s="21"/>
      <c r="F58" s="22"/>
      <c r="G58" s="21"/>
      <c r="H58" s="21"/>
      <c r="I58" s="22"/>
    </row>
    <row r="59" spans="1:9">
      <c r="A59" s="21"/>
      <c r="B59" s="21"/>
      <c r="C59" s="21"/>
      <c r="D59" s="21"/>
      <c r="E59" s="21"/>
      <c r="F59" s="22"/>
      <c r="G59" s="21"/>
      <c r="H59" s="21"/>
      <c r="I59" s="22"/>
    </row>
    <row r="60" spans="1:9">
      <c r="A60" s="21"/>
      <c r="B60" s="21"/>
      <c r="C60" s="21"/>
      <c r="D60" s="21"/>
      <c r="E60" s="21"/>
      <c r="F60" s="22"/>
      <c r="G60" s="21"/>
      <c r="H60" s="21"/>
      <c r="I60" s="22"/>
    </row>
    <row r="61" spans="1:9">
      <c r="A61" s="21"/>
      <c r="B61" s="21"/>
      <c r="C61" s="21"/>
      <c r="D61" s="21"/>
      <c r="E61" s="21"/>
      <c r="F61" s="22"/>
      <c r="G61" s="21"/>
      <c r="H61" s="21"/>
      <c r="I61" s="22"/>
    </row>
    <row r="62" spans="1:9">
      <c r="A62" s="21"/>
      <c r="B62" s="21"/>
      <c r="C62" s="21"/>
      <c r="D62" s="21"/>
      <c r="E62" s="21"/>
      <c r="F62" s="22"/>
      <c r="G62" s="21"/>
      <c r="H62" s="21"/>
      <c r="I62" s="22"/>
    </row>
    <row r="63" spans="1:9">
      <c r="A63" s="21"/>
      <c r="B63" s="21"/>
      <c r="C63" s="21"/>
      <c r="D63" s="21"/>
      <c r="E63" s="21"/>
      <c r="F63" s="22"/>
      <c r="G63" s="21"/>
      <c r="H63" s="21"/>
      <c r="I63" s="22"/>
    </row>
    <row r="64" spans="1:9">
      <c r="A64" s="21"/>
      <c r="B64" s="21"/>
      <c r="C64" s="21"/>
      <c r="D64" s="21"/>
      <c r="E64" s="21"/>
      <c r="F64" s="22"/>
      <c r="G64" s="21"/>
      <c r="H64" s="21"/>
      <c r="I64" s="22"/>
    </row>
    <row r="65" spans="1:9">
      <c r="A65" s="21"/>
      <c r="B65" s="21"/>
      <c r="C65" s="21"/>
      <c r="D65" s="21"/>
      <c r="E65" s="21"/>
      <c r="F65" s="22"/>
      <c r="G65" s="21"/>
      <c r="H65" s="21"/>
      <c r="I65" s="22"/>
    </row>
    <row r="66" spans="1:9">
      <c r="A66" s="21"/>
      <c r="B66" s="21"/>
      <c r="C66" s="21"/>
      <c r="D66" s="21"/>
      <c r="E66" s="21"/>
      <c r="F66" s="22"/>
      <c r="G66" s="21"/>
      <c r="H66" s="21"/>
      <c r="I66" s="22"/>
    </row>
    <row r="67" spans="1:9">
      <c r="A67" s="21"/>
      <c r="B67" s="21"/>
      <c r="C67" s="21"/>
      <c r="D67" s="21"/>
      <c r="E67" s="21"/>
      <c r="F67" s="22"/>
      <c r="G67" s="21"/>
      <c r="H67" s="21"/>
      <c r="I67" s="22"/>
    </row>
    <row r="68" spans="1:9">
      <c r="A68" s="21"/>
      <c r="B68" s="21"/>
      <c r="C68" s="21"/>
      <c r="D68" s="21"/>
      <c r="E68" s="21"/>
      <c r="F68" s="22"/>
      <c r="G68" s="21"/>
      <c r="H68" s="21"/>
      <c r="I68" s="22"/>
    </row>
    <row r="69" spans="1:9">
      <c r="A69" s="21"/>
      <c r="B69" s="21"/>
      <c r="C69" s="21"/>
      <c r="D69" s="21"/>
      <c r="E69" s="21"/>
      <c r="F69" s="22"/>
      <c r="G69" s="21"/>
      <c r="H69" s="21"/>
      <c r="I69" s="22"/>
    </row>
    <row r="70" spans="1:9">
      <c r="A70" s="21"/>
      <c r="B70" s="21"/>
      <c r="C70" s="21"/>
      <c r="D70" s="21"/>
      <c r="E70" s="21"/>
      <c r="F70" s="22"/>
      <c r="G70" s="21"/>
      <c r="H70" s="21"/>
      <c r="I70" s="22"/>
    </row>
    <row r="71" spans="1:9">
      <c r="A71" s="21"/>
      <c r="B71" s="21"/>
      <c r="C71" s="21"/>
      <c r="D71" s="21"/>
      <c r="E71" s="21"/>
      <c r="F71" s="22"/>
      <c r="G71" s="21"/>
      <c r="H71" s="21"/>
      <c r="I71" s="22"/>
    </row>
    <row r="72" spans="1:9">
      <c r="A72" s="21"/>
      <c r="B72" s="21"/>
      <c r="C72" s="21"/>
      <c r="D72" s="21"/>
      <c r="E72" s="21"/>
      <c r="F72" s="22"/>
      <c r="G72" s="21"/>
      <c r="H72" s="21"/>
      <c r="I72" s="22"/>
    </row>
    <row r="73" spans="1:9">
      <c r="A73" s="21"/>
      <c r="B73" s="21"/>
      <c r="C73" s="21"/>
      <c r="D73" s="21"/>
      <c r="E73" s="21"/>
      <c r="F73" s="22"/>
      <c r="G73" s="21"/>
      <c r="H73" s="21"/>
      <c r="I73" s="22"/>
    </row>
    <row r="74" spans="1:9">
      <c r="A74" s="21"/>
      <c r="B74" s="21"/>
      <c r="C74" s="21"/>
      <c r="D74" s="21"/>
      <c r="E74" s="21"/>
      <c r="F74" s="22"/>
      <c r="G74" s="21"/>
      <c r="H74" s="21"/>
      <c r="I74" s="22"/>
    </row>
    <row r="75" spans="1:9">
      <c r="A75" s="21"/>
      <c r="B75" s="21"/>
      <c r="C75" s="21"/>
      <c r="D75" s="21"/>
      <c r="E75" s="21"/>
      <c r="F75" s="22"/>
      <c r="G75" s="21"/>
      <c r="H75" s="21"/>
      <c r="I75" s="22"/>
    </row>
    <row r="76" spans="1:9">
      <c r="A76" s="21"/>
      <c r="B76" s="21"/>
      <c r="C76" s="21"/>
      <c r="D76" s="21"/>
      <c r="E76" s="21"/>
      <c r="F76" s="22"/>
      <c r="G76" s="21"/>
      <c r="H76" s="21"/>
      <c r="I76" s="22"/>
    </row>
    <row r="77" spans="1:9">
      <c r="A77" s="21"/>
      <c r="B77" s="21"/>
      <c r="C77" s="21"/>
      <c r="D77" s="21"/>
      <c r="E77" s="21"/>
      <c r="F77" s="22"/>
      <c r="G77" s="21"/>
      <c r="H77" s="21"/>
      <c r="I77" s="22"/>
    </row>
    <row r="78" spans="1:9">
      <c r="A78" s="21"/>
      <c r="B78" s="21"/>
      <c r="C78" s="21"/>
      <c r="D78" s="21"/>
      <c r="E78" s="21"/>
      <c r="F78" s="22"/>
      <c r="G78" s="21"/>
      <c r="H78" s="21"/>
      <c r="I78" s="22"/>
    </row>
    <row r="79" spans="1:9">
      <c r="A79" s="21"/>
      <c r="B79" s="21"/>
      <c r="C79" s="21"/>
      <c r="D79" s="21"/>
      <c r="E79" s="21"/>
      <c r="F79" s="22"/>
      <c r="G79" s="21"/>
      <c r="H79" s="21"/>
      <c r="I79" s="22"/>
    </row>
    <row r="80" spans="1:9">
      <c r="A80" s="21"/>
      <c r="B80" s="21"/>
      <c r="C80" s="21"/>
      <c r="D80" s="21"/>
      <c r="E80" s="21"/>
      <c r="F80" s="22"/>
      <c r="G80" s="21"/>
      <c r="H80" s="21"/>
      <c r="I80" s="22"/>
    </row>
    <row r="81" spans="1:9">
      <c r="A81" s="21"/>
      <c r="B81" s="21"/>
      <c r="C81" s="21"/>
      <c r="D81" s="21"/>
      <c r="E81" s="21"/>
      <c r="F81" s="22"/>
      <c r="G81" s="21"/>
      <c r="H81" s="21"/>
      <c r="I81" s="22"/>
    </row>
    <row r="82" spans="1:9">
      <c r="A82" s="21"/>
      <c r="B82" s="21"/>
      <c r="C82" s="21"/>
      <c r="D82" s="21"/>
      <c r="E82" s="21"/>
      <c r="F82" s="22"/>
      <c r="G82" s="21"/>
      <c r="H82" s="21"/>
      <c r="I82" s="22"/>
    </row>
    <row r="83" spans="1:9">
      <c r="A83" s="21"/>
      <c r="B83" s="21"/>
      <c r="C83" s="21"/>
      <c r="D83" s="21"/>
      <c r="E83" s="21"/>
      <c r="F83" s="22"/>
      <c r="G83" s="21"/>
      <c r="H83" s="21"/>
      <c r="I83" s="22"/>
    </row>
    <row r="84" spans="1:9">
      <c r="A84" s="21"/>
      <c r="B84" s="21"/>
      <c r="C84" s="21"/>
      <c r="D84" s="21"/>
      <c r="E84" s="21"/>
      <c r="F84" s="22"/>
      <c r="G84" s="21"/>
      <c r="H84" s="21"/>
      <c r="I84" s="22"/>
    </row>
    <row r="85" spans="1:9">
      <c r="A85" s="21"/>
      <c r="B85" s="21"/>
      <c r="C85" s="21"/>
      <c r="D85" s="21"/>
      <c r="E85" s="21"/>
      <c r="F85" s="22"/>
      <c r="G85" s="21"/>
      <c r="H85" s="21"/>
      <c r="I85" s="22"/>
    </row>
    <row r="86" spans="1:9">
      <c r="A86" s="21"/>
      <c r="B86" s="21"/>
      <c r="C86" s="21"/>
      <c r="D86" s="21"/>
      <c r="E86" s="21"/>
      <c r="F86" s="22"/>
      <c r="G86" s="21"/>
      <c r="H86" s="21"/>
      <c r="I86" s="22"/>
    </row>
    <row r="87" spans="1:9">
      <c r="A87" s="21"/>
      <c r="B87" s="21"/>
      <c r="C87" s="21"/>
      <c r="D87" s="21"/>
      <c r="E87" s="21"/>
      <c r="F87" s="22"/>
      <c r="G87" s="21"/>
      <c r="H87" s="21"/>
      <c r="I87" s="22"/>
    </row>
    <row r="88" spans="1:9">
      <c r="A88" s="21"/>
      <c r="B88" s="21"/>
      <c r="C88" s="21"/>
      <c r="D88" s="21"/>
      <c r="E88" s="21"/>
      <c r="F88" s="22"/>
      <c r="G88" s="21"/>
      <c r="H88" s="21"/>
      <c r="I88" s="22"/>
    </row>
    <row r="89" spans="1:9">
      <c r="A89" s="21"/>
      <c r="B89" s="21"/>
      <c r="C89" s="21"/>
      <c r="D89" s="21"/>
      <c r="E89" s="21"/>
      <c r="F89" s="22"/>
      <c r="G89" s="21"/>
      <c r="H89" s="21"/>
      <c r="I89" s="22"/>
    </row>
    <row r="90" spans="1:9">
      <c r="A90" s="21"/>
      <c r="B90" s="21"/>
      <c r="C90" s="21"/>
      <c r="D90" s="21"/>
      <c r="E90" s="21"/>
      <c r="F90" s="22"/>
      <c r="G90" s="21"/>
      <c r="H90" s="21"/>
      <c r="I90" s="22"/>
    </row>
    <row r="91" spans="1:9">
      <c r="A91" s="21"/>
      <c r="B91" s="21"/>
      <c r="C91" s="21"/>
      <c r="D91" s="21"/>
      <c r="E91" s="21"/>
      <c r="F91" s="22"/>
      <c r="G91" s="21"/>
      <c r="H91" s="21"/>
      <c r="I91" s="22"/>
    </row>
    <row r="92" spans="1:9">
      <c r="A92" s="21"/>
      <c r="B92" s="21"/>
      <c r="C92" s="21"/>
      <c r="D92" s="21"/>
      <c r="E92" s="21"/>
      <c r="F92" s="22"/>
      <c r="G92" s="21"/>
      <c r="H92" s="21"/>
      <c r="I92" s="22"/>
    </row>
    <row r="93" spans="1:9">
      <c r="A93" s="21"/>
      <c r="B93" s="21"/>
      <c r="C93" s="21"/>
      <c r="D93" s="21"/>
      <c r="E93" s="21"/>
      <c r="F93" s="22"/>
      <c r="G93" s="21"/>
      <c r="H93" s="21"/>
      <c r="I93" s="22"/>
    </row>
    <row r="94" spans="1:9">
      <c r="A94" s="21"/>
      <c r="B94" s="21"/>
      <c r="C94" s="21"/>
      <c r="D94" s="21"/>
      <c r="E94" s="21"/>
      <c r="F94" s="22"/>
      <c r="G94" s="21"/>
      <c r="H94" s="21"/>
      <c r="I94" s="22"/>
    </row>
    <row r="95" spans="1:9">
      <c r="A95" s="21"/>
      <c r="B95" s="21"/>
      <c r="C95" s="21"/>
      <c r="D95" s="21"/>
      <c r="E95" s="21"/>
      <c r="F95" s="22"/>
      <c r="G95" s="21"/>
      <c r="H95" s="21"/>
      <c r="I95" s="22"/>
    </row>
    <row r="96" spans="1:9">
      <c r="A96" s="21"/>
      <c r="B96" s="21"/>
      <c r="C96" s="21"/>
      <c r="D96" s="21"/>
      <c r="E96" s="21"/>
      <c r="F96" s="22"/>
      <c r="G96" s="21"/>
      <c r="H96" s="21"/>
      <c r="I96" s="22"/>
    </row>
    <row r="97" spans="1:9">
      <c r="A97" s="21"/>
      <c r="B97" s="21"/>
      <c r="C97" s="21"/>
      <c r="D97" s="21"/>
      <c r="E97" s="21"/>
      <c r="F97" s="22"/>
      <c r="G97" s="21"/>
      <c r="H97" s="21"/>
      <c r="I97" s="22"/>
    </row>
    <row r="98" spans="1:9">
      <c r="A98" s="21"/>
      <c r="B98" s="21"/>
      <c r="C98" s="21"/>
      <c r="D98" s="21"/>
      <c r="E98" s="21"/>
      <c r="F98" s="22"/>
      <c r="G98" s="21"/>
      <c r="H98" s="21"/>
      <c r="I98" s="22"/>
    </row>
    <row r="99" spans="1:9">
      <c r="A99" s="21"/>
      <c r="B99" s="21"/>
      <c r="C99" s="21"/>
      <c r="D99" s="21"/>
      <c r="E99" s="21"/>
      <c r="F99" s="22"/>
      <c r="G99" s="21"/>
      <c r="H99" s="21"/>
      <c r="I99" s="22"/>
    </row>
    <row r="100" spans="1: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workbookViewId="0">
      <pane xSplit="2" ySplit="3" topLeftCell="C4" activePane="bottomRight" state="frozen"/>
      <selection pane="bottomRight" activeCell="A16" sqref="A16:K23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JLL</v>
      </c>
      <c r="B1" s="47"/>
      <c r="C1" s="47"/>
      <c r="D1" s="48" t="s">
        <v>18</v>
      </c>
      <c r="E1" s="48"/>
      <c r="F1" s="48"/>
      <c r="G1" s="46" t="s">
        <v>19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3">Sites[Site]</f>
        <v>Bullhead</v>
      </c>
      <c r="B4" s="29" t="str" cm="1">
        <f t="array" ref="B4:B23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/>
      <c r="D5" s="18"/>
      <c r="E5" s="18" t="str">
        <f t="shared" ref="E5:E15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75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</row>
    <row r="8" spans="1:11" ht="15.75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4"/>
        <v/>
      </c>
      <c r="I8" s="16" t="str">
        <f t="shared" si="5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4"/>
        <v/>
      </c>
      <c r="I9" s="19" t="str">
        <f t="shared" si="5"/>
        <v/>
      </c>
      <c r="J9" s="42"/>
      <c r="K9" s="43"/>
    </row>
    <row r="10" spans="1:11" ht="15.75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4"/>
        <v/>
      </c>
      <c r="I10" s="16" t="str">
        <f t="shared" si="5"/>
        <v/>
      </c>
      <c r="J10" s="41"/>
      <c r="K10" s="41"/>
    </row>
    <row r="11" spans="1:11" ht="15.75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4"/>
        <v/>
      </c>
      <c r="I11" s="19" t="str">
        <f t="shared" si="5"/>
        <v/>
      </c>
      <c r="J11" s="42"/>
      <c r="K11" s="43"/>
    </row>
    <row r="12" spans="1:11" ht="15.75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4"/>
        <v/>
      </c>
      <c r="I12" s="16" t="str">
        <f t="shared" si="5"/>
        <v/>
      </c>
      <c r="J12" s="41"/>
      <c r="K12" s="41"/>
    </row>
    <row r="13" spans="1:11" ht="15.75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4"/>
        <v/>
      </c>
      <c r="I13" s="19" t="str">
        <f t="shared" si="5"/>
        <v/>
      </c>
      <c r="J13" s="42"/>
      <c r="K13" s="43"/>
    </row>
    <row r="14" spans="1:11" ht="15.75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4"/>
        <v/>
      </c>
      <c r="I14" s="16" t="str">
        <f t="shared" si="5"/>
        <v/>
      </c>
      <c r="J14" s="41"/>
      <c r="K14" s="41"/>
    </row>
    <row r="15" spans="1:11" ht="15.75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4"/>
        <v/>
      </c>
      <c r="I15" s="19" t="str">
        <f t="shared" si="5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/>
      <c r="D16" s="13"/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15"/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/>
      <c r="D17" s="18"/>
      <c r="E17" s="18" t="str">
        <f t="shared" si="6"/>
        <v/>
      </c>
      <c r="F17" s="19" t="str">
        <f t="shared" si="7"/>
        <v/>
      </c>
      <c r="G17" s="20"/>
      <c r="H17" s="20" t="str">
        <f t="shared" si="8"/>
        <v/>
      </c>
      <c r="I17" s="19" t="str">
        <f t="shared" si="9"/>
        <v/>
      </c>
      <c r="J17" s="42"/>
      <c r="K17" s="43"/>
    </row>
    <row r="18" spans="1:11" ht="15.75">
      <c r="A18" s="28" t="str">
        <v>Austin</v>
      </c>
      <c r="B18" s="29" t="str">
        <v>TX</v>
      </c>
      <c r="C18" s="24"/>
      <c r="D18" s="13"/>
      <c r="E18" s="13" t="str">
        <f t="shared" ref="E18:E23" si="10">IF(AND(ISNUMBER(C18),ISNUMBER(D18)), C18-D18, "")</f>
        <v/>
      </c>
      <c r="F18" s="14" t="str">
        <f t="shared" ref="F18:F23" si="11">IFERROR(E18/D18, "")</f>
        <v/>
      </c>
      <c r="G18" s="15"/>
      <c r="H18" s="15" t="str">
        <f t="shared" ref="H18:H23" si="12">IF(AND(ISNUMBER(C18),ISNUMBER(G18)), C18-G18, "")</f>
        <v/>
      </c>
      <c r="I18" s="16" t="str">
        <f t="shared" ref="I18:I23" si="13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/>
      <c r="D19" s="18"/>
      <c r="E19" s="18" t="str">
        <f t="shared" si="10"/>
        <v/>
      </c>
      <c r="F19" s="19" t="str">
        <f t="shared" si="11"/>
        <v/>
      </c>
      <c r="G19" s="20"/>
      <c r="H19" s="20" t="str">
        <f t="shared" si="12"/>
        <v/>
      </c>
      <c r="I19" s="19" t="str">
        <f t="shared" si="13"/>
        <v/>
      </c>
      <c r="J19" s="42"/>
      <c r="K19" s="43"/>
    </row>
    <row r="20" spans="1:11" ht="15.75">
      <c r="A20" s="28" t="str">
        <v>Houston</v>
      </c>
      <c r="B20" s="29" t="str">
        <v>TX</v>
      </c>
      <c r="C20" s="24"/>
      <c r="D20" s="13"/>
      <c r="E20" s="13" t="str">
        <f t="shared" si="10"/>
        <v/>
      </c>
      <c r="F20" s="14" t="str">
        <f t="shared" si="11"/>
        <v/>
      </c>
      <c r="G20" s="15"/>
      <c r="H20" s="15" t="str">
        <f t="shared" si="12"/>
        <v/>
      </c>
      <c r="I20" s="16" t="str">
        <f t="shared" si="13"/>
        <v/>
      </c>
      <c r="J20" s="41"/>
      <c r="K20" s="41"/>
    </row>
    <row r="21" spans="1:11" ht="15.75">
      <c r="A21" s="30" t="str">
        <v>Plano Bldg A</v>
      </c>
      <c r="B21" s="31" t="str">
        <v>TX</v>
      </c>
      <c r="C21" s="11"/>
      <c r="D21" s="18"/>
      <c r="E21" s="18" t="str">
        <f t="shared" si="10"/>
        <v/>
      </c>
      <c r="F21" s="19" t="str">
        <f t="shared" si="11"/>
        <v/>
      </c>
      <c r="G21" s="20"/>
      <c r="H21" s="20" t="str">
        <f t="shared" si="12"/>
        <v/>
      </c>
      <c r="I21" s="19" t="str">
        <f t="shared" si="13"/>
        <v/>
      </c>
      <c r="J21" s="42"/>
      <c r="K21" s="43"/>
    </row>
    <row r="22" spans="1:11" ht="15.75">
      <c r="A22" s="28" t="str">
        <v>Plano Bldg B</v>
      </c>
      <c r="B22" s="29" t="str">
        <v>TX</v>
      </c>
      <c r="C22" s="24"/>
      <c r="D22" s="13"/>
      <c r="E22" s="13" t="str">
        <f t="shared" si="10"/>
        <v/>
      </c>
      <c r="F22" s="14" t="str">
        <f t="shared" si="11"/>
        <v/>
      </c>
      <c r="G22" s="15"/>
      <c r="H22" s="15" t="str">
        <f t="shared" si="12"/>
        <v/>
      </c>
      <c r="I22" s="16" t="str">
        <f t="shared" si="13"/>
        <v/>
      </c>
      <c r="J22" s="41"/>
      <c r="K22" s="41"/>
    </row>
    <row r="23" spans="1:11" ht="15.75">
      <c r="A23" s="30" t="str">
        <v>Plano Bldg C</v>
      </c>
      <c r="B23" s="31" t="str">
        <v>TX</v>
      </c>
      <c r="C23" s="11"/>
      <c r="D23" s="18"/>
      <c r="E23" s="18" t="str">
        <f t="shared" si="10"/>
        <v/>
      </c>
      <c r="F23" s="19" t="str">
        <f t="shared" si="11"/>
        <v/>
      </c>
      <c r="G23" s="20"/>
      <c r="H23" s="20" t="str">
        <f t="shared" si="12"/>
        <v/>
      </c>
      <c r="I23" s="19" t="str">
        <f t="shared" si="13"/>
        <v/>
      </c>
      <c r="J23" s="42"/>
      <c r="K23" s="43"/>
    </row>
    <row r="24" spans="1:11" ht="1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 F24:F99 I4:I99">
    <cfRule type="cellIs" dxfId="48" priority="4" stopIfTrue="1" operator="lessThanOrEqual">
      <formula>-0.1</formula>
    </cfRule>
    <cfRule type="expression" dxfId="47" priority="5">
      <formula>AND(ISNUMBER(F2), F2&gt;=0.1)</formula>
    </cfRule>
  </conditionalFormatting>
  <conditionalFormatting sqref="F4:F23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23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JLL</v>
      </c>
      <c r="B1" s="47"/>
      <c r="C1" s="47"/>
      <c r="D1" s="48" t="s">
        <v>22</v>
      </c>
      <c r="E1" s="48"/>
      <c r="F1" s="48"/>
      <c r="G1" s="46" t="s">
        <v>23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3">Sites[Site]</f>
        <v>Bullhead</v>
      </c>
      <c r="B4" s="29" t="str" cm="1">
        <f t="array" ref="B4:B23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/>
      <c r="D5" s="18"/>
      <c r="E5" s="18" t="str">
        <f t="shared" ref="E5:E15" si="0">IF(AND(ISNUMBER(C5),ISNUMBER(D5)), C5-D5, "")</f>
        <v/>
      </c>
      <c r="F5" s="19" t="str">
        <f>IFERROR(E5/D5, "")</f>
        <v/>
      </c>
      <c r="G5" s="20"/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1" ht="15.75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/>
      <c r="D16" s="13"/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15"/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/>
      <c r="D17" s="18"/>
      <c r="E17" s="18" t="str">
        <f t="shared" si="4"/>
        <v/>
      </c>
      <c r="F17" s="19" t="str">
        <f t="shared" si="5"/>
        <v/>
      </c>
      <c r="G17" s="20"/>
      <c r="H17" s="20" t="str">
        <f t="shared" si="6"/>
        <v/>
      </c>
      <c r="I17" s="19" t="str">
        <f t="shared" si="7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/>
      <c r="D18" s="13"/>
      <c r="E18" s="13" t="str">
        <f t="shared" ref="E18:E23" si="8">IF(AND(ISNUMBER(C18),ISNUMBER(D18)), C18-D18, "")</f>
        <v/>
      </c>
      <c r="F18" s="14" t="str">
        <f t="shared" ref="F18:F23" si="9">IFERROR(E18/D18, "")</f>
        <v/>
      </c>
      <c r="G18" s="15"/>
      <c r="H18" s="15" t="str">
        <f t="shared" ref="H18:H23" si="10">IF(AND(ISNUMBER(C18),ISNUMBER(G18)), C18-G18, "")</f>
        <v/>
      </c>
      <c r="I18" s="16" t="str">
        <f t="shared" ref="I18:I23" si="11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/>
      <c r="D19" s="18"/>
      <c r="E19" s="18" t="str">
        <f t="shared" si="8"/>
        <v/>
      </c>
      <c r="F19" s="19" t="str">
        <f t="shared" si="9"/>
        <v/>
      </c>
      <c r="G19" s="20"/>
      <c r="H19" s="20" t="str">
        <f t="shared" si="10"/>
        <v/>
      </c>
      <c r="I19" s="19" t="str">
        <f t="shared" si="11"/>
        <v/>
      </c>
      <c r="J19" s="42"/>
      <c r="K19" s="43"/>
    </row>
    <row r="20" spans="1:11" ht="15.75">
      <c r="A20" s="28" t="str">
        <v>Houston</v>
      </c>
      <c r="B20" s="29" t="str">
        <v>TX</v>
      </c>
      <c r="C20" s="24"/>
      <c r="D20" s="13"/>
      <c r="E20" s="13" t="str">
        <f t="shared" si="8"/>
        <v/>
      </c>
      <c r="F20" s="14" t="str">
        <f t="shared" si="9"/>
        <v/>
      </c>
      <c r="G20" s="15"/>
      <c r="H20" s="15" t="str">
        <f t="shared" si="10"/>
        <v/>
      </c>
      <c r="I20" s="16" t="str">
        <f t="shared" si="11"/>
        <v/>
      </c>
      <c r="J20" s="41"/>
      <c r="K20" s="41"/>
    </row>
    <row r="21" spans="1:11" ht="15.75">
      <c r="A21" s="30" t="str">
        <v>Plano Bldg A</v>
      </c>
      <c r="B21" s="31" t="str">
        <v>TX</v>
      </c>
      <c r="C21" s="11"/>
      <c r="D21" s="18"/>
      <c r="E21" s="18" t="str">
        <f t="shared" si="8"/>
        <v/>
      </c>
      <c r="F21" s="19" t="str">
        <f t="shared" si="9"/>
        <v/>
      </c>
      <c r="G21" s="20"/>
      <c r="H21" s="20" t="str">
        <f t="shared" si="10"/>
        <v/>
      </c>
      <c r="I21" s="19" t="str">
        <f t="shared" si="11"/>
        <v/>
      </c>
      <c r="J21" s="42"/>
      <c r="K21" s="43"/>
    </row>
    <row r="22" spans="1:11" ht="15.75">
      <c r="A22" s="28" t="str">
        <v>Plano Bldg B</v>
      </c>
      <c r="B22" s="29" t="str">
        <v>TX</v>
      </c>
      <c r="C22" s="24"/>
      <c r="D22" s="13"/>
      <c r="E22" s="13" t="str">
        <f t="shared" si="8"/>
        <v/>
      </c>
      <c r="F22" s="14" t="str">
        <f t="shared" si="9"/>
        <v/>
      </c>
      <c r="G22" s="15"/>
      <c r="H22" s="15" t="str">
        <f t="shared" si="10"/>
        <v/>
      </c>
      <c r="I22" s="16" t="str">
        <f t="shared" si="11"/>
        <v/>
      </c>
      <c r="J22" s="41"/>
      <c r="K22" s="41"/>
    </row>
    <row r="23" spans="1:11" ht="15.75">
      <c r="A23" s="30" t="str">
        <v>Plano Bldg C</v>
      </c>
      <c r="B23" s="31" t="str">
        <v>TX</v>
      </c>
      <c r="C23" s="11"/>
      <c r="D23" s="18"/>
      <c r="E23" s="18" t="str">
        <f t="shared" si="8"/>
        <v/>
      </c>
      <c r="F23" s="19" t="str">
        <f t="shared" si="9"/>
        <v/>
      </c>
      <c r="G23" s="20"/>
      <c r="H23" s="20" t="str">
        <f t="shared" si="10"/>
        <v/>
      </c>
      <c r="I23" s="19" t="str">
        <f t="shared" si="11"/>
        <v/>
      </c>
      <c r="J23" s="42"/>
      <c r="K23" s="43"/>
    </row>
    <row r="24" spans="1:11" ht="1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23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JLL</v>
      </c>
      <c r="B1" s="47"/>
      <c r="C1" s="47"/>
      <c r="D1" s="48" t="s">
        <v>24</v>
      </c>
      <c r="E1" s="48"/>
      <c r="F1" s="48"/>
      <c r="G1" s="46" t="s">
        <v>25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3">Sites[Site]</f>
        <v>Bullhead</v>
      </c>
      <c r="B4" s="29" t="str" cm="1">
        <f t="array" ref="B4:B23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/>
      <c r="D18" s="13"/>
      <c r="E18" s="13" t="str">
        <f t="shared" ref="E18:E23" si="4">IF(AND(ISNUMBER(C18),ISNUMBER(D18)), C18-D18, "")</f>
        <v/>
      </c>
      <c r="F18" s="14" t="str">
        <f t="shared" ref="F18:F23" si="5">IFERROR(E18/D18, "")</f>
        <v/>
      </c>
      <c r="G18" s="15"/>
      <c r="H18" s="15" t="str">
        <f t="shared" ref="H18:H23" si="6">IF(AND(ISNUMBER(C18),ISNUMBER(G18)), C18-G18, "")</f>
        <v/>
      </c>
      <c r="I18" s="16" t="str">
        <f t="shared" ref="I18:I23" si="7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Houston</v>
      </c>
      <c r="B20" s="29" t="str">
        <v>TX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Plano Bldg A</v>
      </c>
      <c r="B21" s="31" t="str">
        <v>TX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>Plano Bldg B</v>
      </c>
      <c r="B22" s="29" t="str">
        <v>TX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>Plano Bldg C</v>
      </c>
      <c r="B23" s="31" t="str">
        <v>TX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5 I4:I15 I24:I100 F24:F100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F16:F23 I16:I23">
    <cfRule type="cellIs" dxfId="40" priority="1" stopIfTrue="1" operator="lessThanOrEqual">
      <formula>-0.1</formula>
    </cfRule>
    <cfRule type="expression" dxfId="39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23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JLL</v>
      </c>
      <c r="B1" s="47"/>
      <c r="C1" s="47"/>
      <c r="D1" s="48" t="s">
        <v>26</v>
      </c>
      <c r="E1" s="48"/>
      <c r="F1" s="48"/>
      <c r="G1" s="46" t="s">
        <v>27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3">Sites[Site]</f>
        <v>Bullhead</v>
      </c>
      <c r="B4" s="29" t="str" cm="1">
        <f t="array" ref="B4:B23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/>
      <c r="D18" s="13"/>
      <c r="E18" s="13" t="str">
        <f t="shared" ref="E18:E23" si="4">IF(AND(ISNUMBER(C18),ISNUMBER(D18)), C18-D18, "")</f>
        <v/>
      </c>
      <c r="F18" s="14" t="str">
        <f t="shared" ref="F18:F23" si="5">IFERROR(E18/D18, "")</f>
        <v/>
      </c>
      <c r="G18" s="15"/>
      <c r="H18" s="15" t="str">
        <f t="shared" ref="H18:H23" si="6">IF(AND(ISNUMBER(C18),ISNUMBER(G18)), C18-G18, "")</f>
        <v/>
      </c>
      <c r="I18" s="16" t="str">
        <f t="shared" ref="I18:I23" si="7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Houston</v>
      </c>
      <c r="B20" s="29" t="str">
        <v>TX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Plano Bldg A</v>
      </c>
      <c r="B21" s="31" t="str">
        <v>TX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>Plano Bldg B</v>
      </c>
      <c r="B22" s="29" t="str">
        <v>TX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>Plano Bldg C</v>
      </c>
      <c r="B23" s="31" t="str">
        <v>TX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5 I4:I15 I24:I100 F24:F100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conditionalFormatting sqref="F16:F23 I16:I23">
    <cfRule type="cellIs" dxfId="36" priority="1" stopIfTrue="1" operator="lessThanOrEqual">
      <formula>-0.1</formula>
    </cfRule>
    <cfRule type="expression" dxfId="35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23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JLL</v>
      </c>
      <c r="B1" s="47"/>
      <c r="C1" s="47"/>
      <c r="D1" s="48" t="s">
        <v>28</v>
      </c>
      <c r="E1" s="48"/>
      <c r="F1" s="48"/>
      <c r="G1" s="46" t="s">
        <v>29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3">Sites[Site]</f>
        <v>Bullhead</v>
      </c>
      <c r="B4" s="29" t="str" cm="1">
        <f t="array" ref="B4:B23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/>
      <c r="D18" s="13"/>
      <c r="E18" s="13" t="str">
        <f t="shared" ref="E18:E23" si="4">IF(AND(ISNUMBER(C18),ISNUMBER(D18)), C18-D18, "")</f>
        <v/>
      </c>
      <c r="F18" s="14" t="str">
        <f t="shared" ref="F18:F23" si="5">IFERROR(E18/D18, "")</f>
        <v/>
      </c>
      <c r="G18" s="15"/>
      <c r="H18" s="15" t="str">
        <f t="shared" ref="H18:H23" si="6">IF(AND(ISNUMBER(C18),ISNUMBER(G18)), C18-G18, "")</f>
        <v/>
      </c>
      <c r="I18" s="16" t="str">
        <f t="shared" ref="I18:I23" si="7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Houston</v>
      </c>
      <c r="B20" s="29" t="str">
        <v>TX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Plano Bldg A</v>
      </c>
      <c r="B21" s="31" t="str">
        <v>TX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>Plano Bldg B</v>
      </c>
      <c r="B22" s="29" t="str">
        <v>TX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>Plano Bldg C</v>
      </c>
      <c r="B23" s="31" t="str">
        <v>TX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5 I4:I15 I24:I100 F24:F100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conditionalFormatting sqref="F16:F23 I16:I23">
    <cfRule type="cellIs" dxfId="32" priority="1" stopIfTrue="1" operator="lessThanOrEqual">
      <formula>-0.1</formula>
    </cfRule>
    <cfRule type="expression" dxfId="31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23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JLL</v>
      </c>
      <c r="B1" s="47"/>
      <c r="C1" s="47"/>
      <c r="D1" s="48" t="s">
        <v>30</v>
      </c>
      <c r="E1" s="48"/>
      <c r="F1" s="48"/>
      <c r="G1" s="46" t="s">
        <v>31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3">Sites[Site]</f>
        <v>Bullhead</v>
      </c>
      <c r="B4" s="29" t="str" cm="1">
        <f t="array" ref="B4:B23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/>
      <c r="D18" s="13"/>
      <c r="E18" s="13" t="str">
        <f t="shared" ref="E18:E23" si="4">IF(AND(ISNUMBER(C18),ISNUMBER(D18)), C18-D18, "")</f>
        <v/>
      </c>
      <c r="F18" s="14" t="str">
        <f t="shared" ref="F18:F23" si="5">IFERROR(E18/D18, "")</f>
        <v/>
      </c>
      <c r="G18" s="15"/>
      <c r="H18" s="15" t="str">
        <f t="shared" ref="H18:H23" si="6">IF(AND(ISNUMBER(C18),ISNUMBER(G18)), C18-G18, "")</f>
        <v/>
      </c>
      <c r="I18" s="16" t="str">
        <f t="shared" ref="I18:I23" si="7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Houston</v>
      </c>
      <c r="B20" s="29" t="str">
        <v>TX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Plano Bldg A</v>
      </c>
      <c r="B21" s="31" t="str">
        <v>TX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>Plano Bldg B</v>
      </c>
      <c r="B22" s="29" t="str">
        <v>TX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>Plano Bldg C</v>
      </c>
      <c r="B23" s="31" t="str">
        <v>TX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5 I4:I15 I24:I100 F24:F100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conditionalFormatting sqref="F16:F23 I16:I23">
    <cfRule type="cellIs" dxfId="28" priority="1" stopIfTrue="1" operator="lessThanOrEqual">
      <formula>-0.1</formula>
    </cfRule>
    <cfRule type="expression" dxfId="27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23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JLL</v>
      </c>
      <c r="B1" s="47"/>
      <c r="C1" s="47"/>
      <c r="D1" s="48" t="s">
        <v>32</v>
      </c>
      <c r="E1" s="48"/>
      <c r="F1" s="48"/>
      <c r="G1" s="46" t="s">
        <v>33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3">Sites[Site]</f>
        <v>Bullhead</v>
      </c>
      <c r="B4" s="29" t="str" cm="1">
        <f t="array" ref="B4:B23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/>
      <c r="D18" s="13"/>
      <c r="E18" s="13" t="str">
        <f t="shared" ref="E18:E23" si="4">IF(AND(ISNUMBER(C18),ISNUMBER(D18)), C18-D18, "")</f>
        <v/>
      </c>
      <c r="F18" s="14" t="str">
        <f t="shared" ref="F18:F23" si="5">IFERROR(E18/D18, "")</f>
        <v/>
      </c>
      <c r="G18" s="15"/>
      <c r="H18" s="15" t="str">
        <f t="shared" ref="H18:H23" si="6">IF(AND(ISNUMBER(C18),ISNUMBER(G18)), C18-G18, "")</f>
        <v/>
      </c>
      <c r="I18" s="16" t="str">
        <f t="shared" ref="I18:I23" si="7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Houston</v>
      </c>
      <c r="B20" s="29" t="str">
        <v>TX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Plano Bldg A</v>
      </c>
      <c r="B21" s="31" t="str">
        <v>TX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>Plano Bldg B</v>
      </c>
      <c r="B22" s="29" t="str">
        <v>TX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>Plano Bldg C</v>
      </c>
      <c r="B23" s="31" t="str">
        <v>TX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15 I4:I15 I24:I100 F24:F100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16:F23 I16:I23">
    <cfRule type="cellIs" dxfId="24" priority="1" stopIfTrue="1" operator="lessThanOrEqual">
      <formula>-0.1</formula>
    </cfRule>
    <cfRule type="expression" dxfId="23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23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JLL</v>
      </c>
      <c r="B1" s="47"/>
      <c r="C1" s="47"/>
      <c r="D1" s="48" t="s">
        <v>34</v>
      </c>
      <c r="E1" s="48"/>
      <c r="F1" s="48"/>
      <c r="G1" s="46" t="s">
        <v>35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3">Sites[Site]</f>
        <v>Bullhead</v>
      </c>
      <c r="B4" s="29" t="str" cm="1">
        <f t="array" ref="B4:B23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/>
      <c r="D18" s="13"/>
      <c r="E18" s="13" t="str">
        <f t="shared" ref="E18:E23" si="4">IF(AND(ISNUMBER(C18),ISNUMBER(D18)), C18-D18, "")</f>
        <v/>
      </c>
      <c r="F18" s="14" t="str">
        <f t="shared" ref="F18:F23" si="5">IFERROR(E18/D18, "")</f>
        <v/>
      </c>
      <c r="G18" s="15"/>
      <c r="H18" s="15" t="str">
        <f t="shared" ref="H18:H23" si="6">IF(AND(ISNUMBER(C18),ISNUMBER(G18)), C18-G18, "")</f>
        <v/>
      </c>
      <c r="I18" s="16" t="str">
        <f t="shared" ref="I18:I23" si="7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Houston</v>
      </c>
      <c r="B20" s="29" t="str">
        <v>TX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Plano Bldg A</v>
      </c>
      <c r="B21" s="31" t="str">
        <v>TX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>Plano Bldg B</v>
      </c>
      <c r="B22" s="29" t="str">
        <v>TX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>Plano Bldg C</v>
      </c>
      <c r="B23" s="31" t="str">
        <v>TX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5 I4:I15 I24:I100 F24:F100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16:F23 I16:I23">
    <cfRule type="cellIs" dxfId="20" priority="1" stopIfTrue="1" operator="lessThanOrEqual">
      <formula>-0.1</formula>
    </cfRule>
    <cfRule type="expression" dxfId="19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6" activePane="bottomRight" state="frozen"/>
      <selection pane="bottomRight" activeCell="A16" sqref="A16:K23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JLL</v>
      </c>
      <c r="B1" s="47"/>
      <c r="C1" s="47"/>
      <c r="D1" s="48" t="s">
        <v>36</v>
      </c>
      <c r="E1" s="48"/>
      <c r="F1" s="48"/>
      <c r="G1" s="46" t="s">
        <v>37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3">Sites[Site]</f>
        <v>Bullhead</v>
      </c>
      <c r="B4" s="29" t="str" cm="1">
        <f t="array" ref="B4:B23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/>
      <c r="D18" s="13"/>
      <c r="E18" s="13" t="str">
        <f t="shared" ref="E18:E23" si="4">IF(AND(ISNUMBER(C18),ISNUMBER(D18)), C18-D18, "")</f>
        <v/>
      </c>
      <c r="F18" s="14" t="str">
        <f t="shared" ref="F18:F23" si="5">IFERROR(E18/D18, "")</f>
        <v/>
      </c>
      <c r="G18" s="15"/>
      <c r="H18" s="15" t="str">
        <f t="shared" ref="H18:H23" si="6">IF(AND(ISNUMBER(C18),ISNUMBER(G18)), C18-G18, "")</f>
        <v/>
      </c>
      <c r="I18" s="16" t="str">
        <f t="shared" ref="I18:I23" si="7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Houston</v>
      </c>
      <c r="B20" s="29" t="str">
        <v>TX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Plano Bldg A</v>
      </c>
      <c r="B21" s="31" t="str">
        <v>TX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>Plano Bldg B</v>
      </c>
      <c r="B22" s="29" t="str">
        <v>TX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>Plano Bldg C</v>
      </c>
      <c r="B23" s="31" t="str">
        <v>TX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5 I4:I15 I24:I100 F24:F100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16:F23 I16:I23">
    <cfRule type="cellIs" dxfId="16" priority="1" stopIfTrue="1" operator="lessThanOrEqual">
      <formula>-0.1</formula>
    </cfRule>
    <cfRule type="expression" dxfId="15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23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JLL</v>
      </c>
      <c r="B1" s="47"/>
      <c r="C1" s="47"/>
      <c r="D1" s="48" t="s">
        <v>38</v>
      </c>
      <c r="E1" s="48"/>
      <c r="F1" s="48"/>
      <c r="G1" s="46" t="s">
        <v>39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3">Sites[Site]</f>
        <v>Bullhead</v>
      </c>
      <c r="B4" s="29" t="str" cm="1">
        <f t="array" ref="B4:B23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/>
      <c r="D18" s="13"/>
      <c r="E18" s="13" t="str">
        <f t="shared" ref="E18:E23" si="4">IF(AND(ISNUMBER(C18),ISNUMBER(D18)), C18-D18, "")</f>
        <v/>
      </c>
      <c r="F18" s="14" t="str">
        <f t="shared" ref="F18:F23" si="5">IFERROR(E18/D18, "")</f>
        <v/>
      </c>
      <c r="G18" s="15"/>
      <c r="H18" s="15" t="str">
        <f t="shared" ref="H18:H23" si="6">IF(AND(ISNUMBER(C18),ISNUMBER(G18)), C18-G18, "")</f>
        <v/>
      </c>
      <c r="I18" s="16" t="str">
        <f t="shared" ref="I18:I23" si="7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Houston</v>
      </c>
      <c r="B20" s="29" t="str">
        <v>TX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Plano Bldg A</v>
      </c>
      <c r="B21" s="31" t="str">
        <v>TX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>Plano Bldg B</v>
      </c>
      <c r="B22" s="29" t="str">
        <v>TX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>Plano Bldg C</v>
      </c>
      <c r="B23" s="31" t="str">
        <v>TX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5 I4:I15 I24:I100 F24:F10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16:F23 I16:I23">
    <cfRule type="cellIs" dxfId="12" priority="1" stopIfTrue="1" operator="lessThanOrEqual">
      <formula>-0.1</formula>
    </cfRule>
    <cfRule type="expression" dxfId="11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23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JLL</v>
      </c>
      <c r="B1" s="47"/>
      <c r="C1" s="47"/>
      <c r="D1" s="48" t="s">
        <v>40</v>
      </c>
      <c r="E1" s="48"/>
      <c r="F1" s="48"/>
      <c r="G1" s="46" t="s">
        <v>41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3">Sites[Site]</f>
        <v>Bullhead</v>
      </c>
      <c r="B4" s="29" t="str" cm="1">
        <f t="array" ref="B4:B23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/>
      <c r="D18" s="13"/>
      <c r="E18" s="13" t="str">
        <f t="shared" ref="E18:E23" si="4">IF(AND(ISNUMBER(C18),ISNUMBER(D18)), C18-D18, "")</f>
        <v/>
      </c>
      <c r="F18" s="14" t="str">
        <f t="shared" ref="F18:F23" si="5">IFERROR(E18/D18, "")</f>
        <v/>
      </c>
      <c r="G18" s="15"/>
      <c r="H18" s="15" t="str">
        <f t="shared" ref="H18:H23" si="6">IF(AND(ISNUMBER(C18),ISNUMBER(G18)), C18-G18, "")</f>
        <v/>
      </c>
      <c r="I18" s="16" t="str">
        <f t="shared" ref="I18:I23" si="7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Houston</v>
      </c>
      <c r="B20" s="29" t="str">
        <v>TX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Plano Bldg A</v>
      </c>
      <c r="B21" s="31" t="str">
        <v>TX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>Plano Bldg B</v>
      </c>
      <c r="B22" s="29" t="str">
        <v>TX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>Plano Bldg C</v>
      </c>
      <c r="B23" s="31" t="str">
        <v>TX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5 I4:I15 I24:I100 F24:F10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16:F23 I16:I23">
    <cfRule type="cellIs" dxfId="8" priority="1" stopIfTrue="1" operator="lessThanOrEqual">
      <formula>-0.1</formula>
    </cfRule>
    <cfRule type="expression" dxfId="7" priority="2">
      <formula>AND(ISNUMBER(F16), F16&gt;=0.1)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K28" sqref="K2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JLL</v>
      </c>
      <c r="B1" s="47"/>
      <c r="C1" s="47"/>
      <c r="D1" s="48" t="s">
        <v>42</v>
      </c>
      <c r="E1" s="48"/>
      <c r="F1" s="48"/>
      <c r="G1" s="46" t="s">
        <v>43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3">Sites[Site]</f>
        <v>Bullhead</v>
      </c>
      <c r="B4" s="29" t="str" cm="1">
        <f t="array" ref="B4:B23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/>
      <c r="D18" s="13"/>
      <c r="E18" s="13" t="str">
        <f t="shared" ref="E18:E23" si="4">IF(AND(ISNUMBER(C18),ISNUMBER(D18)), C18-D18, "")</f>
        <v/>
      </c>
      <c r="F18" s="14" t="str">
        <f t="shared" ref="F18:F23" si="5">IFERROR(E18/D18, "")</f>
        <v/>
      </c>
      <c r="G18" s="15"/>
      <c r="H18" s="15" t="str">
        <f t="shared" ref="H18:H23" si="6">IF(AND(ISNUMBER(C18),ISNUMBER(G18)), C18-G18, "")</f>
        <v/>
      </c>
      <c r="I18" s="16" t="str">
        <f t="shared" ref="I18:I23" si="7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Houston</v>
      </c>
      <c r="B20" s="29" t="str">
        <v>TX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Plano Bldg A</v>
      </c>
      <c r="B21" s="31" t="str">
        <v>TX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>Plano Bldg B</v>
      </c>
      <c r="B22" s="29" t="str">
        <v>TX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>Plano Bldg C</v>
      </c>
      <c r="B23" s="31" t="str">
        <v>TX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5 I4:I15 I24:I100 F24:F10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16:F23 I16:I23">
    <cfRule type="cellIs" dxfId="4" priority="1" stopIfTrue="1" operator="lessThanOrEqual">
      <formula>-0.1</formula>
    </cfRule>
    <cfRule type="expression" dxfId="3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23"/>
  <sheetViews>
    <sheetView tabSelected="1" workbookViewId="0">
      <pane ySplit="3" topLeftCell="A4" activePane="bottomLeft" state="frozen"/>
      <selection pane="bottomLeft" activeCell="A6" sqref="A6:E23"/>
    </sheetView>
  </sheetViews>
  <sheetFormatPr defaultRowHeight="12.75" customHeight="1"/>
  <cols>
    <col min="1" max="1" width="48.5703125" customWidth="1"/>
    <col min="2" max="2" width="17.4257812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5">
      <c r="A4" s="44" t="s">
        <v>49</v>
      </c>
      <c r="B4" s="45" t="s">
        <v>50</v>
      </c>
      <c r="C4" s="45" t="s">
        <v>51</v>
      </c>
      <c r="E4" t="s">
        <v>52</v>
      </c>
      <c r="G4" s="3"/>
    </row>
    <row r="5" spans="1:7" ht="15">
      <c r="A5" s="44" t="s">
        <v>53</v>
      </c>
      <c r="B5" s="45" t="s">
        <v>54</v>
      </c>
      <c r="C5" s="45" t="s">
        <v>51</v>
      </c>
      <c r="E5" t="s">
        <v>52</v>
      </c>
      <c r="G5" s="3"/>
    </row>
    <row r="6" spans="1:7" ht="15">
      <c r="A6" s="44" t="s">
        <v>55</v>
      </c>
      <c r="B6" s="45" t="s">
        <v>56</v>
      </c>
      <c r="C6" s="45" t="s">
        <v>51</v>
      </c>
      <c r="E6" t="s">
        <v>52</v>
      </c>
      <c r="G6" s="3"/>
    </row>
    <row r="7" spans="1:7" ht="12.75" customHeight="1">
      <c r="A7" s="44" t="s">
        <v>57</v>
      </c>
      <c r="B7" s="45" t="s">
        <v>58</v>
      </c>
      <c r="C7" s="45" t="s">
        <v>59</v>
      </c>
      <c r="E7" t="s">
        <v>52</v>
      </c>
    </row>
    <row r="8" spans="1:7" ht="12.75" customHeight="1">
      <c r="A8" s="44" t="s">
        <v>60</v>
      </c>
      <c r="B8" s="45" t="s">
        <v>61</v>
      </c>
      <c r="C8" s="45" t="s">
        <v>59</v>
      </c>
      <c r="E8" t="s">
        <v>52</v>
      </c>
    </row>
    <row r="9" spans="1:7" ht="12.75" customHeight="1">
      <c r="A9" s="44" t="s">
        <v>62</v>
      </c>
      <c r="B9" s="45" t="s">
        <v>63</v>
      </c>
      <c r="C9" s="45" t="s">
        <v>59</v>
      </c>
      <c r="E9" t="s">
        <v>52</v>
      </c>
    </row>
    <row r="10" spans="1:7" ht="12.75" customHeight="1">
      <c r="A10" s="44" t="s">
        <v>64</v>
      </c>
      <c r="B10" s="45" t="s">
        <v>65</v>
      </c>
      <c r="C10" s="45" t="s">
        <v>59</v>
      </c>
      <c r="E10" t="s">
        <v>52</v>
      </c>
    </row>
    <row r="11" spans="1:7" ht="12.75" customHeight="1">
      <c r="A11" s="44" t="s">
        <v>66</v>
      </c>
      <c r="B11" s="45" t="s">
        <v>67</v>
      </c>
      <c r="C11" s="45" t="s">
        <v>59</v>
      </c>
      <c r="E11" t="s">
        <v>52</v>
      </c>
    </row>
    <row r="12" spans="1:7" ht="12.75" customHeight="1">
      <c r="A12" s="44" t="s">
        <v>68</v>
      </c>
      <c r="B12" s="45" t="s">
        <v>69</v>
      </c>
      <c r="C12" s="45" t="s">
        <v>59</v>
      </c>
      <c r="E12" t="s">
        <v>52</v>
      </c>
    </row>
    <row r="13" spans="1:7" ht="12.75" customHeight="1">
      <c r="A13" s="44" t="s">
        <v>70</v>
      </c>
      <c r="B13" s="45" t="s">
        <v>71</v>
      </c>
      <c r="C13" s="45" t="s">
        <v>59</v>
      </c>
      <c r="E13" t="s">
        <v>52</v>
      </c>
    </row>
    <row r="14" spans="1:7" ht="12.75" customHeight="1">
      <c r="A14" s="44" t="s">
        <v>72</v>
      </c>
      <c r="B14" s="45" t="s">
        <v>73</v>
      </c>
      <c r="C14" s="45" t="s">
        <v>74</v>
      </c>
      <c r="E14" t="s">
        <v>52</v>
      </c>
    </row>
    <row r="15" spans="1:7" ht="12.75" customHeight="1">
      <c r="A15" s="44" t="s">
        <v>75</v>
      </c>
      <c r="B15" s="45" t="s">
        <v>76</v>
      </c>
      <c r="C15" s="45" t="s">
        <v>77</v>
      </c>
      <c r="E15" t="s">
        <v>52</v>
      </c>
    </row>
    <row r="16" spans="1:7" ht="12.75" customHeight="1">
      <c r="A16" s="44" t="s">
        <v>78</v>
      </c>
      <c r="B16" s="45" t="s">
        <v>79</v>
      </c>
      <c r="C16" s="45" t="s">
        <v>77</v>
      </c>
      <c r="E16" t="s">
        <v>52</v>
      </c>
    </row>
    <row r="17" spans="1:5" ht="12.75" customHeight="1">
      <c r="A17" s="44" t="s">
        <v>80</v>
      </c>
      <c r="B17" s="45" t="s">
        <v>81</v>
      </c>
      <c r="C17" s="45" t="s">
        <v>82</v>
      </c>
      <c r="E17" t="s">
        <v>52</v>
      </c>
    </row>
    <row r="18" spans="1:5" ht="12.75" customHeight="1">
      <c r="A18" s="44" t="s">
        <v>83</v>
      </c>
      <c r="B18" s="45" t="s">
        <v>84</v>
      </c>
      <c r="C18" s="45" t="s">
        <v>85</v>
      </c>
      <c r="E18" t="s">
        <v>52</v>
      </c>
    </row>
    <row r="19" spans="1:5" ht="12.75" customHeight="1">
      <c r="A19" s="44" t="s">
        <v>86</v>
      </c>
      <c r="B19" s="45" t="s">
        <v>87</v>
      </c>
      <c r="C19" s="45" t="s">
        <v>85</v>
      </c>
      <c r="E19" t="s">
        <v>52</v>
      </c>
    </row>
    <row r="20" spans="1:5" ht="12.75" customHeight="1">
      <c r="A20" s="44" t="s">
        <v>88</v>
      </c>
      <c r="B20" s="45" t="s">
        <v>89</v>
      </c>
      <c r="C20" s="45" t="s">
        <v>85</v>
      </c>
      <c r="E20" t="s">
        <v>52</v>
      </c>
    </row>
    <row r="21" spans="1:5" ht="12.75" customHeight="1">
      <c r="A21" s="44" t="s">
        <v>90</v>
      </c>
      <c r="B21" s="45" t="s">
        <v>91</v>
      </c>
      <c r="C21" s="45" t="s">
        <v>85</v>
      </c>
      <c r="E21" t="s">
        <v>52</v>
      </c>
    </row>
    <row r="22" spans="1:5" ht="12.75" customHeight="1">
      <c r="A22" s="44" t="s">
        <v>90</v>
      </c>
      <c r="B22" s="45" t="s">
        <v>92</v>
      </c>
      <c r="C22" s="45" t="s">
        <v>85</v>
      </c>
      <c r="E22" t="s">
        <v>52</v>
      </c>
    </row>
    <row r="23" spans="1:5" ht="12.75" customHeight="1">
      <c r="A23" s="44" t="s">
        <v>90</v>
      </c>
      <c r="B23" s="45" t="s">
        <v>93</v>
      </c>
      <c r="C23" s="45" t="s">
        <v>85</v>
      </c>
      <c r="E23" t="s">
        <v>52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C0BCDC1E-6052-4E48-9BAF-94A40814E7C2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D3A7101F-9A85-4235-8B03-415370C100B2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2024-06-06T10:36:26Z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