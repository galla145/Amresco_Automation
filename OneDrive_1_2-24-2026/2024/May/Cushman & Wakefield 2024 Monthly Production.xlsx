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ameresco.sharepoint.com/sites/AmerescoLibsysSharedFolder/Shared Documents/05_Monthly Reports/Client Report Templates/"/>
    </mc:Choice>
  </mc:AlternateContent>
  <xr:revisionPtr revIDLastSave="1723" documentId="8_{B2B8FB1C-BA1A-466B-89D1-D34D1DB127A7}" xr6:coauthVersionLast="47" xr6:coauthVersionMax="47" xr10:uidLastSave="{4E611DB1-BEA6-4091-9CB0-A22FFCEDAE75}"/>
  <bookViews>
    <workbookView xWindow="28680" yWindow="15855" windowWidth="29040" windowHeight="15720" tabRatio="866" firstSheet="16" activeTab="16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8" i="33" l="1"/>
  <c r="F18" i="33"/>
  <c r="H18" i="33"/>
  <c r="I18" i="33"/>
  <c r="E19" i="33"/>
  <c r="F19" i="33"/>
  <c r="H19" i="33"/>
  <c r="I19" i="33"/>
  <c r="E20" i="33"/>
  <c r="F20" i="33"/>
  <c r="H20" i="33"/>
  <c r="I20" i="33"/>
  <c r="E21" i="33"/>
  <c r="F21" i="33"/>
  <c r="H21" i="33"/>
  <c r="I21" i="33"/>
  <c r="E22" i="33"/>
  <c r="F22" i="33"/>
  <c r="H22" i="33"/>
  <c r="I22" i="33"/>
  <c r="E23" i="33"/>
  <c r="F23" i="33"/>
  <c r="H23" i="33"/>
  <c r="I23" i="33"/>
  <c r="E24" i="33"/>
  <c r="F24" i="33"/>
  <c r="H24" i="33"/>
  <c r="I24" i="33"/>
  <c r="E25" i="33"/>
  <c r="F25" i="33"/>
  <c r="H25" i="33"/>
  <c r="I25" i="33"/>
  <c r="E26" i="33"/>
  <c r="F26" i="33"/>
  <c r="H26" i="33"/>
  <c r="I26" i="33"/>
  <c r="E27" i="33"/>
  <c r="F27" i="33"/>
  <c r="H27" i="33"/>
  <c r="I27" i="33"/>
  <c r="E28" i="33"/>
  <c r="F28" i="33"/>
  <c r="H28" i="33"/>
  <c r="I28" i="33"/>
  <c r="E29" i="33"/>
  <c r="F29" i="33"/>
  <c r="H29" i="33"/>
  <c r="I29" i="33"/>
  <c r="E30" i="33"/>
  <c r="F30" i="33"/>
  <c r="H30" i="33"/>
  <c r="I30" i="33"/>
  <c r="E31" i="33"/>
  <c r="F31" i="33"/>
  <c r="H31" i="33"/>
  <c r="I31" i="33"/>
  <c r="E32" i="33"/>
  <c r="F32" i="33"/>
  <c r="H32" i="33"/>
  <c r="I32" i="33"/>
  <c r="E33" i="33"/>
  <c r="F33" i="33"/>
  <c r="H33" i="33"/>
  <c r="I33" i="33"/>
  <c r="E34" i="33"/>
  <c r="F34" i="33"/>
  <c r="H34" i="33"/>
  <c r="I34" i="33"/>
  <c r="E35" i="33"/>
  <c r="F35" i="33"/>
  <c r="H35" i="33"/>
  <c r="I35" i="33"/>
  <c r="E36" i="33"/>
  <c r="F36" i="33"/>
  <c r="H36" i="33"/>
  <c r="I36" i="33"/>
  <c r="E37" i="33"/>
  <c r="F37" i="33"/>
  <c r="H37" i="33"/>
  <c r="I37" i="33"/>
  <c r="E38" i="33"/>
  <c r="F38" i="33"/>
  <c r="H38" i="33"/>
  <c r="I38" i="33"/>
  <c r="E18" i="32"/>
  <c r="F18" i="32"/>
  <c r="H18" i="32"/>
  <c r="I18" i="32"/>
  <c r="E19" i="32"/>
  <c r="F19" i="32"/>
  <c r="H19" i="32"/>
  <c r="I19" i="32"/>
  <c r="E20" i="32"/>
  <c r="F20" i="32"/>
  <c r="H20" i="32"/>
  <c r="I20" i="32"/>
  <c r="E21" i="32"/>
  <c r="F21" i="32"/>
  <c r="H21" i="32"/>
  <c r="I21" i="32"/>
  <c r="E22" i="32"/>
  <c r="F22" i="32"/>
  <c r="H22" i="32"/>
  <c r="I22" i="32"/>
  <c r="E23" i="32"/>
  <c r="F23" i="32"/>
  <c r="H23" i="32"/>
  <c r="I23" i="32"/>
  <c r="E24" i="32"/>
  <c r="F24" i="32"/>
  <c r="H24" i="32"/>
  <c r="I24" i="32"/>
  <c r="E25" i="32"/>
  <c r="F25" i="32"/>
  <c r="H25" i="32"/>
  <c r="I25" i="32"/>
  <c r="E26" i="32"/>
  <c r="F26" i="32"/>
  <c r="H26" i="32"/>
  <c r="I26" i="32"/>
  <c r="E27" i="32"/>
  <c r="F27" i="32"/>
  <c r="H27" i="32"/>
  <c r="I27" i="32"/>
  <c r="E28" i="32"/>
  <c r="F28" i="32"/>
  <c r="H28" i="32"/>
  <c r="I28" i="32"/>
  <c r="E29" i="32"/>
  <c r="F29" i="32"/>
  <c r="H29" i="32"/>
  <c r="I29" i="32"/>
  <c r="E30" i="32"/>
  <c r="F30" i="32"/>
  <c r="H30" i="32"/>
  <c r="I30" i="32"/>
  <c r="E31" i="32"/>
  <c r="F31" i="32"/>
  <c r="H31" i="32"/>
  <c r="I31" i="32"/>
  <c r="E32" i="32"/>
  <c r="F32" i="32"/>
  <c r="H32" i="32"/>
  <c r="I32" i="32"/>
  <c r="E33" i="32"/>
  <c r="F33" i="32"/>
  <c r="H33" i="32"/>
  <c r="I33" i="32"/>
  <c r="E34" i="32"/>
  <c r="F34" i="32"/>
  <c r="H34" i="32"/>
  <c r="I34" i="32"/>
  <c r="E35" i="32"/>
  <c r="F35" i="32"/>
  <c r="H35" i="32"/>
  <c r="I35" i="32"/>
  <c r="E36" i="32"/>
  <c r="F36" i="32"/>
  <c r="H36" i="32"/>
  <c r="I36" i="32"/>
  <c r="E37" i="32"/>
  <c r="F37" i="32"/>
  <c r="H37" i="32"/>
  <c r="I37" i="32"/>
  <c r="E38" i="32"/>
  <c r="F38" i="32"/>
  <c r="H38" i="32"/>
  <c r="I38" i="32"/>
  <c r="E18" i="31"/>
  <c r="F18" i="31"/>
  <c r="H18" i="31"/>
  <c r="I18" i="31"/>
  <c r="E19" i="31"/>
  <c r="F19" i="31"/>
  <c r="H19" i="31"/>
  <c r="I19" i="31"/>
  <c r="E20" i="31"/>
  <c r="F20" i="31"/>
  <c r="H20" i="31"/>
  <c r="I20" i="31"/>
  <c r="E21" i="31"/>
  <c r="F21" i="31"/>
  <c r="H21" i="31"/>
  <c r="I21" i="31"/>
  <c r="E22" i="31"/>
  <c r="F22" i="31"/>
  <c r="H22" i="31"/>
  <c r="I22" i="31"/>
  <c r="E23" i="31"/>
  <c r="F23" i="31"/>
  <c r="H23" i="31"/>
  <c r="I23" i="31"/>
  <c r="E24" i="31"/>
  <c r="F24" i="31"/>
  <c r="H24" i="31"/>
  <c r="I24" i="31"/>
  <c r="E25" i="31"/>
  <c r="F25" i="31"/>
  <c r="H25" i="31"/>
  <c r="I25" i="31"/>
  <c r="E26" i="31"/>
  <c r="F26" i="31"/>
  <c r="H26" i="31"/>
  <c r="I26" i="31"/>
  <c r="E27" i="31"/>
  <c r="F27" i="31"/>
  <c r="H27" i="31"/>
  <c r="I27" i="31"/>
  <c r="E28" i="31"/>
  <c r="F28" i="31"/>
  <c r="H28" i="31"/>
  <c r="I28" i="31"/>
  <c r="E29" i="31"/>
  <c r="F29" i="31"/>
  <c r="H29" i="31"/>
  <c r="I29" i="31"/>
  <c r="E30" i="31"/>
  <c r="F30" i="31"/>
  <c r="H30" i="31"/>
  <c r="I30" i="31"/>
  <c r="E31" i="31"/>
  <c r="F31" i="31"/>
  <c r="H31" i="31"/>
  <c r="I31" i="31"/>
  <c r="E32" i="31"/>
  <c r="F32" i="31"/>
  <c r="H32" i="31"/>
  <c r="I32" i="31"/>
  <c r="E33" i="31"/>
  <c r="F33" i="31"/>
  <c r="H33" i="31"/>
  <c r="I33" i="31"/>
  <c r="E34" i="31"/>
  <c r="F34" i="31"/>
  <c r="H34" i="31"/>
  <c r="I34" i="31"/>
  <c r="E35" i="31"/>
  <c r="F35" i="31"/>
  <c r="H35" i="31"/>
  <c r="I35" i="31"/>
  <c r="E36" i="31"/>
  <c r="F36" i="31"/>
  <c r="H36" i="31"/>
  <c r="I36" i="31"/>
  <c r="E37" i="31"/>
  <c r="F37" i="31"/>
  <c r="H37" i="31"/>
  <c r="I37" i="31"/>
  <c r="E38" i="31"/>
  <c r="F38" i="31"/>
  <c r="H38" i="31"/>
  <c r="I38" i="31"/>
  <c r="E18" i="28"/>
  <c r="F18" i="28"/>
  <c r="H18" i="28"/>
  <c r="I18" i="28"/>
  <c r="E19" i="28"/>
  <c r="F19" i="28"/>
  <c r="H19" i="28"/>
  <c r="I19" i="28"/>
  <c r="E20" i="28"/>
  <c r="F20" i="28"/>
  <c r="H20" i="28"/>
  <c r="I20" i="28"/>
  <c r="E21" i="28"/>
  <c r="F21" i="28"/>
  <c r="H21" i="28"/>
  <c r="I21" i="28"/>
  <c r="E22" i="28"/>
  <c r="F22" i="28"/>
  <c r="H22" i="28"/>
  <c r="I22" i="28"/>
  <c r="E23" i="28"/>
  <c r="F23" i="28"/>
  <c r="H23" i="28"/>
  <c r="I23" i="28"/>
  <c r="E24" i="28"/>
  <c r="F24" i="28"/>
  <c r="H24" i="28"/>
  <c r="I24" i="28"/>
  <c r="E25" i="28"/>
  <c r="F25" i="28"/>
  <c r="H25" i="28"/>
  <c r="I25" i="28"/>
  <c r="E26" i="28"/>
  <c r="F26" i="28"/>
  <c r="H26" i="28"/>
  <c r="I26" i="28"/>
  <c r="E27" i="28"/>
  <c r="F27" i="28"/>
  <c r="H27" i="28"/>
  <c r="I27" i="28"/>
  <c r="E28" i="28"/>
  <c r="F28" i="28"/>
  <c r="H28" i="28"/>
  <c r="I28" i="28"/>
  <c r="E29" i="28"/>
  <c r="F29" i="28"/>
  <c r="H29" i="28"/>
  <c r="I29" i="28"/>
  <c r="E30" i="28"/>
  <c r="F30" i="28"/>
  <c r="H30" i="28"/>
  <c r="I30" i="28"/>
  <c r="E31" i="28"/>
  <c r="F31" i="28"/>
  <c r="H31" i="28"/>
  <c r="I31" i="28"/>
  <c r="E32" i="28"/>
  <c r="F32" i="28"/>
  <c r="H32" i="28"/>
  <c r="I32" i="28"/>
  <c r="E33" i="28"/>
  <c r="F33" i="28"/>
  <c r="H33" i="28"/>
  <c r="I33" i="28"/>
  <c r="E34" i="28"/>
  <c r="F34" i="28"/>
  <c r="H34" i="28"/>
  <c r="I34" i="28"/>
  <c r="E35" i="28"/>
  <c r="F35" i="28"/>
  <c r="H35" i="28"/>
  <c r="I35" i="28"/>
  <c r="E36" i="28"/>
  <c r="F36" i="28"/>
  <c r="H36" i="28"/>
  <c r="I36" i="28"/>
  <c r="E37" i="28"/>
  <c r="F37" i="28"/>
  <c r="H37" i="28"/>
  <c r="I37" i="28"/>
  <c r="E38" i="28"/>
  <c r="F38" i="28"/>
  <c r="H38" i="28"/>
  <c r="I38" i="28"/>
  <c r="E18" i="27"/>
  <c r="F18" i="27"/>
  <c r="H18" i="27"/>
  <c r="I18" i="27"/>
  <c r="E19" i="27"/>
  <c r="F19" i="27"/>
  <c r="H19" i="27"/>
  <c r="I19" i="27"/>
  <c r="E20" i="27"/>
  <c r="F20" i="27"/>
  <c r="H20" i="27"/>
  <c r="I20" i="27"/>
  <c r="E21" i="27"/>
  <c r="F21" i="27"/>
  <c r="H21" i="27"/>
  <c r="I21" i="27"/>
  <c r="E22" i="27"/>
  <c r="F22" i="27"/>
  <c r="H22" i="27"/>
  <c r="I22" i="27"/>
  <c r="E23" i="27"/>
  <c r="F23" i="27"/>
  <c r="H23" i="27"/>
  <c r="I23" i="27"/>
  <c r="E24" i="27"/>
  <c r="F24" i="27"/>
  <c r="H24" i="27"/>
  <c r="I24" i="27"/>
  <c r="E25" i="27"/>
  <c r="F25" i="27"/>
  <c r="H25" i="27"/>
  <c r="I25" i="27"/>
  <c r="E26" i="27"/>
  <c r="F26" i="27"/>
  <c r="H26" i="27"/>
  <c r="I26" i="27"/>
  <c r="E27" i="27"/>
  <c r="F27" i="27"/>
  <c r="H27" i="27"/>
  <c r="I27" i="27"/>
  <c r="E28" i="27"/>
  <c r="F28" i="27"/>
  <c r="H28" i="27"/>
  <c r="I28" i="27"/>
  <c r="E29" i="27"/>
  <c r="F29" i="27"/>
  <c r="H29" i="27"/>
  <c r="I29" i="27"/>
  <c r="E30" i="27"/>
  <c r="F30" i="27"/>
  <c r="H30" i="27"/>
  <c r="I30" i="27"/>
  <c r="E31" i="27"/>
  <c r="F31" i="27"/>
  <c r="H31" i="27"/>
  <c r="I31" i="27"/>
  <c r="E32" i="27"/>
  <c r="F32" i="27"/>
  <c r="H32" i="27"/>
  <c r="I32" i="27"/>
  <c r="E33" i="27"/>
  <c r="F33" i="27"/>
  <c r="H33" i="27"/>
  <c r="I33" i="27"/>
  <c r="E34" i="27"/>
  <c r="F34" i="27"/>
  <c r="H34" i="27"/>
  <c r="I34" i="27"/>
  <c r="E35" i="27"/>
  <c r="F35" i="27"/>
  <c r="H35" i="27"/>
  <c r="I35" i="27"/>
  <c r="E36" i="27"/>
  <c r="F36" i="27"/>
  <c r="H36" i="27"/>
  <c r="I36" i="27"/>
  <c r="E37" i="27"/>
  <c r="F37" i="27"/>
  <c r="H37" i="27"/>
  <c r="I37" i="27"/>
  <c r="E38" i="27"/>
  <c r="F38" i="27"/>
  <c r="H38" i="27"/>
  <c r="I38" i="27"/>
  <c r="E18" i="26"/>
  <c r="F18" i="26"/>
  <c r="H18" i="26"/>
  <c r="I18" i="26"/>
  <c r="E19" i="26"/>
  <c r="F19" i="26"/>
  <c r="H19" i="26"/>
  <c r="I19" i="26"/>
  <c r="E20" i="26"/>
  <c r="F20" i="26"/>
  <c r="H20" i="26"/>
  <c r="I20" i="26"/>
  <c r="E21" i="26"/>
  <c r="F21" i="26"/>
  <c r="H21" i="26"/>
  <c r="I21" i="26"/>
  <c r="E22" i="26"/>
  <c r="F22" i="26"/>
  <c r="H22" i="26"/>
  <c r="I22" i="26"/>
  <c r="E23" i="26"/>
  <c r="F23" i="26"/>
  <c r="H23" i="26"/>
  <c r="I23" i="26"/>
  <c r="E24" i="26"/>
  <c r="F24" i="26"/>
  <c r="H24" i="26"/>
  <c r="I24" i="26"/>
  <c r="E25" i="26"/>
  <c r="F25" i="26"/>
  <c r="H25" i="26"/>
  <c r="I25" i="26"/>
  <c r="E26" i="26"/>
  <c r="F26" i="26"/>
  <c r="H26" i="26"/>
  <c r="I26" i="26"/>
  <c r="E27" i="26"/>
  <c r="F27" i="26"/>
  <c r="H27" i="26"/>
  <c r="I27" i="26"/>
  <c r="E28" i="26"/>
  <c r="F28" i="26"/>
  <c r="H28" i="26"/>
  <c r="I28" i="26"/>
  <c r="E29" i="26"/>
  <c r="F29" i="26"/>
  <c r="H29" i="26"/>
  <c r="I29" i="26"/>
  <c r="E30" i="26"/>
  <c r="F30" i="26"/>
  <c r="H30" i="26"/>
  <c r="I30" i="26"/>
  <c r="E31" i="26"/>
  <c r="F31" i="26"/>
  <c r="H31" i="26"/>
  <c r="I31" i="26"/>
  <c r="E32" i="26"/>
  <c r="F32" i="26"/>
  <c r="H32" i="26"/>
  <c r="I32" i="26"/>
  <c r="E33" i="26"/>
  <c r="F33" i="26"/>
  <c r="H33" i="26"/>
  <c r="I33" i="26"/>
  <c r="E34" i="26"/>
  <c r="F34" i="26"/>
  <c r="H34" i="26"/>
  <c r="I34" i="26"/>
  <c r="E35" i="26"/>
  <c r="F35" i="26"/>
  <c r="H35" i="26"/>
  <c r="I35" i="26"/>
  <c r="E36" i="26"/>
  <c r="F36" i="26"/>
  <c r="H36" i="26"/>
  <c r="I36" i="26"/>
  <c r="E37" i="26"/>
  <c r="F37" i="26"/>
  <c r="H37" i="26"/>
  <c r="I37" i="26"/>
  <c r="E38" i="26"/>
  <c r="F38" i="26"/>
  <c r="H38" i="26"/>
  <c r="I38" i="26"/>
  <c r="E18" i="19"/>
  <c r="F18" i="19"/>
  <c r="H18" i="19"/>
  <c r="I18" i="19"/>
  <c r="E19" i="19"/>
  <c r="F19" i="19"/>
  <c r="H19" i="19"/>
  <c r="I19" i="19"/>
  <c r="E20" i="19"/>
  <c r="F20" i="19"/>
  <c r="H20" i="19"/>
  <c r="I20" i="19"/>
  <c r="E21" i="19"/>
  <c r="F21" i="19"/>
  <c r="H21" i="19"/>
  <c r="I21" i="19"/>
  <c r="E22" i="19"/>
  <c r="F22" i="19"/>
  <c r="H22" i="19"/>
  <c r="I22" i="19"/>
  <c r="E23" i="19"/>
  <c r="F23" i="19"/>
  <c r="H23" i="19"/>
  <c r="I23" i="19"/>
  <c r="E24" i="19"/>
  <c r="F24" i="19"/>
  <c r="H24" i="19"/>
  <c r="I24" i="19"/>
  <c r="E25" i="19"/>
  <c r="F25" i="19"/>
  <c r="H25" i="19"/>
  <c r="I25" i="19"/>
  <c r="E26" i="19"/>
  <c r="F26" i="19"/>
  <c r="H26" i="19"/>
  <c r="I26" i="19"/>
  <c r="E27" i="19"/>
  <c r="F27" i="19"/>
  <c r="H27" i="19"/>
  <c r="I27" i="19"/>
  <c r="E28" i="19"/>
  <c r="F28" i="19"/>
  <c r="H28" i="19"/>
  <c r="I28" i="19"/>
  <c r="E29" i="19"/>
  <c r="F29" i="19"/>
  <c r="H29" i="19"/>
  <c r="I29" i="19"/>
  <c r="E30" i="19"/>
  <c r="F30" i="19"/>
  <c r="H30" i="19"/>
  <c r="I30" i="19"/>
  <c r="E31" i="19"/>
  <c r="F31" i="19"/>
  <c r="H31" i="19"/>
  <c r="I31" i="19"/>
  <c r="E32" i="19"/>
  <c r="F32" i="19"/>
  <c r="H32" i="19"/>
  <c r="I32" i="19"/>
  <c r="E33" i="19"/>
  <c r="F33" i="19"/>
  <c r="H33" i="19"/>
  <c r="I33" i="19"/>
  <c r="E34" i="19"/>
  <c r="F34" i="19"/>
  <c r="H34" i="19"/>
  <c r="I34" i="19"/>
  <c r="E35" i="19"/>
  <c r="F35" i="19"/>
  <c r="H35" i="19"/>
  <c r="I35" i="19"/>
  <c r="E36" i="19"/>
  <c r="F36" i="19"/>
  <c r="H36" i="19"/>
  <c r="I36" i="19"/>
  <c r="E37" i="19"/>
  <c r="F37" i="19"/>
  <c r="H37" i="19"/>
  <c r="I37" i="19"/>
  <c r="E38" i="19"/>
  <c r="F38" i="19"/>
  <c r="H38" i="19"/>
  <c r="I38" i="19"/>
  <c r="E18" i="20"/>
  <c r="F18" i="20"/>
  <c r="H18" i="20"/>
  <c r="I18" i="20"/>
  <c r="E19" i="20"/>
  <c r="F19" i="20"/>
  <c r="H19" i="20"/>
  <c r="I19" i="20"/>
  <c r="E20" i="20"/>
  <c r="F20" i="20"/>
  <c r="H20" i="20"/>
  <c r="I20" i="20"/>
  <c r="E21" i="20"/>
  <c r="F21" i="20"/>
  <c r="H21" i="20"/>
  <c r="I21" i="20"/>
  <c r="E22" i="20"/>
  <c r="F22" i="20"/>
  <c r="H22" i="20"/>
  <c r="I22" i="20"/>
  <c r="E23" i="20"/>
  <c r="F23" i="20"/>
  <c r="H23" i="20"/>
  <c r="I23" i="20"/>
  <c r="E24" i="20"/>
  <c r="F24" i="20"/>
  <c r="H24" i="20"/>
  <c r="I24" i="20"/>
  <c r="E25" i="20"/>
  <c r="F25" i="20"/>
  <c r="H25" i="20"/>
  <c r="I25" i="20"/>
  <c r="E26" i="20"/>
  <c r="F26" i="20"/>
  <c r="H26" i="20"/>
  <c r="I26" i="20"/>
  <c r="E27" i="20"/>
  <c r="F27" i="20"/>
  <c r="H27" i="20"/>
  <c r="I27" i="20"/>
  <c r="E28" i="20"/>
  <c r="F28" i="20"/>
  <c r="H28" i="20"/>
  <c r="I28" i="20"/>
  <c r="E29" i="20"/>
  <c r="F29" i="20"/>
  <c r="H29" i="20"/>
  <c r="I29" i="20"/>
  <c r="E30" i="20"/>
  <c r="F30" i="20"/>
  <c r="H30" i="20"/>
  <c r="I30" i="20"/>
  <c r="E31" i="20"/>
  <c r="F31" i="20"/>
  <c r="H31" i="20"/>
  <c r="I31" i="20"/>
  <c r="E32" i="20"/>
  <c r="F32" i="20"/>
  <c r="H32" i="20"/>
  <c r="I32" i="20"/>
  <c r="E33" i="20"/>
  <c r="F33" i="20"/>
  <c r="H33" i="20"/>
  <c r="I33" i="20"/>
  <c r="E34" i="20"/>
  <c r="F34" i="20"/>
  <c r="H34" i="20"/>
  <c r="I34" i="20"/>
  <c r="E35" i="20"/>
  <c r="F35" i="20"/>
  <c r="H35" i="20"/>
  <c r="I35" i="20"/>
  <c r="E36" i="20"/>
  <c r="F36" i="20"/>
  <c r="H36" i="20"/>
  <c r="I36" i="20"/>
  <c r="E37" i="20"/>
  <c r="F37" i="20"/>
  <c r="H37" i="20"/>
  <c r="I37" i="20"/>
  <c r="E38" i="20"/>
  <c r="F38" i="20"/>
  <c r="H38" i="20"/>
  <c r="I38" i="20"/>
  <c r="E18" i="21"/>
  <c r="F18" i="21"/>
  <c r="H18" i="21"/>
  <c r="I18" i="21"/>
  <c r="E19" i="21"/>
  <c r="F19" i="21"/>
  <c r="H19" i="21"/>
  <c r="I19" i="21"/>
  <c r="E20" i="21"/>
  <c r="F20" i="21"/>
  <c r="H20" i="21"/>
  <c r="I20" i="21"/>
  <c r="E21" i="21"/>
  <c r="F21" i="21"/>
  <c r="H21" i="21"/>
  <c r="I21" i="21"/>
  <c r="E22" i="21"/>
  <c r="F22" i="21"/>
  <c r="H22" i="21"/>
  <c r="I22" i="21"/>
  <c r="E23" i="21"/>
  <c r="F23" i="21"/>
  <c r="H23" i="21"/>
  <c r="I23" i="21"/>
  <c r="E24" i="21"/>
  <c r="F24" i="21"/>
  <c r="H24" i="21"/>
  <c r="I24" i="21"/>
  <c r="E25" i="21"/>
  <c r="F25" i="21"/>
  <c r="H25" i="21"/>
  <c r="I25" i="21"/>
  <c r="E26" i="21"/>
  <c r="F26" i="21"/>
  <c r="H26" i="21"/>
  <c r="I26" i="21"/>
  <c r="E27" i="21"/>
  <c r="F27" i="21"/>
  <c r="H27" i="21"/>
  <c r="I27" i="21"/>
  <c r="E28" i="21"/>
  <c r="F28" i="21"/>
  <c r="H28" i="21"/>
  <c r="I28" i="21"/>
  <c r="E29" i="21"/>
  <c r="F29" i="21"/>
  <c r="H29" i="21"/>
  <c r="I29" i="21"/>
  <c r="E30" i="21"/>
  <c r="F30" i="21"/>
  <c r="H30" i="21"/>
  <c r="I30" i="21"/>
  <c r="E31" i="21"/>
  <c r="F31" i="21"/>
  <c r="H31" i="21"/>
  <c r="I31" i="21"/>
  <c r="E32" i="21"/>
  <c r="F32" i="21"/>
  <c r="H32" i="21"/>
  <c r="I32" i="21"/>
  <c r="E33" i="21"/>
  <c r="F33" i="21"/>
  <c r="H33" i="21"/>
  <c r="I33" i="21"/>
  <c r="E34" i="21"/>
  <c r="F34" i="21"/>
  <c r="H34" i="21"/>
  <c r="I34" i="21"/>
  <c r="E35" i="21"/>
  <c r="F35" i="21"/>
  <c r="H35" i="21"/>
  <c r="I35" i="21"/>
  <c r="E36" i="21"/>
  <c r="F36" i="21"/>
  <c r="H36" i="21"/>
  <c r="I36" i="21"/>
  <c r="E37" i="21"/>
  <c r="F37" i="21"/>
  <c r="H37" i="21"/>
  <c r="I37" i="21"/>
  <c r="E38" i="21"/>
  <c r="F38" i="21"/>
  <c r="H38" i="21"/>
  <c r="I38" i="21"/>
  <c r="E18" i="4"/>
  <c r="F18" i="4"/>
  <c r="H18" i="4"/>
  <c r="I18" i="4"/>
  <c r="E19" i="4"/>
  <c r="F19" i="4"/>
  <c r="H19" i="4"/>
  <c r="I19" i="4"/>
  <c r="E20" i="4"/>
  <c r="F20" i="4"/>
  <c r="H20" i="4"/>
  <c r="I20" i="4"/>
  <c r="E21" i="4"/>
  <c r="F21" i="4"/>
  <c r="H21" i="4"/>
  <c r="I21" i="4"/>
  <c r="E22" i="4"/>
  <c r="F22" i="4"/>
  <c r="H22" i="4"/>
  <c r="I22" i="4"/>
  <c r="E23" i="4"/>
  <c r="F23" i="4"/>
  <c r="H23" i="4"/>
  <c r="I23" i="4"/>
  <c r="E24" i="4"/>
  <c r="F24" i="4"/>
  <c r="H24" i="4"/>
  <c r="I24" i="4"/>
  <c r="E25" i="4"/>
  <c r="F25" i="4"/>
  <c r="H25" i="4"/>
  <c r="I25" i="4"/>
  <c r="E26" i="4"/>
  <c r="F26" i="4"/>
  <c r="H26" i="4"/>
  <c r="I26" i="4"/>
  <c r="E27" i="4"/>
  <c r="F27" i="4"/>
  <c r="H27" i="4"/>
  <c r="I27" i="4"/>
  <c r="E28" i="4"/>
  <c r="F28" i="4"/>
  <c r="H28" i="4"/>
  <c r="I28" i="4"/>
  <c r="E29" i="4"/>
  <c r="F29" i="4"/>
  <c r="H29" i="4"/>
  <c r="I29" i="4"/>
  <c r="E30" i="4"/>
  <c r="F30" i="4"/>
  <c r="H30" i="4"/>
  <c r="I30" i="4"/>
  <c r="E31" i="4"/>
  <c r="F31" i="4"/>
  <c r="H31" i="4"/>
  <c r="I31" i="4"/>
  <c r="E32" i="4"/>
  <c r="F32" i="4"/>
  <c r="H32" i="4"/>
  <c r="I32" i="4"/>
  <c r="E33" i="4"/>
  <c r="F33" i="4"/>
  <c r="H33" i="4"/>
  <c r="I33" i="4"/>
  <c r="E34" i="4"/>
  <c r="F34" i="4"/>
  <c r="H34" i="4"/>
  <c r="I34" i="4"/>
  <c r="E35" i="4"/>
  <c r="F35" i="4"/>
  <c r="H35" i="4"/>
  <c r="I35" i="4"/>
  <c r="E36" i="4"/>
  <c r="F36" i="4"/>
  <c r="H36" i="4"/>
  <c r="I36" i="4"/>
  <c r="E37" i="4"/>
  <c r="F37" i="4"/>
  <c r="H37" i="4"/>
  <c r="I37" i="4"/>
  <c r="E38" i="4"/>
  <c r="F38" i="4"/>
  <c r="H38" i="4"/>
  <c r="I38" i="4"/>
  <c r="E18" i="3"/>
  <c r="F18" i="3"/>
  <c r="H18" i="3"/>
  <c r="I18" i="3"/>
  <c r="E19" i="3"/>
  <c r="F19" i="3"/>
  <c r="H19" i="3"/>
  <c r="I19" i="3"/>
  <c r="E20" i="3"/>
  <c r="F20" i="3"/>
  <c r="H20" i="3"/>
  <c r="I20" i="3"/>
  <c r="E21" i="3"/>
  <c r="F21" i="3"/>
  <c r="H21" i="3"/>
  <c r="I21" i="3"/>
  <c r="E22" i="3"/>
  <c r="F22" i="3"/>
  <c r="H22" i="3"/>
  <c r="I22" i="3"/>
  <c r="E23" i="3"/>
  <c r="F23" i="3"/>
  <c r="H23" i="3"/>
  <c r="I23" i="3"/>
  <c r="E24" i="3"/>
  <c r="F24" i="3"/>
  <c r="H24" i="3"/>
  <c r="I24" i="3"/>
  <c r="E25" i="3"/>
  <c r="F25" i="3"/>
  <c r="H25" i="3"/>
  <c r="I25" i="3"/>
  <c r="E26" i="3"/>
  <c r="F26" i="3"/>
  <c r="H26" i="3"/>
  <c r="I26" i="3"/>
  <c r="E27" i="3"/>
  <c r="F27" i="3"/>
  <c r="H27" i="3"/>
  <c r="I27" i="3"/>
  <c r="E28" i="3"/>
  <c r="F28" i="3"/>
  <c r="H28" i="3"/>
  <c r="I28" i="3"/>
  <c r="E29" i="3"/>
  <c r="F29" i="3"/>
  <c r="H29" i="3"/>
  <c r="I29" i="3"/>
  <c r="E30" i="3"/>
  <c r="F30" i="3"/>
  <c r="H30" i="3"/>
  <c r="I30" i="3"/>
  <c r="E31" i="3"/>
  <c r="F31" i="3"/>
  <c r="H31" i="3"/>
  <c r="I31" i="3"/>
  <c r="E32" i="3"/>
  <c r="F32" i="3"/>
  <c r="H32" i="3"/>
  <c r="I32" i="3"/>
  <c r="E33" i="3"/>
  <c r="F33" i="3"/>
  <c r="H33" i="3"/>
  <c r="I33" i="3"/>
  <c r="E34" i="3"/>
  <c r="F34" i="3"/>
  <c r="H34" i="3"/>
  <c r="I34" i="3"/>
  <c r="E35" i="3"/>
  <c r="F35" i="3"/>
  <c r="H35" i="3"/>
  <c r="I35" i="3"/>
  <c r="E36" i="3"/>
  <c r="F36" i="3"/>
  <c r="H36" i="3"/>
  <c r="I36" i="3"/>
  <c r="E37" i="3"/>
  <c r="F37" i="3"/>
  <c r="H37" i="3"/>
  <c r="I37" i="3"/>
  <c r="E38" i="3"/>
  <c r="F38" i="3"/>
  <c r="H38" i="3"/>
  <c r="I38" i="3"/>
  <c r="E18" i="72"/>
  <c r="F18" i="72"/>
  <c r="H18" i="72"/>
  <c r="I18" i="72"/>
  <c r="E19" i="72"/>
  <c r="F19" i="72"/>
  <c r="H19" i="72"/>
  <c r="I19" i="72"/>
  <c r="E20" i="72"/>
  <c r="F20" i="72"/>
  <c r="H20" i="72"/>
  <c r="I20" i="72"/>
  <c r="E21" i="72"/>
  <c r="F21" i="72"/>
  <c r="H21" i="72"/>
  <c r="I21" i="72"/>
  <c r="E22" i="72"/>
  <c r="F22" i="72"/>
  <c r="H22" i="72"/>
  <c r="I22" i="72"/>
  <c r="E23" i="72"/>
  <c r="F23" i="72"/>
  <c r="H23" i="72"/>
  <c r="I23" i="72"/>
  <c r="E24" i="72"/>
  <c r="F24" i="72"/>
  <c r="H24" i="72"/>
  <c r="I24" i="72"/>
  <c r="E25" i="72"/>
  <c r="F25" i="72"/>
  <c r="H25" i="72"/>
  <c r="I25" i="72"/>
  <c r="E26" i="72"/>
  <c r="F26" i="72"/>
  <c r="H26" i="72"/>
  <c r="I26" i="72"/>
  <c r="E27" i="72"/>
  <c r="F27" i="72"/>
  <c r="H27" i="72"/>
  <c r="I27" i="72"/>
  <c r="E28" i="72"/>
  <c r="F28" i="72"/>
  <c r="H28" i="72"/>
  <c r="I28" i="72"/>
  <c r="E29" i="72"/>
  <c r="F29" i="72"/>
  <c r="H29" i="72"/>
  <c r="I29" i="72"/>
  <c r="E30" i="72"/>
  <c r="F30" i="72"/>
  <c r="H30" i="72"/>
  <c r="I30" i="72"/>
  <c r="E31" i="72"/>
  <c r="F31" i="72"/>
  <c r="H31" i="72"/>
  <c r="I31" i="72"/>
  <c r="E32" i="72"/>
  <c r="F32" i="72"/>
  <c r="H32" i="72"/>
  <c r="I32" i="72"/>
  <c r="E33" i="72"/>
  <c r="F33" i="72"/>
  <c r="H33" i="72"/>
  <c r="I33" i="72"/>
  <c r="E34" i="72"/>
  <c r="F34" i="72"/>
  <c r="H34" i="72"/>
  <c r="I34" i="72"/>
  <c r="E35" i="72"/>
  <c r="F35" i="72"/>
  <c r="H35" i="72"/>
  <c r="I35" i="72"/>
  <c r="E36" i="72"/>
  <c r="F36" i="72"/>
  <c r="H36" i="72"/>
  <c r="I36" i="72"/>
  <c r="E37" i="72"/>
  <c r="F37" i="72"/>
  <c r="H37" i="72"/>
  <c r="I37" i="72"/>
  <c r="E38" i="72"/>
  <c r="F38" i="72"/>
  <c r="H38" i="72"/>
  <c r="I38" i="72"/>
  <c r="C18" i="30"/>
  <c r="D18" i="30"/>
  <c r="E18" i="30"/>
  <c r="F18" i="30"/>
  <c r="H18" i="30"/>
  <c r="I18" i="30"/>
  <c r="C19" i="30"/>
  <c r="D19" i="30"/>
  <c r="E19" i="30"/>
  <c r="F19" i="30"/>
  <c r="H19" i="30"/>
  <c r="I19" i="30"/>
  <c r="C20" i="30"/>
  <c r="D20" i="30"/>
  <c r="E20" i="30"/>
  <c r="F20" i="30"/>
  <c r="H20" i="30"/>
  <c r="I20" i="30"/>
  <c r="C21" i="30"/>
  <c r="D21" i="30"/>
  <c r="E21" i="30"/>
  <c r="F21" i="30"/>
  <c r="H21" i="30"/>
  <c r="I21" i="30"/>
  <c r="C22" i="30"/>
  <c r="D22" i="30"/>
  <c r="E22" i="30"/>
  <c r="F22" i="30"/>
  <c r="H22" i="30"/>
  <c r="I22" i="30"/>
  <c r="C23" i="30"/>
  <c r="D23" i="30"/>
  <c r="E23" i="30"/>
  <c r="F23" i="30"/>
  <c r="H23" i="30"/>
  <c r="I23" i="30"/>
  <c r="C24" i="30"/>
  <c r="D24" i="30"/>
  <c r="E24" i="30"/>
  <c r="F24" i="30"/>
  <c r="H24" i="30"/>
  <c r="I24" i="30"/>
  <c r="C25" i="30"/>
  <c r="D25" i="30"/>
  <c r="E25" i="30"/>
  <c r="F25" i="30"/>
  <c r="H25" i="30"/>
  <c r="I25" i="30"/>
  <c r="C26" i="30"/>
  <c r="D26" i="30"/>
  <c r="E26" i="30"/>
  <c r="F26" i="30"/>
  <c r="H26" i="30"/>
  <c r="I26" i="30"/>
  <c r="C27" i="30"/>
  <c r="D27" i="30"/>
  <c r="E27" i="30"/>
  <c r="F27" i="30"/>
  <c r="H27" i="30"/>
  <c r="I27" i="30"/>
  <c r="C28" i="30"/>
  <c r="D28" i="30"/>
  <c r="E28" i="30"/>
  <c r="F28" i="30"/>
  <c r="H28" i="30"/>
  <c r="I28" i="30"/>
  <c r="C29" i="30"/>
  <c r="D29" i="30"/>
  <c r="E29" i="30"/>
  <c r="F29" i="30"/>
  <c r="H29" i="30"/>
  <c r="I29" i="30"/>
  <c r="C30" i="30"/>
  <c r="D30" i="30"/>
  <c r="E30" i="30"/>
  <c r="F30" i="30"/>
  <c r="H30" i="30"/>
  <c r="I30" i="30"/>
  <c r="C31" i="30"/>
  <c r="D31" i="30"/>
  <c r="E31" i="30"/>
  <c r="F31" i="30"/>
  <c r="H31" i="30"/>
  <c r="I31" i="30"/>
  <c r="C32" i="30"/>
  <c r="D32" i="30"/>
  <c r="E32" i="30"/>
  <c r="F32" i="30"/>
  <c r="H32" i="30"/>
  <c r="I32" i="30"/>
  <c r="C33" i="30"/>
  <c r="D33" i="30"/>
  <c r="E33" i="30"/>
  <c r="F33" i="30"/>
  <c r="H33" i="30"/>
  <c r="I33" i="30"/>
  <c r="C34" i="30"/>
  <c r="D34" i="30"/>
  <c r="E34" i="30"/>
  <c r="F34" i="30"/>
  <c r="H34" i="30"/>
  <c r="I34" i="30"/>
  <c r="C35" i="30"/>
  <c r="D35" i="30"/>
  <c r="E35" i="30"/>
  <c r="F35" i="30"/>
  <c r="H35" i="30"/>
  <c r="I35" i="30"/>
  <c r="C36" i="30"/>
  <c r="D36" i="30"/>
  <c r="E36" i="30"/>
  <c r="F36" i="30"/>
  <c r="H36" i="30"/>
  <c r="I36" i="30"/>
  <c r="C37" i="30"/>
  <c r="D37" i="30"/>
  <c r="E37" i="30"/>
  <c r="F37" i="30"/>
  <c r="H37" i="30"/>
  <c r="I37" i="30"/>
  <c r="C38" i="30"/>
  <c r="D38" i="30"/>
  <c r="E38" i="30"/>
  <c r="F38" i="30"/>
  <c r="H38" i="30"/>
  <c r="I38" i="30"/>
  <c r="C18" i="29"/>
  <c r="D18" i="29"/>
  <c r="E18" i="29"/>
  <c r="F18" i="29"/>
  <c r="H18" i="29"/>
  <c r="I18" i="29"/>
  <c r="C19" i="29"/>
  <c r="D19" i="29"/>
  <c r="E19" i="29"/>
  <c r="F19" i="29"/>
  <c r="H19" i="29"/>
  <c r="I19" i="29"/>
  <c r="C20" i="29"/>
  <c r="D20" i="29"/>
  <c r="E20" i="29"/>
  <c r="F20" i="29"/>
  <c r="H20" i="29"/>
  <c r="I20" i="29"/>
  <c r="C21" i="29"/>
  <c r="D21" i="29"/>
  <c r="E21" i="29"/>
  <c r="F21" i="29"/>
  <c r="H21" i="29"/>
  <c r="I21" i="29"/>
  <c r="C22" i="29"/>
  <c r="D22" i="29"/>
  <c r="E22" i="29"/>
  <c r="F22" i="29"/>
  <c r="H22" i="29"/>
  <c r="I22" i="29"/>
  <c r="C23" i="29"/>
  <c r="D23" i="29"/>
  <c r="E23" i="29"/>
  <c r="F23" i="29"/>
  <c r="H23" i="29"/>
  <c r="I23" i="29"/>
  <c r="C24" i="29"/>
  <c r="D24" i="29"/>
  <c r="E24" i="29"/>
  <c r="F24" i="29"/>
  <c r="H24" i="29"/>
  <c r="I24" i="29"/>
  <c r="C25" i="29"/>
  <c r="D25" i="29"/>
  <c r="E25" i="29"/>
  <c r="F25" i="29"/>
  <c r="H25" i="29"/>
  <c r="I25" i="29"/>
  <c r="C26" i="29"/>
  <c r="D26" i="29"/>
  <c r="E26" i="29"/>
  <c r="F26" i="29"/>
  <c r="H26" i="29"/>
  <c r="I26" i="29"/>
  <c r="C27" i="29"/>
  <c r="D27" i="29"/>
  <c r="E27" i="29"/>
  <c r="F27" i="29"/>
  <c r="H27" i="29"/>
  <c r="I27" i="29"/>
  <c r="C28" i="29"/>
  <c r="D28" i="29"/>
  <c r="E28" i="29"/>
  <c r="F28" i="29"/>
  <c r="H28" i="29"/>
  <c r="I28" i="29"/>
  <c r="C29" i="29"/>
  <c r="D29" i="29"/>
  <c r="E29" i="29"/>
  <c r="F29" i="29"/>
  <c r="H29" i="29"/>
  <c r="I29" i="29"/>
  <c r="C30" i="29"/>
  <c r="D30" i="29"/>
  <c r="E30" i="29"/>
  <c r="F30" i="29"/>
  <c r="H30" i="29"/>
  <c r="I30" i="29"/>
  <c r="C31" i="29"/>
  <c r="D31" i="29"/>
  <c r="E31" i="29"/>
  <c r="F31" i="29"/>
  <c r="H31" i="29"/>
  <c r="I31" i="29"/>
  <c r="C32" i="29"/>
  <c r="D32" i="29"/>
  <c r="E32" i="29"/>
  <c r="F32" i="29"/>
  <c r="H32" i="29"/>
  <c r="I32" i="29"/>
  <c r="C33" i="29"/>
  <c r="D33" i="29"/>
  <c r="E33" i="29"/>
  <c r="F33" i="29"/>
  <c r="H33" i="29"/>
  <c r="I33" i="29"/>
  <c r="C34" i="29"/>
  <c r="D34" i="29"/>
  <c r="E34" i="29"/>
  <c r="F34" i="29"/>
  <c r="H34" i="29"/>
  <c r="I34" i="29"/>
  <c r="C35" i="29"/>
  <c r="D35" i="29"/>
  <c r="E35" i="29"/>
  <c r="F35" i="29"/>
  <c r="H35" i="29"/>
  <c r="I35" i="29"/>
  <c r="C36" i="29"/>
  <c r="D36" i="29"/>
  <c r="E36" i="29"/>
  <c r="F36" i="29"/>
  <c r="H36" i="29"/>
  <c r="I36" i="29"/>
  <c r="C37" i="29"/>
  <c r="D37" i="29"/>
  <c r="E37" i="29"/>
  <c r="F37" i="29"/>
  <c r="H37" i="29"/>
  <c r="I37" i="29"/>
  <c r="C38" i="29"/>
  <c r="D38" i="29"/>
  <c r="E38" i="29"/>
  <c r="F38" i="29"/>
  <c r="H38" i="29"/>
  <c r="I38" i="29"/>
  <c r="C18" i="18"/>
  <c r="D18" i="18"/>
  <c r="E18" i="18"/>
  <c r="F18" i="18"/>
  <c r="H18" i="18"/>
  <c r="I18" i="18"/>
  <c r="C19" i="18"/>
  <c r="D19" i="18"/>
  <c r="E19" i="18"/>
  <c r="F19" i="18"/>
  <c r="H19" i="18"/>
  <c r="I19" i="18"/>
  <c r="C20" i="18"/>
  <c r="D20" i="18"/>
  <c r="E20" i="18"/>
  <c r="F20" i="18"/>
  <c r="H20" i="18"/>
  <c r="I20" i="18"/>
  <c r="C21" i="18"/>
  <c r="D21" i="18"/>
  <c r="E21" i="18"/>
  <c r="F21" i="18"/>
  <c r="H21" i="18"/>
  <c r="I21" i="18"/>
  <c r="C22" i="18"/>
  <c r="D22" i="18"/>
  <c r="E22" i="18"/>
  <c r="F22" i="18"/>
  <c r="H22" i="18"/>
  <c r="I22" i="18"/>
  <c r="C23" i="18"/>
  <c r="D23" i="18"/>
  <c r="E23" i="18"/>
  <c r="F23" i="18"/>
  <c r="H23" i="18"/>
  <c r="I23" i="18"/>
  <c r="C24" i="18"/>
  <c r="D24" i="18"/>
  <c r="E24" i="18"/>
  <c r="F24" i="18"/>
  <c r="H24" i="18"/>
  <c r="I24" i="18"/>
  <c r="C25" i="18"/>
  <c r="D25" i="18"/>
  <c r="E25" i="18"/>
  <c r="F25" i="18"/>
  <c r="H25" i="18"/>
  <c r="I25" i="18"/>
  <c r="C26" i="18"/>
  <c r="D26" i="18"/>
  <c r="E26" i="18"/>
  <c r="F26" i="18"/>
  <c r="H26" i="18"/>
  <c r="I26" i="18"/>
  <c r="C27" i="18"/>
  <c r="D27" i="18"/>
  <c r="E27" i="18"/>
  <c r="F27" i="18"/>
  <c r="H27" i="18"/>
  <c r="I27" i="18"/>
  <c r="C28" i="18"/>
  <c r="D28" i="18"/>
  <c r="E28" i="18"/>
  <c r="F28" i="18"/>
  <c r="H28" i="18"/>
  <c r="I28" i="18"/>
  <c r="C29" i="18"/>
  <c r="D29" i="18"/>
  <c r="E29" i="18"/>
  <c r="F29" i="18"/>
  <c r="H29" i="18"/>
  <c r="I29" i="18"/>
  <c r="C30" i="18"/>
  <c r="D30" i="18"/>
  <c r="E30" i="18"/>
  <c r="F30" i="18"/>
  <c r="H30" i="18"/>
  <c r="I30" i="18"/>
  <c r="C31" i="18"/>
  <c r="D31" i="18"/>
  <c r="E31" i="18"/>
  <c r="F31" i="18"/>
  <c r="H31" i="18"/>
  <c r="I31" i="18"/>
  <c r="C32" i="18"/>
  <c r="D32" i="18"/>
  <c r="E32" i="18"/>
  <c r="F32" i="18"/>
  <c r="H32" i="18"/>
  <c r="I32" i="18"/>
  <c r="C33" i="18"/>
  <c r="D33" i="18"/>
  <c r="E33" i="18"/>
  <c r="F33" i="18"/>
  <c r="H33" i="18"/>
  <c r="I33" i="18"/>
  <c r="C34" i="18"/>
  <c r="D34" i="18"/>
  <c r="E34" i="18"/>
  <c r="F34" i="18"/>
  <c r="H34" i="18"/>
  <c r="I34" i="18"/>
  <c r="C35" i="18"/>
  <c r="D35" i="18"/>
  <c r="E35" i="18"/>
  <c r="F35" i="18"/>
  <c r="H35" i="18"/>
  <c r="I35" i="18"/>
  <c r="C36" i="18"/>
  <c r="D36" i="18"/>
  <c r="E36" i="18"/>
  <c r="F36" i="18"/>
  <c r="H36" i="18"/>
  <c r="I36" i="18"/>
  <c r="C37" i="18"/>
  <c r="D37" i="18"/>
  <c r="E37" i="18"/>
  <c r="F37" i="18"/>
  <c r="H37" i="18"/>
  <c r="I37" i="18"/>
  <c r="C38" i="18"/>
  <c r="D38" i="18"/>
  <c r="E38" i="18"/>
  <c r="F38" i="18"/>
  <c r="H38" i="18"/>
  <c r="I38" i="18"/>
  <c r="C17" i="34"/>
  <c r="D17" i="34"/>
  <c r="E17" i="34"/>
  <c r="F17" i="34"/>
  <c r="H17" i="34"/>
  <c r="I17" i="34"/>
  <c r="C18" i="34"/>
  <c r="D18" i="34"/>
  <c r="E18" i="34"/>
  <c r="F18" i="34"/>
  <c r="H18" i="34"/>
  <c r="I18" i="34"/>
  <c r="C19" i="34"/>
  <c r="D19" i="34"/>
  <c r="E19" i="34"/>
  <c r="F19" i="34"/>
  <c r="H19" i="34"/>
  <c r="I19" i="34"/>
  <c r="C20" i="34"/>
  <c r="D20" i="34"/>
  <c r="E20" i="34"/>
  <c r="F20" i="34"/>
  <c r="H20" i="34"/>
  <c r="I20" i="34"/>
  <c r="C21" i="34"/>
  <c r="D21" i="34"/>
  <c r="E21" i="34"/>
  <c r="F21" i="34"/>
  <c r="H21" i="34"/>
  <c r="I21" i="34"/>
  <c r="C22" i="34"/>
  <c r="D22" i="34"/>
  <c r="E22" i="34"/>
  <c r="F22" i="34"/>
  <c r="H22" i="34"/>
  <c r="I22" i="34"/>
  <c r="C23" i="34"/>
  <c r="D23" i="34"/>
  <c r="E23" i="34"/>
  <c r="F23" i="34"/>
  <c r="H23" i="34"/>
  <c r="I23" i="34"/>
  <c r="C24" i="34"/>
  <c r="D24" i="34"/>
  <c r="E24" i="34"/>
  <c r="F24" i="34"/>
  <c r="H24" i="34"/>
  <c r="I24" i="34"/>
  <c r="C25" i="34"/>
  <c r="D25" i="34"/>
  <c r="E25" i="34"/>
  <c r="F25" i="34"/>
  <c r="H25" i="34"/>
  <c r="I25" i="34"/>
  <c r="C26" i="34"/>
  <c r="D26" i="34"/>
  <c r="E26" i="34"/>
  <c r="F26" i="34"/>
  <c r="H26" i="34"/>
  <c r="I26" i="34"/>
  <c r="C27" i="34"/>
  <c r="D27" i="34"/>
  <c r="E27" i="34"/>
  <c r="F27" i="34"/>
  <c r="H27" i="34"/>
  <c r="I27" i="34"/>
  <c r="C28" i="34"/>
  <c r="D28" i="34"/>
  <c r="E28" i="34"/>
  <c r="F28" i="34"/>
  <c r="H28" i="34"/>
  <c r="I28" i="34"/>
  <c r="C29" i="34"/>
  <c r="D29" i="34"/>
  <c r="E29" i="34"/>
  <c r="F29" i="34"/>
  <c r="H29" i="34"/>
  <c r="I29" i="34"/>
  <c r="C30" i="34"/>
  <c r="D30" i="34"/>
  <c r="E30" i="34"/>
  <c r="F30" i="34"/>
  <c r="H30" i="34"/>
  <c r="I30" i="34"/>
  <c r="C31" i="34"/>
  <c r="D31" i="34"/>
  <c r="E31" i="34"/>
  <c r="F31" i="34"/>
  <c r="H31" i="34"/>
  <c r="I31" i="34"/>
  <c r="C32" i="34"/>
  <c r="D32" i="34"/>
  <c r="E32" i="34"/>
  <c r="F32" i="34"/>
  <c r="H32" i="34"/>
  <c r="I32" i="34"/>
  <c r="C33" i="34"/>
  <c r="D33" i="34"/>
  <c r="E33" i="34"/>
  <c r="F33" i="34"/>
  <c r="H33" i="34"/>
  <c r="I33" i="34"/>
  <c r="C34" i="34"/>
  <c r="D34" i="34"/>
  <c r="E34" i="34"/>
  <c r="F34" i="34"/>
  <c r="H34" i="34"/>
  <c r="I34" i="34"/>
  <c r="C35" i="34"/>
  <c r="D35" i="34"/>
  <c r="E35" i="34"/>
  <c r="F35" i="34"/>
  <c r="H35" i="34"/>
  <c r="I35" i="34"/>
  <c r="C36" i="34"/>
  <c r="D36" i="34"/>
  <c r="E36" i="34"/>
  <c r="F36" i="34"/>
  <c r="H36" i="34"/>
  <c r="I36" i="34"/>
  <c r="C37" i="34"/>
  <c r="D37" i="34"/>
  <c r="E37" i="34"/>
  <c r="F37" i="34"/>
  <c r="H37" i="34"/>
  <c r="I37" i="34"/>
  <c r="C38" i="34"/>
  <c r="D38" i="34"/>
  <c r="E38" i="34"/>
  <c r="F38" i="34"/>
  <c r="H38" i="34"/>
  <c r="I38" i="34"/>
  <c r="C18" i="1"/>
  <c r="D18" i="1"/>
  <c r="E18" i="1"/>
  <c r="F18" i="1"/>
  <c r="G18" i="1"/>
  <c r="H18" i="1"/>
  <c r="I18" i="1"/>
  <c r="C19" i="1"/>
  <c r="D19" i="1"/>
  <c r="E19" i="1"/>
  <c r="F19" i="1"/>
  <c r="G19" i="1"/>
  <c r="H19" i="1"/>
  <c r="I19" i="1"/>
  <c r="C20" i="1"/>
  <c r="D20" i="1"/>
  <c r="E20" i="1"/>
  <c r="F20" i="1"/>
  <c r="G20" i="1"/>
  <c r="H20" i="1"/>
  <c r="I20" i="1"/>
  <c r="C21" i="1"/>
  <c r="D21" i="1"/>
  <c r="E21" i="1"/>
  <c r="F21" i="1"/>
  <c r="G21" i="1"/>
  <c r="H21" i="1"/>
  <c r="I21" i="1"/>
  <c r="C22" i="1"/>
  <c r="D22" i="1"/>
  <c r="E22" i="1"/>
  <c r="F22" i="1"/>
  <c r="G22" i="1"/>
  <c r="H22" i="1"/>
  <c r="I22" i="1"/>
  <c r="C23" i="1"/>
  <c r="D23" i="1"/>
  <c r="E23" i="1"/>
  <c r="F23" i="1"/>
  <c r="G23" i="1"/>
  <c r="H23" i="1"/>
  <c r="I23" i="1"/>
  <c r="C24" i="1"/>
  <c r="D24" i="1"/>
  <c r="E24" i="1"/>
  <c r="F24" i="1"/>
  <c r="G24" i="1"/>
  <c r="H24" i="1"/>
  <c r="I24" i="1"/>
  <c r="C25" i="1"/>
  <c r="D25" i="1"/>
  <c r="E25" i="1"/>
  <c r="F25" i="1"/>
  <c r="G25" i="1"/>
  <c r="H25" i="1"/>
  <c r="I25" i="1"/>
  <c r="C26" i="1"/>
  <c r="D26" i="1"/>
  <c r="E26" i="1"/>
  <c r="F26" i="1"/>
  <c r="G26" i="1"/>
  <c r="H26" i="1"/>
  <c r="I26" i="1"/>
  <c r="C27" i="1"/>
  <c r="D27" i="1"/>
  <c r="E27" i="1"/>
  <c r="F27" i="1"/>
  <c r="G27" i="1"/>
  <c r="H27" i="1"/>
  <c r="I27" i="1"/>
  <c r="C28" i="1"/>
  <c r="D28" i="1"/>
  <c r="E28" i="1"/>
  <c r="F28" i="1"/>
  <c r="G28" i="1"/>
  <c r="H28" i="1"/>
  <c r="I28" i="1"/>
  <c r="C29" i="1"/>
  <c r="D29" i="1"/>
  <c r="E29" i="1"/>
  <c r="F29" i="1"/>
  <c r="G29" i="1"/>
  <c r="H29" i="1"/>
  <c r="I29" i="1"/>
  <c r="C30" i="1"/>
  <c r="D30" i="1"/>
  <c r="E30" i="1"/>
  <c r="F30" i="1"/>
  <c r="G30" i="1"/>
  <c r="H30" i="1"/>
  <c r="I30" i="1"/>
  <c r="C31" i="1"/>
  <c r="D31" i="1"/>
  <c r="E31" i="1"/>
  <c r="F31" i="1"/>
  <c r="G31" i="1"/>
  <c r="H31" i="1"/>
  <c r="I31" i="1"/>
  <c r="C32" i="1"/>
  <c r="D32" i="1"/>
  <c r="E32" i="1"/>
  <c r="F32" i="1"/>
  <c r="G32" i="1"/>
  <c r="H32" i="1"/>
  <c r="I32" i="1"/>
  <c r="C33" i="1"/>
  <c r="D33" i="1"/>
  <c r="E33" i="1"/>
  <c r="F33" i="1"/>
  <c r="G33" i="1"/>
  <c r="H33" i="1"/>
  <c r="I33" i="1"/>
  <c r="C34" i="1"/>
  <c r="D34" i="1"/>
  <c r="E34" i="1"/>
  <c r="F34" i="1"/>
  <c r="G34" i="1"/>
  <c r="H34" i="1"/>
  <c r="I34" i="1"/>
  <c r="C35" i="1"/>
  <c r="D35" i="1"/>
  <c r="E35" i="1"/>
  <c r="F35" i="1"/>
  <c r="G35" i="1"/>
  <c r="H35" i="1"/>
  <c r="I35" i="1"/>
  <c r="C36" i="1"/>
  <c r="D36" i="1"/>
  <c r="E36" i="1"/>
  <c r="F36" i="1"/>
  <c r="G36" i="1"/>
  <c r="H36" i="1"/>
  <c r="I36" i="1"/>
  <c r="C37" i="1"/>
  <c r="D37" i="1"/>
  <c r="E37" i="1"/>
  <c r="F37" i="1"/>
  <c r="G37" i="1"/>
  <c r="H37" i="1"/>
  <c r="I37" i="1"/>
  <c r="C38" i="1"/>
  <c r="D38" i="1"/>
  <c r="E38" i="1"/>
  <c r="F38" i="1"/>
  <c r="G38" i="1"/>
  <c r="H38" i="1"/>
  <c r="I38" i="1"/>
  <c r="C16" i="30"/>
  <c r="D16" i="30"/>
  <c r="E16" i="30"/>
  <c r="F16" i="30"/>
  <c r="H16" i="30"/>
  <c r="I16" i="30"/>
  <c r="C17" i="30"/>
  <c r="D17" i="30"/>
  <c r="E17" i="30"/>
  <c r="F17" i="30"/>
  <c r="H17" i="30"/>
  <c r="I17" i="30"/>
  <c r="C16" i="29"/>
  <c r="D16" i="29"/>
  <c r="E16" i="29"/>
  <c r="F16" i="29"/>
  <c r="H16" i="29"/>
  <c r="I16" i="29"/>
  <c r="C17" i="29"/>
  <c r="D17" i="29"/>
  <c r="E17" i="29"/>
  <c r="F17" i="29"/>
  <c r="H17" i="29"/>
  <c r="I17" i="29"/>
  <c r="C16" i="18"/>
  <c r="D16" i="18"/>
  <c r="E16" i="18"/>
  <c r="F16" i="18"/>
  <c r="H16" i="18"/>
  <c r="I16" i="18"/>
  <c r="C17" i="18"/>
  <c r="D17" i="18"/>
  <c r="E17" i="18"/>
  <c r="F17" i="18"/>
  <c r="H17" i="18"/>
  <c r="I17" i="18"/>
  <c r="C16" i="1"/>
  <c r="D16" i="1"/>
  <c r="E16" i="1"/>
  <c r="F16" i="1"/>
  <c r="G16" i="1"/>
  <c r="C17" i="1"/>
  <c r="D17" i="1"/>
  <c r="E17" i="1"/>
  <c r="F17" i="1"/>
  <c r="G17" i="1"/>
  <c r="C16" i="34"/>
  <c r="D16" i="34"/>
  <c r="E16" i="34"/>
  <c r="F16" i="34"/>
  <c r="H17" i="33"/>
  <c r="I17" i="33" s="1"/>
  <c r="E17" i="33"/>
  <c r="F17" i="33" s="1"/>
  <c r="H16" i="33"/>
  <c r="I16" i="33" s="1"/>
  <c r="E16" i="33"/>
  <c r="F16" i="33" s="1"/>
  <c r="H17" i="32"/>
  <c r="I17" i="32" s="1"/>
  <c r="E17" i="32"/>
  <c r="F17" i="32" s="1"/>
  <c r="H16" i="32"/>
  <c r="I16" i="32" s="1"/>
  <c r="E16" i="32"/>
  <c r="F16" i="32" s="1"/>
  <c r="H17" i="31"/>
  <c r="I17" i="31" s="1"/>
  <c r="E17" i="31"/>
  <c r="F17" i="31" s="1"/>
  <c r="H16" i="31"/>
  <c r="I16" i="31" s="1"/>
  <c r="E16" i="31"/>
  <c r="F16" i="31" s="1"/>
  <c r="H17" i="28"/>
  <c r="I17" i="28" s="1"/>
  <c r="E17" i="28"/>
  <c r="F17" i="28" s="1"/>
  <c r="H16" i="28"/>
  <c r="I16" i="28" s="1"/>
  <c r="E16" i="28"/>
  <c r="F16" i="28" s="1"/>
  <c r="H17" i="27"/>
  <c r="I17" i="27" s="1"/>
  <c r="E17" i="27"/>
  <c r="F17" i="27" s="1"/>
  <c r="H16" i="27"/>
  <c r="I16" i="27" s="1"/>
  <c r="E16" i="27"/>
  <c r="F16" i="27" s="1"/>
  <c r="H17" i="26"/>
  <c r="I17" i="26" s="1"/>
  <c r="E17" i="26"/>
  <c r="F17" i="26" s="1"/>
  <c r="H16" i="26"/>
  <c r="I16" i="26" s="1"/>
  <c r="E16" i="26"/>
  <c r="F16" i="26" s="1"/>
  <c r="H17" i="19"/>
  <c r="I17" i="19" s="1"/>
  <c r="E17" i="19"/>
  <c r="F17" i="19" s="1"/>
  <c r="H16" i="19"/>
  <c r="I16" i="19" s="1"/>
  <c r="E16" i="19"/>
  <c r="F16" i="19" s="1"/>
  <c r="H17" i="20"/>
  <c r="I17" i="20" s="1"/>
  <c r="E17" i="20"/>
  <c r="F17" i="20" s="1"/>
  <c r="H16" i="20"/>
  <c r="I16" i="20" s="1"/>
  <c r="E16" i="20"/>
  <c r="F16" i="20" s="1"/>
  <c r="H17" i="21"/>
  <c r="I17" i="21" s="1"/>
  <c r="E17" i="21"/>
  <c r="F17" i="21" s="1"/>
  <c r="H16" i="21"/>
  <c r="I16" i="21" s="1"/>
  <c r="E16" i="21"/>
  <c r="F16" i="21" s="1"/>
  <c r="H17" i="4"/>
  <c r="I17" i="4" s="1"/>
  <c r="E17" i="4"/>
  <c r="F17" i="4" s="1"/>
  <c r="H16" i="4"/>
  <c r="I16" i="4" s="1"/>
  <c r="E16" i="4"/>
  <c r="F16" i="4" s="1"/>
  <c r="E16" i="3"/>
  <c r="F16" i="3"/>
  <c r="H16" i="3"/>
  <c r="I16" i="3"/>
  <c r="E17" i="3"/>
  <c r="F17" i="3"/>
  <c r="H17" i="3"/>
  <c r="I17" i="3"/>
  <c r="E16" i="72"/>
  <c r="F16" i="72"/>
  <c r="H16" i="72"/>
  <c r="I16" i="72"/>
  <c r="E17" i="72"/>
  <c r="F17" i="72"/>
  <c r="H17" i="72"/>
  <c r="I17" i="72"/>
  <c r="E15" i="72"/>
  <c r="F15" i="72" s="1"/>
  <c r="E14" i="72"/>
  <c r="F14" i="72" s="1"/>
  <c r="E13" i="72"/>
  <c r="F13" i="72" s="1"/>
  <c r="E12" i="72"/>
  <c r="F12" i="72" s="1"/>
  <c r="E11" i="72"/>
  <c r="F11" i="72" s="1"/>
  <c r="E10" i="72"/>
  <c r="F10" i="72" s="1"/>
  <c r="E9" i="72"/>
  <c r="F9" i="72" s="1"/>
  <c r="E8" i="72"/>
  <c r="F8" i="72" s="1"/>
  <c r="E7" i="72"/>
  <c r="F7" i="72" s="1"/>
  <c r="E6" i="72"/>
  <c r="F6" i="72" s="1"/>
  <c r="E5" i="72"/>
  <c r="F5" i="72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/>
  <c r="E5" i="3"/>
  <c r="F5" i="3" s="1"/>
  <c r="H5" i="3"/>
  <c r="I5" i="3" s="1"/>
  <c r="E6" i="3"/>
  <c r="F6" i="3" s="1"/>
  <c r="H6" i="3"/>
  <c r="I6" i="3"/>
  <c r="E7" i="3"/>
  <c r="F7" i="3" s="1"/>
  <c r="H7" i="3"/>
  <c r="I7" i="3" s="1"/>
  <c r="E8" i="3"/>
  <c r="F8" i="3" s="1"/>
  <c r="H8" i="3"/>
  <c r="I8" i="3"/>
  <c r="E9" i="3"/>
  <c r="F9" i="3" s="1"/>
  <c r="H9" i="3"/>
  <c r="I9" i="3" s="1"/>
  <c r="E10" i="3"/>
  <c r="F10" i="3" s="1"/>
  <c r="H10" i="3"/>
  <c r="I10" i="3"/>
  <c r="E11" i="3"/>
  <c r="F11" i="3" s="1"/>
  <c r="H11" i="3"/>
  <c r="I11" i="3" s="1"/>
  <c r="E12" i="3"/>
  <c r="F12" i="3" s="1"/>
  <c r="H12" i="3"/>
  <c r="I12" i="3"/>
  <c r="E13" i="3"/>
  <c r="F13" i="3" s="1"/>
  <c r="H13" i="3"/>
  <c r="I13" i="3" s="1"/>
  <c r="E14" i="3"/>
  <c r="F14" i="3" s="1"/>
  <c r="H14" i="3"/>
  <c r="I14" i="3"/>
  <c r="E15" i="3"/>
  <c r="F15" i="3" s="1"/>
  <c r="H15" i="3"/>
  <c r="I15" i="3" s="1"/>
  <c r="G6" i="1"/>
  <c r="G7" i="1"/>
  <c r="G8" i="1"/>
  <c r="G9" i="1"/>
  <c r="G10" i="1"/>
  <c r="G11" i="1"/>
  <c r="G12" i="1"/>
  <c r="G13" i="1"/>
  <c r="G14" i="1"/>
  <c r="G15" i="1"/>
  <c r="G5" i="1"/>
  <c r="G4" i="1"/>
  <c r="D15" i="34"/>
  <c r="D14" i="34"/>
  <c r="D13" i="34"/>
  <c r="D12" i="34"/>
  <c r="D11" i="34"/>
  <c r="D10" i="34"/>
  <c r="D9" i="34"/>
  <c r="D8" i="34"/>
  <c r="D7" i="34"/>
  <c r="D6" i="34"/>
  <c r="D5" i="34"/>
  <c r="C15" i="34"/>
  <c r="C14" i="34"/>
  <c r="C13" i="34"/>
  <c r="C12" i="34"/>
  <c r="C11" i="34"/>
  <c r="C10" i="34"/>
  <c r="C9" i="34"/>
  <c r="C8" i="34"/>
  <c r="C7" i="34"/>
  <c r="C6" i="34"/>
  <c r="C5" i="34"/>
  <c r="B4" i="34" a="1"/>
  <c r="B4" i="34" s="1"/>
  <c r="A4" i="34" a="1"/>
  <c r="A4" i="34" s="1"/>
  <c r="G2" i="34"/>
  <c r="A1" i="34" a="1"/>
  <c r="A1" i="34" s="1"/>
  <c r="D15" i="30"/>
  <c r="C15" i="30"/>
  <c r="D14" i="30"/>
  <c r="C14" i="30"/>
  <c r="E14" i="30" s="1"/>
  <c r="F14" i="30" s="1"/>
  <c r="D13" i="30"/>
  <c r="C13" i="30"/>
  <c r="D12" i="30"/>
  <c r="C12" i="30"/>
  <c r="E12" i="30" s="1"/>
  <c r="F12" i="30" s="1"/>
  <c r="D11" i="30"/>
  <c r="C11" i="30"/>
  <c r="D10" i="30"/>
  <c r="C10" i="30"/>
  <c r="E10" i="30" s="1"/>
  <c r="F10" i="30" s="1"/>
  <c r="D9" i="30"/>
  <c r="C9" i="30"/>
  <c r="E9" i="30" s="1"/>
  <c r="F9" i="30" s="1"/>
  <c r="D8" i="30"/>
  <c r="C8" i="30"/>
  <c r="E8" i="30" s="1"/>
  <c r="F8" i="30" s="1"/>
  <c r="D7" i="30"/>
  <c r="C7" i="30"/>
  <c r="H6" i="30"/>
  <c r="I6" i="30" s="1"/>
  <c r="D6" i="30"/>
  <c r="C6" i="30"/>
  <c r="E6" i="30" s="1"/>
  <c r="F6" i="30" s="1"/>
  <c r="D5" i="30"/>
  <c r="C5" i="30"/>
  <c r="E5" i="30" s="1"/>
  <c r="F5" i="30" s="1"/>
  <c r="D4" i="30"/>
  <c r="C4" i="30"/>
  <c r="E4" i="30" s="1"/>
  <c r="F4" i="30" s="1"/>
  <c r="D15" i="29"/>
  <c r="C15" i="29"/>
  <c r="D14" i="29"/>
  <c r="C14" i="29"/>
  <c r="E14" i="29" s="1"/>
  <c r="F14" i="29" s="1"/>
  <c r="D13" i="29"/>
  <c r="C13" i="29"/>
  <c r="D12" i="29"/>
  <c r="C12" i="29"/>
  <c r="E12" i="29" s="1"/>
  <c r="F12" i="29" s="1"/>
  <c r="D11" i="29"/>
  <c r="C11" i="29"/>
  <c r="E11" i="29" s="1"/>
  <c r="F11" i="29" s="1"/>
  <c r="D10" i="29"/>
  <c r="C10" i="29"/>
  <c r="E10" i="29" s="1"/>
  <c r="F10" i="29" s="1"/>
  <c r="D9" i="29"/>
  <c r="C9" i="29"/>
  <c r="E9" i="29" s="1"/>
  <c r="F9" i="29" s="1"/>
  <c r="D8" i="29"/>
  <c r="C8" i="29"/>
  <c r="E8" i="29" s="1"/>
  <c r="F8" i="29" s="1"/>
  <c r="D7" i="29"/>
  <c r="C7" i="29"/>
  <c r="D6" i="29"/>
  <c r="C6" i="29"/>
  <c r="E6" i="29" s="1"/>
  <c r="F6" i="29" s="1"/>
  <c r="D5" i="29"/>
  <c r="C5" i="29"/>
  <c r="E5" i="29" s="1"/>
  <c r="F5" i="29" s="1"/>
  <c r="D4" i="29"/>
  <c r="D2" i="29" s="1"/>
  <c r="C4" i="29"/>
  <c r="D15" i="18"/>
  <c r="C15" i="18"/>
  <c r="E15" i="18" s="1"/>
  <c r="F15" i="18" s="1"/>
  <c r="D14" i="18"/>
  <c r="C14" i="18"/>
  <c r="E14" i="18" s="1"/>
  <c r="F14" i="18" s="1"/>
  <c r="D13" i="18"/>
  <c r="C13" i="18"/>
  <c r="E13" i="18" s="1"/>
  <c r="F13" i="18" s="1"/>
  <c r="D12" i="18"/>
  <c r="C12" i="18"/>
  <c r="E12" i="18" s="1"/>
  <c r="F12" i="18" s="1"/>
  <c r="D11" i="18"/>
  <c r="C11" i="18"/>
  <c r="E11" i="18" s="1"/>
  <c r="F11" i="18" s="1"/>
  <c r="D10" i="18"/>
  <c r="C10" i="18"/>
  <c r="E10" i="18" s="1"/>
  <c r="F10" i="18" s="1"/>
  <c r="D9" i="18"/>
  <c r="C9" i="18"/>
  <c r="D8" i="18"/>
  <c r="C8" i="18"/>
  <c r="E8" i="18" s="1"/>
  <c r="F8" i="18" s="1"/>
  <c r="D7" i="18"/>
  <c r="C7" i="18"/>
  <c r="E7" i="18" s="1"/>
  <c r="F7" i="18" s="1"/>
  <c r="D6" i="18"/>
  <c r="C6" i="18"/>
  <c r="E6" i="18" s="1"/>
  <c r="F6" i="18" s="1"/>
  <c r="D5" i="18"/>
  <c r="C5" i="18"/>
  <c r="E5" i="18" s="1"/>
  <c r="F5" i="18" s="1"/>
  <c r="D4" i="18"/>
  <c r="C4" i="18"/>
  <c r="E4" i="18" s="1"/>
  <c r="F4" i="18" s="1"/>
  <c r="E11" i="30"/>
  <c r="F11" i="30" s="1"/>
  <c r="D2" i="30"/>
  <c r="E13" i="29"/>
  <c r="F13" i="29" s="1"/>
  <c r="D2" i="18"/>
  <c r="E15" i="30"/>
  <c r="F15" i="30" s="1"/>
  <c r="E13" i="30"/>
  <c r="F13" i="30" s="1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E9" i="18"/>
  <c r="F9" i="18" s="1"/>
  <c r="B4" i="18" a="1"/>
  <c r="B4" i="18" s="1"/>
  <c r="A4" i="18" a="1"/>
  <c r="A4" i="18" s="1"/>
  <c r="G2" i="18"/>
  <c r="A1" i="18" a="1"/>
  <c r="A1" i="18" s="1"/>
  <c r="C15" i="1"/>
  <c r="C14" i="1"/>
  <c r="C13" i="1"/>
  <c r="C12" i="1"/>
  <c r="C11" i="1"/>
  <c r="C10" i="1"/>
  <c r="C9" i="1"/>
  <c r="C8" i="1"/>
  <c r="C7" i="1"/>
  <c r="C6" i="1"/>
  <c r="C5" i="1"/>
  <c r="C4" i="1"/>
  <c r="D6" i="1"/>
  <c r="D7" i="1"/>
  <c r="D8" i="1"/>
  <c r="D9" i="1"/>
  <c r="D10" i="1"/>
  <c r="D11" i="1"/>
  <c r="D12" i="1"/>
  <c r="D13" i="1"/>
  <c r="D14" i="1"/>
  <c r="D15" i="1"/>
  <c r="D5" i="1"/>
  <c r="D4" i="1"/>
  <c r="D4" i="34" s="1"/>
  <c r="B4" i="1" a="1"/>
  <c r="B4" i="1" s="1"/>
  <c r="A4" i="1" a="1"/>
  <c r="A4" i="1" s="1"/>
  <c r="A1" i="1" a="1"/>
  <c r="A1" i="1" s="1"/>
  <c r="H15" i="33"/>
  <c r="I15" i="33" s="1"/>
  <c r="E15" i="33"/>
  <c r="F15" i="33" s="1"/>
  <c r="I14" i="33"/>
  <c r="H14" i="33"/>
  <c r="E14" i="33"/>
  <c r="F14" i="33" s="1"/>
  <c r="H13" i="33"/>
  <c r="I13" i="33" s="1"/>
  <c r="E13" i="33"/>
  <c r="F13" i="33" s="1"/>
  <c r="I12" i="33"/>
  <c r="H12" i="33"/>
  <c r="E12" i="33"/>
  <c r="F12" i="33" s="1"/>
  <c r="H11" i="33"/>
  <c r="I11" i="33" s="1"/>
  <c r="E11" i="33"/>
  <c r="F11" i="33" s="1"/>
  <c r="H10" i="33"/>
  <c r="I10" i="33" s="1"/>
  <c r="E10" i="33"/>
  <c r="F10" i="33" s="1"/>
  <c r="H9" i="33"/>
  <c r="I9" i="33" s="1"/>
  <c r="E9" i="33"/>
  <c r="F9" i="33" s="1"/>
  <c r="I8" i="33"/>
  <c r="H8" i="33"/>
  <c r="E8" i="33"/>
  <c r="F8" i="33" s="1"/>
  <c r="H7" i="33"/>
  <c r="I7" i="33" s="1"/>
  <c r="E7" i="33"/>
  <c r="F7" i="33" s="1"/>
  <c r="I6" i="33"/>
  <c r="H6" i="33"/>
  <c r="E6" i="33"/>
  <c r="F6" i="33" s="1"/>
  <c r="I5" i="33"/>
  <c r="H5" i="33"/>
  <c r="E5" i="33"/>
  <c r="F5" i="33" s="1"/>
  <c r="I4" i="33"/>
  <c r="H4" i="33"/>
  <c r="E4" i="33"/>
  <c r="F4" i="33" s="1"/>
  <c r="G2" i="33"/>
  <c r="D2" i="33"/>
  <c r="C2" i="33"/>
  <c r="A1" i="33" a="1"/>
  <c r="A1" i="33" s="1"/>
  <c r="H15" i="32"/>
  <c r="I15" i="32" s="1"/>
  <c r="F15" i="32"/>
  <c r="E15" i="32"/>
  <c r="H14" i="32"/>
  <c r="I14" i="32" s="1"/>
  <c r="E14" i="32"/>
  <c r="F14" i="32" s="1"/>
  <c r="H13" i="32"/>
  <c r="I13" i="32" s="1"/>
  <c r="E13" i="32"/>
  <c r="F13" i="32" s="1"/>
  <c r="H12" i="32"/>
  <c r="I12" i="32" s="1"/>
  <c r="F12" i="32"/>
  <c r="E12" i="32"/>
  <c r="H11" i="32"/>
  <c r="I11" i="32" s="1"/>
  <c r="E11" i="32"/>
  <c r="F11" i="32" s="1"/>
  <c r="H10" i="32"/>
  <c r="I10" i="32" s="1"/>
  <c r="E10" i="32"/>
  <c r="F10" i="32" s="1"/>
  <c r="H9" i="32"/>
  <c r="I9" i="32" s="1"/>
  <c r="F9" i="32"/>
  <c r="E9" i="32"/>
  <c r="H8" i="32"/>
  <c r="I8" i="32" s="1"/>
  <c r="E8" i="32"/>
  <c r="F8" i="32" s="1"/>
  <c r="H7" i="32"/>
  <c r="I7" i="32" s="1"/>
  <c r="E7" i="32"/>
  <c r="F7" i="32" s="1"/>
  <c r="H6" i="32"/>
  <c r="I6" i="32" s="1"/>
  <c r="F6" i="32"/>
  <c r="E6" i="32"/>
  <c r="H5" i="32"/>
  <c r="I5" i="32" s="1"/>
  <c r="E5" i="32"/>
  <c r="F5" i="32" s="1"/>
  <c r="H4" i="32"/>
  <c r="I4" i="32" s="1"/>
  <c r="E4" i="32"/>
  <c r="F4" i="32" s="1"/>
  <c r="G2" i="32"/>
  <c r="D2" i="32"/>
  <c r="C2" i="32"/>
  <c r="A1" i="32" a="1"/>
  <c r="A1" i="32" s="1"/>
  <c r="H15" i="31"/>
  <c r="I15" i="31" s="1"/>
  <c r="E15" i="31"/>
  <c r="F15" i="31" s="1"/>
  <c r="H14" i="31"/>
  <c r="I14" i="31" s="1"/>
  <c r="E14" i="31"/>
  <c r="F14" i="31" s="1"/>
  <c r="H13" i="31"/>
  <c r="I13" i="31" s="1"/>
  <c r="E13" i="31"/>
  <c r="F13" i="31" s="1"/>
  <c r="H12" i="31"/>
  <c r="I12" i="31" s="1"/>
  <c r="E12" i="31"/>
  <c r="F12" i="31" s="1"/>
  <c r="H11" i="31"/>
  <c r="I11" i="31" s="1"/>
  <c r="E11" i="31"/>
  <c r="F11" i="31" s="1"/>
  <c r="H10" i="31"/>
  <c r="I10" i="31" s="1"/>
  <c r="E10" i="31"/>
  <c r="F10" i="31" s="1"/>
  <c r="H9" i="31"/>
  <c r="I9" i="31" s="1"/>
  <c r="E9" i="31"/>
  <c r="F9" i="31" s="1"/>
  <c r="H8" i="31"/>
  <c r="I8" i="31" s="1"/>
  <c r="E8" i="31"/>
  <c r="F8" i="31" s="1"/>
  <c r="H7" i="31"/>
  <c r="I7" i="31" s="1"/>
  <c r="E7" i="31"/>
  <c r="F7" i="31" s="1"/>
  <c r="H6" i="31"/>
  <c r="I6" i="31" s="1"/>
  <c r="E6" i="31"/>
  <c r="F6" i="31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15" i="28"/>
  <c r="I15" i="28" s="1"/>
  <c r="E15" i="28"/>
  <c r="F15" i="28" s="1"/>
  <c r="H14" i="28"/>
  <c r="I14" i="28" s="1"/>
  <c r="E14" i="28"/>
  <c r="F14" i="28" s="1"/>
  <c r="I13" i="28"/>
  <c r="H13" i="28"/>
  <c r="E13" i="28"/>
  <c r="F13" i="28" s="1"/>
  <c r="H12" i="28"/>
  <c r="I12" i="28" s="1"/>
  <c r="E12" i="28"/>
  <c r="F12" i="28" s="1"/>
  <c r="H11" i="28"/>
  <c r="I11" i="28" s="1"/>
  <c r="E11" i="28"/>
  <c r="F11" i="28" s="1"/>
  <c r="I10" i="28"/>
  <c r="H10" i="28"/>
  <c r="E10" i="28"/>
  <c r="F10" i="28" s="1"/>
  <c r="H9" i="28"/>
  <c r="I9" i="28" s="1"/>
  <c r="E9" i="28"/>
  <c r="F9" i="28" s="1"/>
  <c r="H8" i="28"/>
  <c r="I8" i="28" s="1"/>
  <c r="E8" i="28"/>
  <c r="F8" i="28" s="1"/>
  <c r="I7" i="28"/>
  <c r="H7" i="28"/>
  <c r="E7" i="28"/>
  <c r="F7" i="28" s="1"/>
  <c r="H6" i="28"/>
  <c r="I6" i="28" s="1"/>
  <c r="E6" i="28"/>
  <c r="F6" i="28" s="1"/>
  <c r="H5" i="28"/>
  <c r="I5" i="28" s="1"/>
  <c r="E5" i="28"/>
  <c r="F5" i="28" s="1"/>
  <c r="I4" i="28"/>
  <c r="H4" i="28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15" i="27"/>
  <c r="I15" i="27" s="1"/>
  <c r="E15" i="27"/>
  <c r="F15" i="27" s="1"/>
  <c r="H14" i="27"/>
  <c r="I14" i="27" s="1"/>
  <c r="F14" i="27"/>
  <c r="E14" i="27"/>
  <c r="I13" i="27"/>
  <c r="H13" i="27"/>
  <c r="H13" i="29" s="1"/>
  <c r="I13" i="29" s="1"/>
  <c r="E13" i="27"/>
  <c r="F13" i="27" s="1"/>
  <c r="H12" i="27"/>
  <c r="I12" i="27" s="1"/>
  <c r="E12" i="27"/>
  <c r="F12" i="27" s="1"/>
  <c r="H11" i="27"/>
  <c r="I11" i="27" s="1"/>
  <c r="F11" i="27"/>
  <c r="E11" i="27"/>
  <c r="I10" i="27"/>
  <c r="H10" i="27"/>
  <c r="H10" i="29" s="1"/>
  <c r="I10" i="29" s="1"/>
  <c r="E10" i="27"/>
  <c r="F10" i="27" s="1"/>
  <c r="H9" i="27"/>
  <c r="I9" i="27" s="1"/>
  <c r="E9" i="27"/>
  <c r="F9" i="27" s="1"/>
  <c r="H8" i="27"/>
  <c r="I8" i="27" s="1"/>
  <c r="F8" i="27"/>
  <c r="E8" i="27"/>
  <c r="I7" i="27"/>
  <c r="H7" i="27"/>
  <c r="E7" i="27"/>
  <c r="F7" i="27" s="1"/>
  <c r="H6" i="27"/>
  <c r="I6" i="27" s="1"/>
  <c r="E6" i="27"/>
  <c r="F6" i="27" s="1"/>
  <c r="H5" i="27"/>
  <c r="I5" i="27" s="1"/>
  <c r="F5" i="27"/>
  <c r="E5" i="27"/>
  <c r="I4" i="27"/>
  <c r="H4" i="27"/>
  <c r="E4" i="27"/>
  <c r="F4" i="27" s="1"/>
  <c r="G2" i="27"/>
  <c r="D2" i="27"/>
  <c r="C2" i="27"/>
  <c r="A1" i="27" a="1"/>
  <c r="A1" i="27" s="1"/>
  <c r="H15" i="26"/>
  <c r="H15" i="29" s="1"/>
  <c r="I15" i="29" s="1"/>
  <c r="E15" i="26"/>
  <c r="F15" i="26" s="1"/>
  <c r="H14" i="26"/>
  <c r="I14" i="26" s="1"/>
  <c r="E14" i="26"/>
  <c r="F14" i="26" s="1"/>
  <c r="H13" i="26"/>
  <c r="I13" i="26" s="1"/>
  <c r="E13" i="26"/>
  <c r="F13" i="26" s="1"/>
  <c r="H12" i="26"/>
  <c r="H12" i="29" s="1"/>
  <c r="I12" i="29" s="1"/>
  <c r="E12" i="26"/>
  <c r="F12" i="26" s="1"/>
  <c r="H11" i="26"/>
  <c r="I11" i="26" s="1"/>
  <c r="E11" i="26"/>
  <c r="F11" i="26" s="1"/>
  <c r="H10" i="26"/>
  <c r="I10" i="26" s="1"/>
  <c r="E10" i="26"/>
  <c r="F10" i="26" s="1"/>
  <c r="H9" i="26"/>
  <c r="H9" i="29" s="1"/>
  <c r="I9" i="29" s="1"/>
  <c r="E9" i="26"/>
  <c r="F9" i="26" s="1"/>
  <c r="H8" i="26"/>
  <c r="I8" i="26" s="1"/>
  <c r="E8" i="26"/>
  <c r="F8" i="26" s="1"/>
  <c r="H7" i="26"/>
  <c r="H7" i="29" s="1"/>
  <c r="I7" i="29" s="1"/>
  <c r="E7" i="26"/>
  <c r="F7" i="26" s="1"/>
  <c r="H6" i="26"/>
  <c r="H6" i="29" s="1"/>
  <c r="I6" i="29" s="1"/>
  <c r="E6" i="26"/>
  <c r="F6" i="26" s="1"/>
  <c r="H5" i="26"/>
  <c r="I5" i="26" s="1"/>
  <c r="E5" i="26"/>
  <c r="F5" i="26" s="1"/>
  <c r="H4" i="26"/>
  <c r="I4" i="26" s="1"/>
  <c r="E4" i="26"/>
  <c r="F4" i="26" s="1"/>
  <c r="G2" i="26"/>
  <c r="D2" i="26"/>
  <c r="C2" i="26"/>
  <c r="A1" i="26" a="1"/>
  <c r="A1" i="26" s="1"/>
  <c r="H15" i="19"/>
  <c r="I15" i="19" s="1"/>
  <c r="E15" i="19"/>
  <c r="F15" i="19" s="1"/>
  <c r="H14" i="19"/>
  <c r="I14" i="19" s="1"/>
  <c r="E14" i="19"/>
  <c r="F14" i="19" s="1"/>
  <c r="H13" i="19"/>
  <c r="I13" i="19" s="1"/>
  <c r="E13" i="19"/>
  <c r="F13" i="19" s="1"/>
  <c r="H12" i="19"/>
  <c r="I12" i="19" s="1"/>
  <c r="F12" i="19"/>
  <c r="E12" i="19"/>
  <c r="H11" i="19"/>
  <c r="I11" i="19" s="1"/>
  <c r="E11" i="19"/>
  <c r="F11" i="19" s="1"/>
  <c r="H10" i="19"/>
  <c r="I10" i="19" s="1"/>
  <c r="E10" i="19"/>
  <c r="F10" i="19" s="1"/>
  <c r="H9" i="19"/>
  <c r="I9" i="19" s="1"/>
  <c r="E9" i="19"/>
  <c r="F9" i="19" s="1"/>
  <c r="H8" i="19"/>
  <c r="I8" i="19" s="1"/>
  <c r="E8" i="19"/>
  <c r="F8" i="19" s="1"/>
  <c r="H7" i="19"/>
  <c r="I7" i="19" s="1"/>
  <c r="E7" i="19"/>
  <c r="F7" i="19" s="1"/>
  <c r="H6" i="19"/>
  <c r="I6" i="19" s="1"/>
  <c r="F6" i="19"/>
  <c r="E6" i="19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15" i="20"/>
  <c r="I15" i="20" s="1"/>
  <c r="E15" i="20"/>
  <c r="F15" i="20" s="1"/>
  <c r="H14" i="20"/>
  <c r="I14" i="20" s="1"/>
  <c r="E14" i="20"/>
  <c r="F14" i="20" s="1"/>
  <c r="H13" i="20"/>
  <c r="I13" i="20" s="1"/>
  <c r="E13" i="20"/>
  <c r="F13" i="20" s="1"/>
  <c r="H12" i="20"/>
  <c r="I12" i="20" s="1"/>
  <c r="E12" i="20"/>
  <c r="F12" i="20" s="1"/>
  <c r="H11" i="20"/>
  <c r="I11" i="20" s="1"/>
  <c r="E11" i="20"/>
  <c r="F11" i="20" s="1"/>
  <c r="H10" i="20"/>
  <c r="I10" i="20" s="1"/>
  <c r="E10" i="20"/>
  <c r="F10" i="20" s="1"/>
  <c r="H9" i="20"/>
  <c r="I9" i="20" s="1"/>
  <c r="E9" i="20"/>
  <c r="F9" i="20" s="1"/>
  <c r="H8" i="20"/>
  <c r="I8" i="20" s="1"/>
  <c r="E8" i="20"/>
  <c r="F8" i="20" s="1"/>
  <c r="H7" i="20"/>
  <c r="I7" i="20" s="1"/>
  <c r="E7" i="20"/>
  <c r="F7" i="20" s="1"/>
  <c r="H6" i="20"/>
  <c r="I6" i="20" s="1"/>
  <c r="E6" i="20"/>
  <c r="F6" i="20" s="1"/>
  <c r="H5" i="20"/>
  <c r="I5" i="20" s="1"/>
  <c r="E5" i="20"/>
  <c r="F5" i="20" s="1"/>
  <c r="H4" i="20"/>
  <c r="I4" i="20" s="1"/>
  <c r="E4" i="20"/>
  <c r="F4" i="20" s="1"/>
  <c r="G2" i="20"/>
  <c r="D2" i="20"/>
  <c r="C2" i="20"/>
  <c r="A1" i="20" a="1"/>
  <c r="A1" i="20" s="1"/>
  <c r="H15" i="21"/>
  <c r="I15" i="21" s="1"/>
  <c r="E15" i="21"/>
  <c r="F15" i="21" s="1"/>
  <c r="H14" i="21"/>
  <c r="I14" i="21" s="1"/>
  <c r="E14" i="21"/>
  <c r="F14" i="21" s="1"/>
  <c r="H13" i="21"/>
  <c r="I13" i="21" s="1"/>
  <c r="E13" i="21"/>
  <c r="F13" i="21" s="1"/>
  <c r="H12" i="21"/>
  <c r="I12" i="21" s="1"/>
  <c r="E12" i="21"/>
  <c r="F12" i="21" s="1"/>
  <c r="H11" i="21"/>
  <c r="I11" i="21" s="1"/>
  <c r="E11" i="21"/>
  <c r="F11" i="21" s="1"/>
  <c r="H10" i="21"/>
  <c r="I10" i="21" s="1"/>
  <c r="E10" i="21"/>
  <c r="F10" i="21" s="1"/>
  <c r="H9" i="21"/>
  <c r="I9" i="21" s="1"/>
  <c r="E9" i="21"/>
  <c r="F9" i="21" s="1"/>
  <c r="H8" i="21"/>
  <c r="I8" i="21" s="1"/>
  <c r="E8" i="21"/>
  <c r="F8" i="21" s="1"/>
  <c r="H7" i="21"/>
  <c r="I7" i="21" s="1"/>
  <c r="E7" i="21"/>
  <c r="F7" i="21" s="1"/>
  <c r="H6" i="21"/>
  <c r="I6" i="21" s="1"/>
  <c r="E6" i="21"/>
  <c r="F6" i="21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H15" i="4"/>
  <c r="I15" i="4" s="1"/>
  <c r="E15" i="4"/>
  <c r="F15" i="4" s="1"/>
  <c r="I14" i="4"/>
  <c r="H14" i="4"/>
  <c r="F14" i="4"/>
  <c r="E14" i="4"/>
  <c r="H13" i="4"/>
  <c r="I13" i="4" s="1"/>
  <c r="E13" i="4"/>
  <c r="F13" i="4" s="1"/>
  <c r="H12" i="4"/>
  <c r="I12" i="4" s="1"/>
  <c r="F12" i="4"/>
  <c r="E12" i="4"/>
  <c r="I11" i="4"/>
  <c r="H11" i="4"/>
  <c r="E11" i="4"/>
  <c r="F11" i="4" s="1"/>
  <c r="H10" i="4"/>
  <c r="I10" i="4" s="1"/>
  <c r="E10" i="4"/>
  <c r="F10" i="4" s="1"/>
  <c r="I9" i="4"/>
  <c r="H9" i="4"/>
  <c r="F9" i="4"/>
  <c r="E9" i="4"/>
  <c r="H8" i="4"/>
  <c r="I8" i="4" s="1"/>
  <c r="E8" i="4"/>
  <c r="F8" i="4" s="1"/>
  <c r="H7" i="4"/>
  <c r="I7" i="4" s="1"/>
  <c r="E7" i="4"/>
  <c r="F7" i="4" s="1"/>
  <c r="I6" i="4"/>
  <c r="H6" i="4"/>
  <c r="E6" i="4"/>
  <c r="F6" i="4" s="1"/>
  <c r="H5" i="4"/>
  <c r="I5" i="4" s="1"/>
  <c r="F5" i="4"/>
  <c r="E5" i="4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6" i="72"/>
  <c r="I6" i="72" s="1"/>
  <c r="H7" i="72"/>
  <c r="I7" i="72" s="1"/>
  <c r="H8" i="72"/>
  <c r="I8" i="72" s="1"/>
  <c r="H9" i="72"/>
  <c r="I9" i="72" s="1"/>
  <c r="H10" i="72"/>
  <c r="I10" i="72" s="1"/>
  <c r="H11" i="72"/>
  <c r="I11" i="72" s="1"/>
  <c r="H12" i="72"/>
  <c r="I12" i="72" s="1"/>
  <c r="H13" i="72"/>
  <c r="I13" i="72" s="1"/>
  <c r="H14" i="72"/>
  <c r="I14" i="72" s="1"/>
  <c r="H15" i="72"/>
  <c r="I15" i="72" s="1"/>
  <c r="H5" i="72"/>
  <c r="I5" i="72" s="1"/>
  <c r="H4" i="72"/>
  <c r="I4" i="72" s="1"/>
  <c r="G2" i="72"/>
  <c r="D2" i="72"/>
  <c r="C2" i="72"/>
  <c r="J2" i="72" s="1"/>
  <c r="A1" i="72" a="1"/>
  <c r="A1" i="72" s="1"/>
  <c r="H17" i="1" l="1"/>
  <c r="I17" i="1" s="1"/>
  <c r="H16" i="1"/>
  <c r="I16" i="1" s="1"/>
  <c r="H16" i="34"/>
  <c r="I16" i="34" s="1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E11" i="34"/>
  <c r="F11" i="34" s="1"/>
  <c r="E7" i="1"/>
  <c r="F7" i="1" s="1"/>
  <c r="E15" i="1"/>
  <c r="F15" i="1" s="1"/>
  <c r="E12" i="34"/>
  <c r="F12" i="34" s="1"/>
  <c r="E5" i="34"/>
  <c r="F5" i="34" s="1"/>
  <c r="E13" i="34"/>
  <c r="F13" i="34" s="1"/>
  <c r="G2" i="1"/>
  <c r="E6" i="34"/>
  <c r="F6" i="34" s="1"/>
  <c r="D2" i="34"/>
  <c r="E8" i="1"/>
  <c r="E11" i="1"/>
  <c r="F11" i="1" s="1"/>
  <c r="E9" i="1"/>
  <c r="F9" i="1" s="1"/>
  <c r="E10" i="1"/>
  <c r="F10" i="1" s="1"/>
  <c r="E12" i="1"/>
  <c r="F12" i="1" s="1"/>
  <c r="E9" i="34"/>
  <c r="F9" i="34" s="1"/>
  <c r="E5" i="1"/>
  <c r="F5" i="1" s="1"/>
  <c r="E13" i="1"/>
  <c r="F13" i="1" s="1"/>
  <c r="E10" i="34"/>
  <c r="F10" i="34" s="1"/>
  <c r="E6" i="1"/>
  <c r="F6" i="1" s="1"/>
  <c r="E14" i="1"/>
  <c r="F14" i="1" s="1"/>
  <c r="H14" i="30"/>
  <c r="I14" i="30" s="1"/>
  <c r="H9" i="30"/>
  <c r="I9" i="30" s="1"/>
  <c r="H4" i="30"/>
  <c r="I4" i="30" s="1"/>
  <c r="E7" i="30"/>
  <c r="F7" i="30" s="1"/>
  <c r="H12" i="30"/>
  <c r="I12" i="30" s="1"/>
  <c r="H7" i="30"/>
  <c r="I7" i="30" s="1"/>
  <c r="H15" i="30"/>
  <c r="I15" i="30" s="1"/>
  <c r="H10" i="30"/>
  <c r="I10" i="30" s="1"/>
  <c r="H5" i="30"/>
  <c r="I5" i="30" s="1"/>
  <c r="H13" i="30"/>
  <c r="I13" i="30" s="1"/>
  <c r="H8" i="30"/>
  <c r="I8" i="30" s="1"/>
  <c r="H11" i="30"/>
  <c r="I11" i="30" s="1"/>
  <c r="E7" i="29"/>
  <c r="F7" i="29" s="1"/>
  <c r="H8" i="29"/>
  <c r="I8" i="29" s="1"/>
  <c r="H11" i="29"/>
  <c r="I11" i="29" s="1"/>
  <c r="I6" i="26"/>
  <c r="I9" i="26"/>
  <c r="I12" i="26"/>
  <c r="I15" i="26"/>
  <c r="H14" i="29"/>
  <c r="I14" i="29" s="1"/>
  <c r="H4" i="29"/>
  <c r="I4" i="29" s="1"/>
  <c r="E15" i="29"/>
  <c r="F15" i="29" s="1"/>
  <c r="H5" i="29"/>
  <c r="I5" i="29" s="1"/>
  <c r="I7" i="26"/>
  <c r="H14" i="18"/>
  <c r="I14" i="18" s="1"/>
  <c r="H9" i="18"/>
  <c r="I9" i="18" s="1"/>
  <c r="H6" i="18"/>
  <c r="I6" i="18" s="1"/>
  <c r="H4" i="18"/>
  <c r="I4" i="18" s="1"/>
  <c r="H12" i="18"/>
  <c r="I12" i="18" s="1"/>
  <c r="H7" i="18"/>
  <c r="I7" i="18" s="1"/>
  <c r="H15" i="18"/>
  <c r="I15" i="18" s="1"/>
  <c r="H10" i="18"/>
  <c r="I10" i="18" s="1"/>
  <c r="C4" i="34"/>
  <c r="E4" i="34" s="1"/>
  <c r="F4" i="34" s="1"/>
  <c r="H5" i="18"/>
  <c r="I5" i="18" s="1"/>
  <c r="H13" i="18"/>
  <c r="I13" i="18" s="1"/>
  <c r="H8" i="18"/>
  <c r="I8" i="18" s="1"/>
  <c r="H11" i="18"/>
  <c r="I11" i="18" s="1"/>
  <c r="H6" i="34"/>
  <c r="I6" i="34" s="1"/>
  <c r="H7" i="34"/>
  <c r="I7" i="34" s="1"/>
  <c r="H8" i="34"/>
  <c r="I8" i="34" s="1"/>
  <c r="H5" i="34"/>
  <c r="I5" i="34" s="1"/>
  <c r="H9" i="34"/>
  <c r="I9" i="34" s="1"/>
  <c r="H10" i="34"/>
  <c r="I10" i="34" s="1"/>
  <c r="H11" i="34"/>
  <c r="I11" i="34" s="1"/>
  <c r="H12" i="34"/>
  <c r="I12" i="34" s="1"/>
  <c r="H13" i="34"/>
  <c r="I13" i="34" s="1"/>
  <c r="H14" i="34"/>
  <c r="I14" i="34" s="1"/>
  <c r="H15" i="34"/>
  <c r="I15" i="34" s="1"/>
  <c r="E7" i="34"/>
  <c r="F7" i="34" s="1"/>
  <c r="E8" i="34"/>
  <c r="F8" i="34" s="1"/>
  <c r="E14" i="34"/>
  <c r="F14" i="34" s="1"/>
  <c r="E15" i="34"/>
  <c r="F15" i="34" s="1"/>
  <c r="C2" i="29"/>
  <c r="E2" i="29" s="1"/>
  <c r="F2" i="29" s="1"/>
  <c r="C2" i="30"/>
  <c r="E4" i="29"/>
  <c r="F4" i="29" s="1"/>
  <c r="C2" i="18"/>
  <c r="H7" i="1"/>
  <c r="I7" i="1" s="1"/>
  <c r="H4" i="1"/>
  <c r="H5" i="1"/>
  <c r="I5" i="1" s="1"/>
  <c r="H15" i="1"/>
  <c r="I15" i="1" s="1"/>
  <c r="H12" i="1"/>
  <c r="I12" i="1" s="1"/>
  <c r="H11" i="1"/>
  <c r="I11" i="1" s="1"/>
  <c r="H10" i="1"/>
  <c r="I10" i="1" s="1"/>
  <c r="H6" i="1"/>
  <c r="I6" i="1" s="1"/>
  <c r="C2" i="1"/>
  <c r="E2" i="3"/>
  <c r="F2" i="3" s="1"/>
  <c r="E4" i="1"/>
  <c r="F4" i="1" s="1"/>
  <c r="H14" i="1"/>
  <c r="I14" i="1" s="1"/>
  <c r="H13" i="1"/>
  <c r="I13" i="1" s="1"/>
  <c r="H9" i="1"/>
  <c r="I9" i="1" s="1"/>
  <c r="H8" i="1"/>
  <c r="I8" i="1" s="1"/>
  <c r="F8" i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H2" i="1" l="1"/>
  <c r="I2" i="1" s="1"/>
  <c r="C2" i="34"/>
  <c r="H2" i="34" s="1"/>
  <c r="I2" i="34" s="1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E2" i="34" l="1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<sst xmlns="http://schemas.openxmlformats.org/spreadsheetml/2006/main" count="374" uniqueCount="122">
  <si>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</si>
  <si>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</si>
  <si>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</si>
  <si>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</si>
  <si>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</si>
  <si>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</si>
  <si>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</si>
  <si>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</si>
  <si>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</si>
  <si>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</si>
  <si>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</si>
  <si>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</si>
  <si>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</si>
  <si>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</si>
  <si>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</si>
  <si>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</si>
  <si>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</si>
  <si>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</si>
  <si>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</si>
  <si>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</si>
  <si>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</si>
  <si>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</si>
  <si>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February Actual v. Expected</t>
  </si>
  <si>
    <t>February Actual v. Forecasted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</si>
  <si>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</si>
  <si>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</si>
  <si>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</si>
  <si>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</si>
  <si>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</si>
  <si>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</si>
  <si>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</si>
  <si>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</si>
  <si>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</si>
  <si>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</si>
  <si>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</si>
  <si>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</si>
  <si>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</si>
  <si>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</si>
  <si>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</si>
  <si>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</si>
  <si>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</si>
  <si>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</si>
  <si>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</si>
  <si>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</si>
  <si>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</si>
  <si>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Cushman &amp; Wakefield</t>
  </si>
  <si>
    <t>Site DAS Name</t>
  </si>
  <si>
    <t>Update</t>
  </si>
  <si>
    <t>DAS</t>
  </si>
  <si>
    <t/>
  </si>
  <si>
    <t xml:space="preserve"> Adelanto - Bank of America</t>
  </si>
  <si>
    <t>CA</t>
  </si>
  <si>
    <t xml:space="preserve">Enlighten Manager </t>
  </si>
  <si>
    <t xml:space="preserve"> Apple Valley - Bank of America</t>
  </si>
  <si>
    <t>Bank of America - CAW-D36 (Arvin, CA)</t>
  </si>
  <si>
    <t xml:space="preserve"> Arvin - Bank of America</t>
  </si>
  <si>
    <t>Bank of America - CA8-122 (Bell, CA) (240 VAC High Leg Delta)</t>
  </si>
  <si>
    <t xml:space="preserve"> Bell - Bank of America</t>
  </si>
  <si>
    <t>Bank of America - CAW-G59 (Chula Vista, CA)</t>
  </si>
  <si>
    <t xml:space="preserve"> Chula Vista - Bank of America</t>
  </si>
  <si>
    <t>Bank of America - CAW-F39 (Cupertino, CA)</t>
  </si>
  <si>
    <t xml:space="preserve"> Cupertino - Bank of America</t>
  </si>
  <si>
    <t>Bank of America - CA7-202 (Diamond Bar, CA)</t>
  </si>
  <si>
    <t xml:space="preserve"> Diamond Bar - Bank of America</t>
  </si>
  <si>
    <t>Bank of America - CA0-119 (El Centro, CA)</t>
  </si>
  <si>
    <t xml:space="preserve"> El Centro - Bank of America</t>
  </si>
  <si>
    <t>Bank of America - CA6-174 (Moreno Valley, CA)</t>
  </si>
  <si>
    <t xml:space="preserve"> Moreno Valley - Bank of America</t>
  </si>
  <si>
    <t xml:space="preserve"> Redlands - Bank of America</t>
  </si>
  <si>
    <t>Bank of America - CA2-113 (Roseville, CA)</t>
  </si>
  <si>
    <t xml:space="preserve"> Roseville - Bank of America</t>
  </si>
  <si>
    <t>Bank of America - CAW-E84 (San Bernardino, CA)</t>
  </si>
  <si>
    <t xml:space="preserve"> San Bernardino - Bank of America</t>
  </si>
  <si>
    <t>Bank of America (San Diego, CA)</t>
  </si>
  <si>
    <t xml:space="preserve"> San Diego - Bank of America</t>
  </si>
  <si>
    <t>Bank of America - CA2-154 (Stockton, CA)</t>
  </si>
  <si>
    <t xml:space="preserve"> Stockton - Bank of America</t>
  </si>
  <si>
    <t xml:space="preserve"> Victorville - Bank of America</t>
  </si>
  <si>
    <t>BOA, Arapahoe Crossings #CO1-112</t>
  </si>
  <si>
    <t xml:space="preserve"> Aurora - BA - Colfax Ave</t>
  </si>
  <si>
    <t>CO</t>
  </si>
  <si>
    <t>BOA, Chambers Plaza #COW-139</t>
  </si>
  <si>
    <t xml:space="preserve"> Aurora - BA - Parker Rd</t>
  </si>
  <si>
    <t>BOA, BroomFeild #COW-107</t>
  </si>
  <si>
    <t xml:space="preserve"> Broomfield - Bank of America</t>
  </si>
  <si>
    <t>BOA, Garden of the Gods #CO1-140</t>
  </si>
  <si>
    <t xml:space="preserve"> Colorado Springs - Bank of America</t>
  </si>
  <si>
    <t>BOA, Green Valley Ranch #CO1-121</t>
  </si>
  <si>
    <t xml:space="preserve"> Denver - BA - 49th Ave</t>
  </si>
  <si>
    <t>BOA, South Wadsworth #COW-113</t>
  </si>
  <si>
    <t xml:space="preserve"> Denver - BA Wadsworth Blvd</t>
  </si>
  <si>
    <t>BOA, Front Range Village #COW-143</t>
  </si>
  <si>
    <t xml:space="preserve"> Fort Collins - Bank of America</t>
  </si>
  <si>
    <t>Bank of America - COW-135 (Lafayette, CO)</t>
  </si>
  <si>
    <t xml:space="preserve"> Lafayette - Bank of America</t>
  </si>
  <si>
    <t>BOA, Lakewood #COW-115</t>
  </si>
  <si>
    <t xml:space="preserve"> Lakewood - Bank of America</t>
  </si>
  <si>
    <t>BOA,Village at the Peaks #CO1-109</t>
  </si>
  <si>
    <t xml:space="preserve"> Longmont - Bank of America</t>
  </si>
  <si>
    <t>BOA, Thornton #COW-118</t>
  </si>
  <si>
    <t xml:space="preserve"> Thornton - Bank of America</t>
  </si>
  <si>
    <t>Bank of America - IL4-020 (River Oaks, IL)</t>
  </si>
  <si>
    <t xml:space="preserve"> Calumet City - Bank of America</t>
  </si>
  <si>
    <t>IL</t>
  </si>
  <si>
    <t>BOA, WoodRidge IL2-251</t>
  </si>
  <si>
    <t xml:space="preserve"> Downers Grove - Bank of America</t>
  </si>
  <si>
    <t xml:space="preserve"> Bloomington - Bank of America</t>
  </si>
  <si>
    <t>MN</t>
  </si>
  <si>
    <t>Bank of America - Forsyth (Clayton, MO)</t>
  </si>
  <si>
    <t xml:space="preserve"> Clayton - Bank of America</t>
  </si>
  <si>
    <t>MO</t>
  </si>
  <si>
    <t>Bank of America - MO1-064 (Manchester, MO)</t>
  </si>
  <si>
    <t xml:space="preserve"> Manchester - Bank of America</t>
  </si>
  <si>
    <t>Bank Of America (Las Vegas, NV)</t>
  </si>
  <si>
    <t xml:space="preserve"> Las Vegas - BA - Eastern Ave</t>
  </si>
  <si>
    <t>NV</t>
  </si>
  <si>
    <t xml:space="preserve"> Las Vegas - BA - Town Ctr Dr</t>
  </si>
  <si>
    <t>Bank of America - UTW-024 (Riverton, UT)</t>
  </si>
  <si>
    <t xml:space="preserve"> Riverton - Bank of America</t>
  </si>
  <si>
    <t>UT</t>
  </si>
  <si>
    <t>Bank of America - UT3-111 (Salt Lake City, UT)</t>
  </si>
  <si>
    <t xml:space="preserve"> Salt Lake City - Bank of America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</si>
</sst>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6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0"/>
      <color theme="1"/>
      <name val="Arial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60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7" fillId="40" borderId="0" xfId="0" applyFont="1" applyFill="1" applyAlignment="1">
      <alignment horizontal="center" vertical="center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vertical="top" wrapText="1"/>
    </xf>
    <xf numFmtId="49" fontId="28" fillId="0" borderId="0" xfId="0" applyNumberFormat="1" applyFont="1" applyAlignment="1">
      <alignment vertical="center" wrapText="1"/>
    </xf>
    <xf numFmtId="49" fontId="27" fillId="0" borderId="0" xfId="0" applyNumberFormat="1" applyFont="1" applyAlignment="1">
      <alignment vertical="center" wrapText="1"/>
    </xf>
    <xf numFmtId="0" fontId="22" fillId="40" borderId="12" xfId="43" applyFont="1" applyFill="1" applyBorder="1" applyAlignment="1">
      <alignment horizontal="left"/>
    </xf>
    <xf numFmtId="0" fontId="22" fillId="40" borderId="13" xfId="43" applyFont="1" applyFill="1" applyBorder="1"/>
    <xf numFmtId="0" fontId="35" fillId="40" borderId="13" xfId="0" applyFont="1" applyFill="1" applyBorder="1"/>
    <xf numFmtId="0" fontId="35" fillId="40" borderId="14" xfId="0" applyFont="1" applyFill="1" applyBorder="1"/>
    <xf numFmtId="0" fontId="22" fillId="0" borderId="12" xfId="43" applyFont="1" applyBorder="1" applyAlignment="1">
      <alignment horizontal="left"/>
    </xf>
    <xf numFmtId="0" fontId="22" fillId="0" borderId="13" xfId="43" applyFont="1" applyBorder="1"/>
    <xf numFmtId="0" fontId="35" fillId="0" borderId="13" xfId="0" applyFont="1" applyBorder="1"/>
    <xf numFmtId="0" fontId="35" fillId="0" borderId="14" xfId="0" applyFont="1" applyBorder="1"/>
    <xf numFmtId="0" fontId="22" fillId="0" borderId="15" xfId="43" applyFont="1" applyBorder="1" applyAlignment="1">
      <alignment horizontal="left"/>
    </xf>
    <xf numFmtId="0" fontId="22" fillId="0" borderId="16" xfId="43" applyFont="1" applyBorder="1"/>
    <xf numFmtId="0" fontId="35" fillId="40" borderId="16" xfId="0" applyFont="1" applyFill="1" applyBorder="1"/>
    <xf numFmtId="0" fontId="35" fillId="40" borderId="17" xfId="0" applyFont="1" applyFill="1" applyBorder="1"/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6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38" totalsRowShown="0">
  <autoFilter ref="A3:E38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4" dataCellStyle="Normal 2"/>
    <tableColumn id="1" xr3:uid="{9A753695-C18C-437C-AD9C-C2CE5C1A806E}" name="Site" dataDxfId="3" dataCellStyle="Normal 2"/>
    <tableColumn id="2" xr3:uid="{250F229D-34D2-4043-BE8F-6D9C210E223F}" name="State" dataDxfId="2" dataCellStyle="Normal 2"/>
    <tableColumn id="5" xr3:uid="{61DF2E38-E0FD-4D7E-AE61-BDFE8D5E1312}" name="Update" dataDxfId="1"/>
    <tableColumn id="4" xr3:uid="{E086A54F-BF3D-477F-A0D7-706863BF0C38}" name="DA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42"/>
  <sheetViews>
    <sheetView workbookViewId="0">
      <pane xSplit="2" ySplit="3" topLeftCell="C4" activePane="bottomRight" state="frozen"/>
      <selection pane="bottomRight" activeCell="K28" sqref="K28"/>
      <selection pane="bottomLeft"/>
      <selection pane="topRight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7" t="str" cm="1">
        <f t="array" ref="A1">portfolio</f>
        <v>Cushman &amp; Wakefield</v>
      </c>
      <c r="B1" s="57"/>
      <c r="C1" s="57"/>
      <c r="D1" s="58" t="s">
        <v>0</v>
      </c>
      <c r="E1" s="58"/>
      <c r="F1" s="58"/>
      <c r="G1" s="56" t="s">
        <v>1</v>
      </c>
      <c r="H1" s="56"/>
      <c r="I1" s="56"/>
    </row>
    <row r="2" spans="1:9" ht="19.5" customHeight="1">
      <c r="A2" s="59" t="s">
        <v>2</v>
      </c>
      <c r="B2" s="59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75">
      <c r="A4" s="12" t="str" cm="1">
        <f t="array" ref="A4:A38">Sites[Site]</f>
        <v xml:space="preserve"> Adelanto - Bank of America</v>
      </c>
      <c r="B4" s="9" t="str" cm="1">
        <f t="array" ref="B4:B38">Sites[State]</f>
        <v>CA</v>
      </c>
      <c r="C4" s="24">
        <f>SUM('1st Qtr'!C4, '2nd Qtr'!C4, '3rd Qtr'!C4, '4th Qtr'!C4)</f>
        <v>0</v>
      </c>
      <c r="D4" s="13">
        <f>SUM('1st Qtr'!D4, '2nd Qtr'!D4, '3rd Qtr'!D4, '4th Qtr'!D4)</f>
        <v>0</v>
      </c>
      <c r="E4" s="13">
        <f>IF(AND(ISNUMBER(C4),ISNUMBER(D4)), C4-D4, "")</f>
        <v>0</v>
      </c>
      <c r="F4" s="14" t="str">
        <f>IFERROR(E4/D4, "")</f>
        <v/>
      </c>
      <c r="G4" s="15"/>
      <c r="H4" s="15">
        <f>SUM('1st Qtr'!H4, '2nd Qtr'!H4, '3rd Qtr'!H4, '4th Qtr'!H4)</f>
        <v>0</v>
      </c>
      <c r="I4" s="16" t="str">
        <f>IFERROR(H4/G4, "")</f>
        <v/>
      </c>
    </row>
    <row r="5" spans="1:9" ht="15.75">
      <c r="A5" s="17" t="str">
        <v xml:space="preserve"> Apple Valley - Bank of America</v>
      </c>
      <c r="B5" s="10" t="str">
        <v>CA</v>
      </c>
      <c r="C5" s="11">
        <f>SUM(Jan!C5, Feb!C5, Mar!C5)</f>
        <v>0</v>
      </c>
      <c r="D5" s="18">
        <f>SUM(Jan!D5, Feb!D5, Mar!D5)</f>
        <v>0</v>
      </c>
      <c r="E5" s="18">
        <f t="shared" ref="E5:E13" si="0">IF(AND(ISNUMBER(C5),ISNUMBER(D5)), C5-D5, "")</f>
        <v>0</v>
      </c>
      <c r="F5" s="19" t="str">
        <f>IFERROR(E5/D5, "")</f>
        <v/>
      </c>
      <c r="G5" s="20"/>
      <c r="H5" s="20">
        <f>SUM(Jan!H5, Feb!H5, Mar!H5)</f>
        <v>0</v>
      </c>
      <c r="I5" s="19" t="str">
        <f>IFERROR(H5/G5, "")</f>
        <v/>
      </c>
    </row>
    <row r="6" spans="1:9" ht="15.75">
      <c r="A6" s="12" t="str">
        <v xml:space="preserve"> Arvin - Bank of America</v>
      </c>
      <c r="B6" s="9" t="str">
        <v>CA</v>
      </c>
      <c r="C6" s="24">
        <f>SUM(Jan!C6, Feb!C6, Mar!C6)</f>
        <v>0</v>
      </c>
      <c r="D6" s="13">
        <f>SUM(Jan!D6, Feb!D6, Mar!D6)</f>
        <v>0</v>
      </c>
      <c r="E6" s="13">
        <f t="shared" si="0"/>
        <v>0</v>
      </c>
      <c r="F6" s="14" t="str">
        <f t="shared" ref="F6:F13" si="1">IFERROR(E6/D6, "")</f>
        <v/>
      </c>
      <c r="G6" s="15"/>
      <c r="H6" s="15">
        <f>SUM(Jan!H6, Feb!H6, Mar!H6)</f>
        <v>0</v>
      </c>
      <c r="I6" s="16" t="str">
        <f t="shared" ref="I6:I13" si="2">IFERROR(H6/G6, "")</f>
        <v/>
      </c>
    </row>
    <row r="7" spans="1:9" ht="15.75">
      <c r="A7" s="17" t="str">
        <v xml:space="preserve"> Bell - Bank of America</v>
      </c>
      <c r="B7" s="10" t="str">
        <v>CA</v>
      </c>
      <c r="C7" s="11">
        <f>SUM(Jan!C7, Feb!C7, Mar!C7)</f>
        <v>0</v>
      </c>
      <c r="D7" s="18">
        <f>SUM(Jan!D7, Feb!D7, Mar!D7)</f>
        <v>0</v>
      </c>
      <c r="E7" s="18">
        <f t="shared" si="0"/>
        <v>0</v>
      </c>
      <c r="F7" s="19" t="str">
        <f t="shared" si="1"/>
        <v/>
      </c>
      <c r="G7" s="20"/>
      <c r="H7" s="20">
        <f>SUM(Jan!H7, Feb!H7, Mar!H7)</f>
        <v>0</v>
      </c>
      <c r="I7" s="19" t="str">
        <f t="shared" si="2"/>
        <v/>
      </c>
    </row>
    <row r="8" spans="1:9" ht="15.75">
      <c r="A8" s="12" t="str">
        <v xml:space="preserve"> Chula Vista - Bank of America</v>
      </c>
      <c r="B8" s="9" t="str">
        <v>CA</v>
      </c>
      <c r="C8" s="24">
        <f>SUM(Jan!C8, Feb!C8, Mar!C8)</f>
        <v>0</v>
      </c>
      <c r="D8" s="13">
        <f>SUM(Jan!D8, Feb!D8, Mar!D8)</f>
        <v>0</v>
      </c>
      <c r="E8" s="13">
        <f t="shared" si="0"/>
        <v>0</v>
      </c>
      <c r="F8" s="14" t="str">
        <f t="shared" si="1"/>
        <v/>
      </c>
      <c r="G8" s="15"/>
      <c r="H8" s="15">
        <f>SUM(Jan!H8, Feb!H8, Mar!H8)</f>
        <v>0</v>
      </c>
      <c r="I8" s="16" t="str">
        <f t="shared" si="2"/>
        <v/>
      </c>
    </row>
    <row r="9" spans="1:9" ht="15.75">
      <c r="A9" s="17" t="str">
        <v xml:space="preserve"> Cupertino - Bank of America</v>
      </c>
      <c r="B9" s="10" t="str">
        <v>CA</v>
      </c>
      <c r="C9" s="11">
        <f>SUM(Jan!C9, Feb!C9, Mar!C9)</f>
        <v>0</v>
      </c>
      <c r="D9" s="18">
        <f>SUM(Jan!D9, Feb!D9, Mar!D9)</f>
        <v>0</v>
      </c>
      <c r="E9" s="18">
        <f t="shared" si="0"/>
        <v>0</v>
      </c>
      <c r="F9" s="19" t="str">
        <f t="shared" si="1"/>
        <v/>
      </c>
      <c r="G9" s="20"/>
      <c r="H9" s="20">
        <f>SUM(Jan!H9, Feb!H9, Mar!H9)</f>
        <v>0</v>
      </c>
      <c r="I9" s="19" t="str">
        <f t="shared" si="2"/>
        <v/>
      </c>
    </row>
    <row r="10" spans="1:9" ht="15.75">
      <c r="A10" s="12" t="str">
        <v xml:space="preserve"> Diamond Bar - Bank of America</v>
      </c>
      <c r="B10" s="9" t="str">
        <v>CA</v>
      </c>
      <c r="C10" s="24">
        <f>SUM(Jan!C10, Feb!C10, Mar!C10)</f>
        <v>0</v>
      </c>
      <c r="D10" s="13">
        <f>SUM(Jan!D10, Feb!D10, Mar!D10)</f>
        <v>0</v>
      </c>
      <c r="E10" s="13">
        <f t="shared" si="0"/>
        <v>0</v>
      </c>
      <c r="F10" s="14" t="str">
        <f t="shared" si="1"/>
        <v/>
      </c>
      <c r="G10" s="15"/>
      <c r="H10" s="15">
        <f>SUM(Jan!H10, Feb!H10, Mar!H10)</f>
        <v>0</v>
      </c>
      <c r="I10" s="16" t="str">
        <f t="shared" si="2"/>
        <v/>
      </c>
    </row>
    <row r="11" spans="1:9" ht="15.75">
      <c r="A11" s="17" t="str">
        <v xml:space="preserve"> El Centro - Bank of America</v>
      </c>
      <c r="B11" s="10" t="str">
        <v>CA</v>
      </c>
      <c r="C11" s="11">
        <f>SUM(Jan!C11, Feb!C11, Mar!C11)</f>
        <v>0</v>
      </c>
      <c r="D11" s="18">
        <f>SUM(Jan!D11, Feb!D11, Mar!D11)</f>
        <v>0</v>
      </c>
      <c r="E11" s="18">
        <f t="shared" si="0"/>
        <v>0</v>
      </c>
      <c r="F11" s="19" t="str">
        <f t="shared" si="1"/>
        <v/>
      </c>
      <c r="G11" s="20"/>
      <c r="H11" s="20">
        <f>SUM(Jan!H11, Feb!H11, Mar!H11)</f>
        <v>0</v>
      </c>
      <c r="I11" s="19" t="str">
        <f t="shared" si="2"/>
        <v/>
      </c>
    </row>
    <row r="12" spans="1:9" ht="15.75">
      <c r="A12" s="12" t="str">
        <v xml:space="preserve"> Moreno Valley - Bank of America</v>
      </c>
      <c r="B12" s="9" t="str">
        <v>CA</v>
      </c>
      <c r="C12" s="24">
        <f>SUM(Jan!C12, Feb!C12, Mar!C12)</f>
        <v>0</v>
      </c>
      <c r="D12" s="13">
        <f>SUM(Jan!D12, Feb!D12, Mar!D12)</f>
        <v>0</v>
      </c>
      <c r="E12" s="13">
        <f t="shared" si="0"/>
        <v>0</v>
      </c>
      <c r="F12" s="14" t="str">
        <f t="shared" si="1"/>
        <v/>
      </c>
      <c r="G12" s="15"/>
      <c r="H12" s="15">
        <f>SUM(Jan!H12, Feb!H12, Mar!H12)</f>
        <v>0</v>
      </c>
      <c r="I12" s="16" t="str">
        <f t="shared" si="2"/>
        <v/>
      </c>
    </row>
    <row r="13" spans="1:9" ht="15.75">
      <c r="A13" s="17" t="str">
        <v xml:space="preserve"> Redlands - Bank of America</v>
      </c>
      <c r="B13" s="10" t="str">
        <v>CA</v>
      </c>
      <c r="C13" s="11">
        <f>SUM(Jan!C13, Feb!C13, Mar!C13)</f>
        <v>0</v>
      </c>
      <c r="D13" s="18">
        <f>SUM(Jan!D13, Feb!D13, Mar!D13)</f>
        <v>0</v>
      </c>
      <c r="E13" s="18">
        <f t="shared" si="0"/>
        <v>0</v>
      </c>
      <c r="F13" s="19" t="str">
        <f t="shared" si="1"/>
        <v/>
      </c>
      <c r="G13" s="20"/>
      <c r="H13" s="20">
        <f>SUM(Jan!H13, Feb!H13, Mar!H13)</f>
        <v>0</v>
      </c>
      <c r="I13" s="19" t="str">
        <f t="shared" si="2"/>
        <v/>
      </c>
    </row>
    <row r="14" spans="1:9" ht="15.75">
      <c r="A14" s="12" t="str">
        <v xml:space="preserve"> Roseville - Bank of America</v>
      </c>
      <c r="B14" s="9" t="str">
        <v>CA</v>
      </c>
      <c r="C14" s="24">
        <f>SUM(Jan!C14, Feb!C14, Mar!C14)</f>
        <v>0</v>
      </c>
      <c r="D14" s="13">
        <f>SUM(Jan!D14, Feb!D14, Mar!D14)</f>
        <v>0</v>
      </c>
      <c r="E14" s="13">
        <f>IF(AND(ISNUMBER(C14),ISNUMBER(D14)), C14-D14, "")</f>
        <v>0</v>
      </c>
      <c r="F14" s="14" t="str">
        <f>IFERROR(E14/D14, "")</f>
        <v/>
      </c>
      <c r="G14" s="15"/>
      <c r="H14" s="15">
        <f>SUM(Jan!H14, Feb!H14, Mar!H14)</f>
        <v>0</v>
      </c>
      <c r="I14" s="16" t="str">
        <f>IFERROR(H14/G14, "")</f>
        <v/>
      </c>
    </row>
    <row r="15" spans="1:9" ht="15.75">
      <c r="A15" s="17" t="str">
        <v xml:space="preserve"> San Bernardino - Bank of America</v>
      </c>
      <c r="B15" s="10" t="str">
        <v>CA</v>
      </c>
      <c r="C15" s="11">
        <f>SUM(Jan!C15, Feb!C15, Mar!C15)</f>
        <v>0</v>
      </c>
      <c r="D15" s="18">
        <f>SUM(Jan!D15, Feb!D15, Mar!D15)</f>
        <v>0</v>
      </c>
      <c r="E15" s="18">
        <f>IF(AND(ISNUMBER(C15),ISNUMBER(D15)), C15-D15, "")</f>
        <v>0</v>
      </c>
      <c r="F15" s="19" t="str">
        <f>IFERROR(E15/D15, "")</f>
        <v/>
      </c>
      <c r="G15" s="20"/>
      <c r="H15" s="20">
        <f>SUM(Jan!H15, Feb!H15, Mar!H15)</f>
        <v>0</v>
      </c>
      <c r="I15" s="19" t="str">
        <f>IFERROR(H15/G15, "")</f>
        <v/>
      </c>
    </row>
    <row r="16" spans="1:9" ht="15.75">
      <c r="A16" s="12" t="str">
        <v xml:space="preserve"> San Diego - Bank of America</v>
      </c>
      <c r="B16" s="9" t="str">
        <v>CA</v>
      </c>
      <c r="C16" s="24">
        <f>SUM(Jan!C16, Feb!C16, Mar!C16)</f>
        <v>0</v>
      </c>
      <c r="D16" s="13">
        <f>SUM(Jan!D16, Feb!D16, Mar!D16)</f>
        <v>0</v>
      </c>
      <c r="E16" s="13">
        <f t="shared" ref="E16:E17" si="3">IF(AND(ISNUMBER(C16),ISNUMBER(D16)), C16-D16, "")</f>
        <v>0</v>
      </c>
      <c r="F16" s="14" t="str">
        <f t="shared" ref="F16:F17" si="4">IFERROR(E16/D16, "")</f>
        <v/>
      </c>
      <c r="G16" s="15"/>
      <c r="H16" s="15">
        <f>SUM(Jan!H16, Feb!H16, Mar!H16)</f>
        <v>0</v>
      </c>
      <c r="I16" s="16" t="str">
        <f t="shared" ref="I16:I17" si="5">IFERROR(H16/G16, "")</f>
        <v/>
      </c>
    </row>
    <row r="17" spans="1:9" ht="15.75">
      <c r="A17" s="17" t="str">
        <v xml:space="preserve"> Stockton - Bank of America</v>
      </c>
      <c r="B17" s="10" t="str">
        <v>CA</v>
      </c>
      <c r="C17" s="11">
        <f>SUM(Jan!C17, Feb!C17, Mar!C17)</f>
        <v>0</v>
      </c>
      <c r="D17" s="18">
        <f>SUM(Jan!D17, Feb!D17, Mar!D17)</f>
        <v>0</v>
      </c>
      <c r="E17" s="18">
        <f t="shared" si="3"/>
        <v>0</v>
      </c>
      <c r="F17" s="19" t="str">
        <f t="shared" si="4"/>
        <v/>
      </c>
      <c r="G17" s="20"/>
      <c r="H17" s="20">
        <f>SUM(Jan!H17, Feb!H17, Mar!H17)</f>
        <v>0</v>
      </c>
      <c r="I17" s="19" t="str">
        <f t="shared" si="5"/>
        <v/>
      </c>
    </row>
    <row r="18" spans="1:9" ht="12.75" customHeight="1">
      <c r="A18" s="12" t="str">
        <v xml:space="preserve"> Victorville - Bank of America</v>
      </c>
      <c r="B18" s="9" t="str">
        <v>CA</v>
      </c>
      <c r="C18" s="24">
        <f>SUM(Jan!C18, Feb!C18, Mar!C18)</f>
        <v>0</v>
      </c>
      <c r="D18" s="13">
        <f>SUM(Jan!D18, Feb!D18, Mar!D18)</f>
        <v>0</v>
      </c>
      <c r="E18" s="13">
        <f t="shared" ref="E18:E38" si="6">IF(AND(ISNUMBER(C18),ISNUMBER(D18)), C18-D18, "")</f>
        <v>0</v>
      </c>
      <c r="F18" s="14" t="str">
        <f t="shared" ref="F18:F38" si="7">IFERROR(E18/D18, "")</f>
        <v/>
      </c>
      <c r="G18" s="15"/>
      <c r="H18" s="15">
        <f>SUM(Jan!H18, Feb!H18, Mar!H18)</f>
        <v>0</v>
      </c>
      <c r="I18" s="16" t="str">
        <f t="shared" ref="I18:I38" si="8">IFERROR(H18/G18, "")</f>
        <v/>
      </c>
    </row>
    <row r="19" spans="1:9" ht="15.75">
      <c r="A19" s="17" t="str">
        <v xml:space="preserve"> Aurora - BA - Colfax Ave</v>
      </c>
      <c r="B19" s="10" t="str">
        <v>CO</v>
      </c>
      <c r="C19" s="11">
        <f>SUM(Jan!C19, Feb!C19, Mar!C19)</f>
        <v>0</v>
      </c>
      <c r="D19" s="18">
        <f>SUM(Jan!D19, Feb!D19, Mar!D19)</f>
        <v>0</v>
      </c>
      <c r="E19" s="18">
        <f t="shared" si="6"/>
        <v>0</v>
      </c>
      <c r="F19" s="19" t="str">
        <f t="shared" si="7"/>
        <v/>
      </c>
      <c r="G19" s="20"/>
      <c r="H19" s="20">
        <f>SUM(Jan!H19, Feb!H19, Mar!H19)</f>
        <v>0</v>
      </c>
      <c r="I19" s="19" t="str">
        <f t="shared" si="8"/>
        <v/>
      </c>
    </row>
    <row r="20" spans="1:9" ht="15.75">
      <c r="A20" s="12" t="str">
        <v xml:space="preserve"> Aurora - BA - Parker Rd</v>
      </c>
      <c r="B20" s="9" t="str">
        <v>CO</v>
      </c>
      <c r="C20" s="24">
        <f>SUM(Jan!C20, Feb!C20, Mar!C20)</f>
        <v>0</v>
      </c>
      <c r="D20" s="13">
        <f>SUM(Jan!D20, Feb!D20, Mar!D20)</f>
        <v>0</v>
      </c>
      <c r="E20" s="13">
        <f t="shared" si="6"/>
        <v>0</v>
      </c>
      <c r="F20" s="14" t="str">
        <f t="shared" si="7"/>
        <v/>
      </c>
      <c r="G20" s="15"/>
      <c r="H20" s="15">
        <f>SUM(Jan!H20, Feb!H20, Mar!H20)</f>
        <v>0</v>
      </c>
      <c r="I20" s="16" t="str">
        <f t="shared" si="8"/>
        <v/>
      </c>
    </row>
    <row r="21" spans="1:9" ht="15.75">
      <c r="A21" s="17" t="str">
        <v xml:space="preserve"> Broomfield - Bank of America</v>
      </c>
      <c r="B21" s="10" t="str">
        <v>CO</v>
      </c>
      <c r="C21" s="11">
        <f>SUM(Jan!C21, Feb!C21, Mar!C21)</f>
        <v>0</v>
      </c>
      <c r="D21" s="18">
        <f>SUM(Jan!D21, Feb!D21, Mar!D21)</f>
        <v>0</v>
      </c>
      <c r="E21" s="18">
        <f t="shared" si="6"/>
        <v>0</v>
      </c>
      <c r="F21" s="19" t="str">
        <f t="shared" si="7"/>
        <v/>
      </c>
      <c r="G21" s="20"/>
      <c r="H21" s="20">
        <f>SUM(Jan!H21, Feb!H21, Mar!H21)</f>
        <v>0</v>
      </c>
      <c r="I21" s="19" t="str">
        <f t="shared" si="8"/>
        <v/>
      </c>
    </row>
    <row r="22" spans="1:9" ht="15.75">
      <c r="A22" s="12" t="str">
        <v xml:space="preserve"> Colorado Springs - Bank of America</v>
      </c>
      <c r="B22" s="9" t="str">
        <v>CO</v>
      </c>
      <c r="C22" s="24">
        <f>SUM(Jan!C22, Feb!C22, Mar!C22)</f>
        <v>0</v>
      </c>
      <c r="D22" s="13">
        <f>SUM(Jan!D22, Feb!D22, Mar!D22)</f>
        <v>0</v>
      </c>
      <c r="E22" s="13">
        <f t="shared" si="6"/>
        <v>0</v>
      </c>
      <c r="F22" s="14" t="str">
        <f t="shared" si="7"/>
        <v/>
      </c>
      <c r="G22" s="15"/>
      <c r="H22" s="15">
        <f>SUM(Jan!H22, Feb!H22, Mar!H22)</f>
        <v>0</v>
      </c>
      <c r="I22" s="16" t="str">
        <f t="shared" si="8"/>
        <v/>
      </c>
    </row>
    <row r="23" spans="1:9" ht="15.75">
      <c r="A23" s="17" t="str">
        <v xml:space="preserve"> Denver - BA - 49th Ave</v>
      </c>
      <c r="B23" s="10" t="str">
        <v>CO</v>
      </c>
      <c r="C23" s="11">
        <f>SUM(Jan!C23, Feb!C23, Mar!C23)</f>
        <v>0</v>
      </c>
      <c r="D23" s="18">
        <f>SUM(Jan!D23, Feb!D23, Mar!D23)</f>
        <v>0</v>
      </c>
      <c r="E23" s="18">
        <f t="shared" si="6"/>
        <v>0</v>
      </c>
      <c r="F23" s="19" t="str">
        <f t="shared" si="7"/>
        <v/>
      </c>
      <c r="G23" s="20"/>
      <c r="H23" s="20">
        <f>SUM(Jan!H23, Feb!H23, Mar!H23)</f>
        <v>0</v>
      </c>
      <c r="I23" s="19" t="str">
        <f t="shared" si="8"/>
        <v/>
      </c>
    </row>
    <row r="24" spans="1:9" ht="15.75">
      <c r="A24" s="12" t="str">
        <v xml:space="preserve"> Denver - BA Wadsworth Blvd</v>
      </c>
      <c r="B24" s="9" t="str">
        <v>CO</v>
      </c>
      <c r="C24" s="24">
        <f>SUM(Jan!C24, Feb!C24, Mar!C24)</f>
        <v>0</v>
      </c>
      <c r="D24" s="13">
        <f>SUM(Jan!D24, Feb!D24, Mar!D24)</f>
        <v>0</v>
      </c>
      <c r="E24" s="13">
        <f t="shared" si="6"/>
        <v>0</v>
      </c>
      <c r="F24" s="14" t="str">
        <f t="shared" si="7"/>
        <v/>
      </c>
      <c r="G24" s="15"/>
      <c r="H24" s="15">
        <f>SUM(Jan!H24, Feb!H24, Mar!H24)</f>
        <v>0</v>
      </c>
      <c r="I24" s="16" t="str">
        <f t="shared" si="8"/>
        <v/>
      </c>
    </row>
    <row r="25" spans="1:9" ht="15.75">
      <c r="A25" s="17" t="str">
        <v xml:space="preserve"> Fort Collins - Bank of America</v>
      </c>
      <c r="B25" s="10" t="str">
        <v>CO</v>
      </c>
      <c r="C25" s="11">
        <f>SUM(Jan!C25, Feb!C25, Mar!C25)</f>
        <v>0</v>
      </c>
      <c r="D25" s="18">
        <f>SUM(Jan!D25, Feb!D25, Mar!D25)</f>
        <v>0</v>
      </c>
      <c r="E25" s="18">
        <f t="shared" si="6"/>
        <v>0</v>
      </c>
      <c r="F25" s="19" t="str">
        <f t="shared" si="7"/>
        <v/>
      </c>
      <c r="G25" s="20"/>
      <c r="H25" s="20">
        <f>SUM(Jan!H25, Feb!H25, Mar!H25)</f>
        <v>0</v>
      </c>
      <c r="I25" s="19" t="str">
        <f t="shared" si="8"/>
        <v/>
      </c>
    </row>
    <row r="26" spans="1:9" ht="15.75">
      <c r="A26" s="12" t="str">
        <v xml:space="preserve"> Lafayette - Bank of America</v>
      </c>
      <c r="B26" s="9" t="str">
        <v>CO</v>
      </c>
      <c r="C26" s="24">
        <f>SUM(Jan!C26, Feb!C26, Mar!C26)</f>
        <v>0</v>
      </c>
      <c r="D26" s="13">
        <f>SUM(Jan!D26, Feb!D26, Mar!D26)</f>
        <v>0</v>
      </c>
      <c r="E26" s="13">
        <f t="shared" si="6"/>
        <v>0</v>
      </c>
      <c r="F26" s="14" t="str">
        <f t="shared" si="7"/>
        <v/>
      </c>
      <c r="G26" s="15"/>
      <c r="H26" s="15">
        <f>SUM(Jan!H26, Feb!H26, Mar!H26)</f>
        <v>0</v>
      </c>
      <c r="I26" s="16" t="str">
        <f t="shared" si="8"/>
        <v/>
      </c>
    </row>
    <row r="27" spans="1:9" ht="15.75">
      <c r="A27" s="17" t="str">
        <v xml:space="preserve"> Lakewood - Bank of America</v>
      </c>
      <c r="B27" s="10" t="str">
        <v>CO</v>
      </c>
      <c r="C27" s="11">
        <f>SUM(Jan!C27, Feb!C27, Mar!C27)</f>
        <v>0</v>
      </c>
      <c r="D27" s="18">
        <f>SUM(Jan!D27, Feb!D27, Mar!D27)</f>
        <v>0</v>
      </c>
      <c r="E27" s="18">
        <f t="shared" si="6"/>
        <v>0</v>
      </c>
      <c r="F27" s="19" t="str">
        <f t="shared" si="7"/>
        <v/>
      </c>
      <c r="G27" s="20"/>
      <c r="H27" s="20">
        <f>SUM(Jan!H27, Feb!H27, Mar!H27)</f>
        <v>0</v>
      </c>
      <c r="I27" s="19" t="str">
        <f t="shared" si="8"/>
        <v/>
      </c>
    </row>
    <row r="28" spans="1:9" ht="15.75">
      <c r="A28" s="12" t="str">
        <v xml:space="preserve"> Longmont - Bank of America</v>
      </c>
      <c r="B28" s="9" t="str">
        <v>CO</v>
      </c>
      <c r="C28" s="24">
        <f>SUM(Jan!C28, Feb!C28, Mar!C28)</f>
        <v>0</v>
      </c>
      <c r="D28" s="13">
        <f>SUM(Jan!D28, Feb!D28, Mar!D28)</f>
        <v>0</v>
      </c>
      <c r="E28" s="13">
        <f t="shared" si="6"/>
        <v>0</v>
      </c>
      <c r="F28" s="14" t="str">
        <f t="shared" si="7"/>
        <v/>
      </c>
      <c r="G28" s="15"/>
      <c r="H28" s="15">
        <f>SUM(Jan!H28, Feb!H28, Mar!H28)</f>
        <v>0</v>
      </c>
      <c r="I28" s="16" t="str">
        <f t="shared" si="8"/>
        <v/>
      </c>
    </row>
    <row r="29" spans="1:9" ht="15.75">
      <c r="A29" s="17" t="str">
        <v xml:space="preserve"> Thornton - Bank of America</v>
      </c>
      <c r="B29" s="10" t="str">
        <v>CO</v>
      </c>
      <c r="C29" s="11">
        <f>SUM(Jan!C29, Feb!C29, Mar!C29)</f>
        <v>0</v>
      </c>
      <c r="D29" s="18">
        <f>SUM(Jan!D29, Feb!D29, Mar!D29)</f>
        <v>0</v>
      </c>
      <c r="E29" s="18">
        <f t="shared" si="6"/>
        <v>0</v>
      </c>
      <c r="F29" s="19" t="str">
        <f t="shared" si="7"/>
        <v/>
      </c>
      <c r="G29" s="20"/>
      <c r="H29" s="20">
        <f>SUM(Jan!H29, Feb!H29, Mar!H29)</f>
        <v>0</v>
      </c>
      <c r="I29" s="19" t="str">
        <f t="shared" si="8"/>
        <v/>
      </c>
    </row>
    <row r="30" spans="1:9" ht="15.75">
      <c r="A30" s="12" t="str">
        <v xml:space="preserve"> Calumet City - Bank of America</v>
      </c>
      <c r="B30" s="9" t="str">
        <v>IL</v>
      </c>
      <c r="C30" s="24">
        <f>SUM(Jan!C30, Feb!C30, Mar!C30)</f>
        <v>0</v>
      </c>
      <c r="D30" s="13">
        <f>SUM(Jan!D30, Feb!D30, Mar!D30)</f>
        <v>0</v>
      </c>
      <c r="E30" s="13">
        <f t="shared" si="6"/>
        <v>0</v>
      </c>
      <c r="F30" s="14" t="str">
        <f t="shared" si="7"/>
        <v/>
      </c>
      <c r="G30" s="15"/>
      <c r="H30" s="15">
        <f>SUM(Jan!H30, Feb!H30, Mar!H30)</f>
        <v>0</v>
      </c>
      <c r="I30" s="16" t="str">
        <f t="shared" si="8"/>
        <v/>
      </c>
    </row>
    <row r="31" spans="1:9" ht="15.75">
      <c r="A31" s="17" t="str">
        <v xml:space="preserve"> Downers Grove - Bank of America</v>
      </c>
      <c r="B31" s="10" t="str">
        <v>IL</v>
      </c>
      <c r="C31" s="11">
        <f>SUM(Jan!C31, Feb!C31, Mar!C31)</f>
        <v>0</v>
      </c>
      <c r="D31" s="18">
        <f>SUM(Jan!D31, Feb!D31, Mar!D31)</f>
        <v>0</v>
      </c>
      <c r="E31" s="18">
        <f t="shared" si="6"/>
        <v>0</v>
      </c>
      <c r="F31" s="19" t="str">
        <f t="shared" si="7"/>
        <v/>
      </c>
      <c r="G31" s="20"/>
      <c r="H31" s="20">
        <f>SUM(Jan!H31, Feb!H31, Mar!H31)</f>
        <v>0</v>
      </c>
      <c r="I31" s="19" t="str">
        <f t="shared" si="8"/>
        <v/>
      </c>
    </row>
    <row r="32" spans="1:9" ht="15.75">
      <c r="A32" s="12" t="str">
        <v xml:space="preserve"> Bloomington - Bank of America</v>
      </c>
      <c r="B32" s="9" t="str">
        <v>MN</v>
      </c>
      <c r="C32" s="24">
        <f>SUM(Jan!C32, Feb!C32, Mar!C32)</f>
        <v>0</v>
      </c>
      <c r="D32" s="13">
        <f>SUM(Jan!D32, Feb!D32, Mar!D32)</f>
        <v>0</v>
      </c>
      <c r="E32" s="13">
        <f t="shared" si="6"/>
        <v>0</v>
      </c>
      <c r="F32" s="14" t="str">
        <f t="shared" si="7"/>
        <v/>
      </c>
      <c r="G32" s="15"/>
      <c r="H32" s="15">
        <f>SUM(Jan!H32, Feb!H32, Mar!H32)</f>
        <v>0</v>
      </c>
      <c r="I32" s="16" t="str">
        <f t="shared" si="8"/>
        <v/>
      </c>
    </row>
    <row r="33" spans="1:9" ht="15.75">
      <c r="A33" s="17" t="str">
        <v xml:space="preserve"> Clayton - Bank of America</v>
      </c>
      <c r="B33" s="10" t="str">
        <v>MO</v>
      </c>
      <c r="C33" s="11">
        <f>SUM(Jan!C33, Feb!C33, Mar!C33)</f>
        <v>0</v>
      </c>
      <c r="D33" s="18">
        <f>SUM(Jan!D33, Feb!D33, Mar!D33)</f>
        <v>0</v>
      </c>
      <c r="E33" s="18">
        <f t="shared" si="6"/>
        <v>0</v>
      </c>
      <c r="F33" s="19" t="str">
        <f t="shared" si="7"/>
        <v/>
      </c>
      <c r="G33" s="20"/>
      <c r="H33" s="20">
        <f>SUM(Jan!H33, Feb!H33, Mar!H33)</f>
        <v>0</v>
      </c>
      <c r="I33" s="19" t="str">
        <f t="shared" si="8"/>
        <v/>
      </c>
    </row>
    <row r="34" spans="1:9" ht="15.75">
      <c r="A34" s="12" t="str">
        <v xml:space="preserve"> Manchester - Bank of America</v>
      </c>
      <c r="B34" s="9" t="str">
        <v>MO</v>
      </c>
      <c r="C34" s="24">
        <f>SUM(Jan!C34, Feb!C34, Mar!C34)</f>
        <v>0</v>
      </c>
      <c r="D34" s="13">
        <f>SUM(Jan!D34, Feb!D34, Mar!D34)</f>
        <v>0</v>
      </c>
      <c r="E34" s="13">
        <f t="shared" si="6"/>
        <v>0</v>
      </c>
      <c r="F34" s="14" t="str">
        <f t="shared" si="7"/>
        <v/>
      </c>
      <c r="G34" s="15"/>
      <c r="H34" s="15">
        <f>SUM(Jan!H34, Feb!H34, Mar!H34)</f>
        <v>0</v>
      </c>
      <c r="I34" s="16" t="str">
        <f t="shared" si="8"/>
        <v/>
      </c>
    </row>
    <row r="35" spans="1:9" ht="15.75">
      <c r="A35" s="17" t="str">
        <v xml:space="preserve"> Las Vegas - BA - Eastern Ave</v>
      </c>
      <c r="B35" s="10" t="str">
        <v>NV</v>
      </c>
      <c r="C35" s="11">
        <f>SUM(Jan!C35, Feb!C35, Mar!C35)</f>
        <v>0</v>
      </c>
      <c r="D35" s="18">
        <f>SUM(Jan!D35, Feb!D35, Mar!D35)</f>
        <v>0</v>
      </c>
      <c r="E35" s="18">
        <f t="shared" si="6"/>
        <v>0</v>
      </c>
      <c r="F35" s="19" t="str">
        <f t="shared" si="7"/>
        <v/>
      </c>
      <c r="G35" s="20"/>
      <c r="H35" s="20">
        <f>SUM(Jan!H35, Feb!H35, Mar!H35)</f>
        <v>0</v>
      </c>
      <c r="I35" s="19" t="str">
        <f t="shared" si="8"/>
        <v/>
      </c>
    </row>
    <row r="36" spans="1:9" ht="15.75">
      <c r="A36" s="12" t="str">
        <v xml:space="preserve"> Las Vegas - BA - Town Ctr Dr</v>
      </c>
      <c r="B36" s="9" t="str">
        <v>NV</v>
      </c>
      <c r="C36" s="24">
        <f>SUM(Jan!C36, Feb!C36, Mar!C36)</f>
        <v>0</v>
      </c>
      <c r="D36" s="13">
        <f>SUM(Jan!D36, Feb!D36, Mar!D36)</f>
        <v>0</v>
      </c>
      <c r="E36" s="13">
        <f t="shared" si="6"/>
        <v>0</v>
      </c>
      <c r="F36" s="14" t="str">
        <f t="shared" si="7"/>
        <v/>
      </c>
      <c r="G36" s="15"/>
      <c r="H36" s="15">
        <f>SUM(Jan!H36, Feb!H36, Mar!H36)</f>
        <v>0</v>
      </c>
      <c r="I36" s="16" t="str">
        <f t="shared" si="8"/>
        <v/>
      </c>
    </row>
    <row r="37" spans="1:9" ht="15.75">
      <c r="A37" s="17" t="str">
        <v xml:space="preserve"> Riverton - Bank of America</v>
      </c>
      <c r="B37" s="10" t="str">
        <v>UT</v>
      </c>
      <c r="C37" s="11">
        <f>SUM(Jan!C37, Feb!C37, Mar!C37)</f>
        <v>0</v>
      </c>
      <c r="D37" s="18">
        <f>SUM(Jan!D37, Feb!D37, Mar!D37)</f>
        <v>0</v>
      </c>
      <c r="E37" s="18">
        <f t="shared" si="6"/>
        <v>0</v>
      </c>
      <c r="F37" s="19" t="str">
        <f t="shared" si="7"/>
        <v/>
      </c>
      <c r="G37" s="20"/>
      <c r="H37" s="20">
        <f>SUM(Jan!H37, Feb!H37, Mar!H37)</f>
        <v>0</v>
      </c>
      <c r="I37" s="19" t="str">
        <f t="shared" si="8"/>
        <v/>
      </c>
    </row>
    <row r="38" spans="1:9" ht="15.75">
      <c r="A38" s="12" t="str">
        <v xml:space="preserve"> Salt Lake City - Bank of America</v>
      </c>
      <c r="B38" s="9" t="str">
        <v>UT</v>
      </c>
      <c r="C38" s="24">
        <f>SUM(Jan!C38, Feb!C38, Mar!C38)</f>
        <v>0</v>
      </c>
      <c r="D38" s="13">
        <f>SUM(Jan!D38, Feb!D38, Mar!D38)</f>
        <v>0</v>
      </c>
      <c r="E38" s="13">
        <f t="shared" si="6"/>
        <v>0</v>
      </c>
      <c r="F38" s="14" t="str">
        <f t="shared" si="7"/>
        <v/>
      </c>
      <c r="G38" s="15"/>
      <c r="H38" s="15">
        <f>SUM(Jan!H38, Feb!H38, Mar!H38)</f>
        <v>0</v>
      </c>
      <c r="I38" s="16" t="str">
        <f t="shared" si="8"/>
        <v/>
      </c>
    </row>
    <row r="39" spans="1:9">
      <c r="A39" s="21"/>
      <c r="B39" s="21"/>
      <c r="C39" s="21"/>
      <c r="D39" s="21"/>
      <c r="E39" s="21"/>
      <c r="F39" s="22"/>
      <c r="G39" s="21"/>
      <c r="H39" s="21"/>
      <c r="I39" s="22"/>
    </row>
    <row r="40" spans="1:9">
      <c r="A40" s="21"/>
      <c r="B40" s="21"/>
      <c r="C40" s="21"/>
      <c r="D40" s="21"/>
      <c r="E40" s="21"/>
      <c r="F40" s="22"/>
      <c r="G40" s="21"/>
      <c r="H40" s="21"/>
      <c r="I40" s="22"/>
    </row>
    <row r="41" spans="1:9">
      <c r="A41" s="21"/>
      <c r="B41" s="21"/>
      <c r="C41" s="21"/>
      <c r="D41" s="21"/>
      <c r="E41" s="21"/>
      <c r="F41" s="22"/>
      <c r="G41" s="21"/>
      <c r="H41" s="21"/>
      <c r="I41" s="22"/>
    </row>
    <row r="42" spans="1:9">
      <c r="A42" s="21"/>
      <c r="B42" s="21"/>
      <c r="C42" s="21"/>
      <c r="D42" s="21"/>
      <c r="E42" s="21"/>
      <c r="F42" s="22"/>
      <c r="G42" s="21"/>
      <c r="H42" s="21"/>
      <c r="I42" s="22"/>
    </row>
    <row r="43" spans="1:9">
      <c r="A43" s="21"/>
      <c r="B43" s="21"/>
      <c r="C43" s="21"/>
      <c r="D43" s="21"/>
      <c r="E43" s="21"/>
      <c r="F43" s="22"/>
      <c r="G43" s="21"/>
      <c r="H43" s="21"/>
      <c r="I43" s="22"/>
    </row>
    <row r="44" spans="1:9">
      <c r="A44" s="21"/>
      <c r="B44" s="21"/>
      <c r="C44" s="21"/>
      <c r="D44" s="21"/>
      <c r="E44" s="21"/>
      <c r="F44" s="22"/>
      <c r="G44" s="21"/>
      <c r="H44" s="21"/>
      <c r="I44" s="22"/>
    </row>
    <row r="45" spans="1:9">
      <c r="A45" s="21"/>
      <c r="B45" s="21"/>
      <c r="C45" s="21"/>
      <c r="D45" s="21"/>
      <c r="E45" s="21"/>
      <c r="F45" s="22"/>
      <c r="G45" s="21"/>
      <c r="H45" s="21"/>
      <c r="I45" s="22"/>
    </row>
    <row r="46" spans="1:9">
      <c r="A46" s="21"/>
      <c r="B46" s="21"/>
      <c r="C46" s="21"/>
      <c r="D46" s="21"/>
      <c r="E46" s="21"/>
      <c r="F46" s="22"/>
      <c r="G46" s="21"/>
      <c r="H46" s="21"/>
      <c r="I46" s="22"/>
    </row>
    <row r="47" spans="1:9">
      <c r="A47" s="21"/>
      <c r="B47" s="21"/>
      <c r="C47" s="21"/>
      <c r="D47" s="21"/>
      <c r="E47" s="21"/>
      <c r="F47" s="22"/>
      <c r="G47" s="21"/>
      <c r="H47" s="21"/>
      <c r="I47" s="22"/>
    </row>
    <row r="48" spans="1:9">
      <c r="A48" s="21"/>
      <c r="B48" s="21"/>
      <c r="C48" s="21"/>
      <c r="D48" s="21"/>
      <c r="E48" s="21"/>
      <c r="F48" s="22"/>
      <c r="G48" s="21"/>
      <c r="H48" s="21"/>
      <c r="I48" s="22"/>
    </row>
    <row r="49" spans="1:9">
      <c r="A49" s="21"/>
      <c r="B49" s="21"/>
      <c r="C49" s="21"/>
      <c r="D49" s="21"/>
      <c r="E49" s="21"/>
      <c r="F49" s="22"/>
      <c r="G49" s="21"/>
      <c r="H49" s="21"/>
      <c r="I49" s="22"/>
    </row>
    <row r="50" spans="1:9">
      <c r="A50" s="21"/>
      <c r="B50" s="21"/>
      <c r="C50" s="21"/>
      <c r="D50" s="21"/>
      <c r="E50" s="21"/>
      <c r="F50" s="22"/>
      <c r="G50" s="21"/>
      <c r="H50" s="21"/>
      <c r="I50" s="22"/>
    </row>
    <row r="51" spans="1:9">
      <c r="A51" s="21"/>
      <c r="B51" s="21"/>
      <c r="C51" s="21"/>
      <c r="D51" s="21"/>
      <c r="E51" s="21"/>
      <c r="F51" s="22"/>
      <c r="G51" s="21"/>
      <c r="H51" s="21"/>
      <c r="I51" s="22"/>
    </row>
    <row r="52" spans="1:9">
      <c r="A52" s="21"/>
      <c r="B52" s="21"/>
      <c r="C52" s="21"/>
      <c r="D52" s="21"/>
      <c r="E52" s="21"/>
      <c r="F52" s="22"/>
      <c r="G52" s="21"/>
      <c r="H52" s="21"/>
      <c r="I52" s="22"/>
    </row>
    <row r="53" spans="1:9">
      <c r="A53" s="21"/>
      <c r="B53" s="21"/>
      <c r="C53" s="21"/>
      <c r="D53" s="21"/>
      <c r="E53" s="21"/>
      <c r="F53" s="22"/>
      <c r="G53" s="21"/>
      <c r="H53" s="21"/>
      <c r="I53" s="22"/>
    </row>
    <row r="54" spans="1:9">
      <c r="A54" s="21"/>
      <c r="B54" s="21"/>
      <c r="C54" s="21"/>
      <c r="D54" s="21"/>
      <c r="E54" s="21"/>
      <c r="F54" s="22"/>
      <c r="G54" s="21"/>
      <c r="H54" s="21"/>
      <c r="I54" s="22"/>
    </row>
    <row r="55" spans="1:9">
      <c r="A55" s="21"/>
      <c r="B55" s="21"/>
      <c r="C55" s="21"/>
      <c r="D55" s="21"/>
      <c r="E55" s="21"/>
      <c r="F55" s="22"/>
      <c r="G55" s="21"/>
      <c r="H55" s="21"/>
      <c r="I55" s="22"/>
    </row>
    <row r="56" spans="1:9">
      <c r="A56" s="21"/>
      <c r="B56" s="21"/>
      <c r="C56" s="21"/>
      <c r="D56" s="21"/>
      <c r="E56" s="21"/>
      <c r="F56" s="22"/>
      <c r="G56" s="21"/>
      <c r="H56" s="21"/>
      <c r="I56" s="22"/>
    </row>
    <row r="57" spans="1:9">
      <c r="A57" s="21"/>
      <c r="B57" s="21"/>
      <c r="C57" s="21"/>
      <c r="D57" s="21"/>
      <c r="E57" s="21"/>
      <c r="F57" s="22"/>
      <c r="G57" s="21"/>
      <c r="H57" s="21"/>
      <c r="I57" s="22"/>
    </row>
    <row r="58" spans="1:9">
      <c r="A58" s="21"/>
      <c r="B58" s="21"/>
      <c r="C58" s="21"/>
      <c r="D58" s="21"/>
      <c r="E58" s="21"/>
      <c r="F58" s="22"/>
      <c r="G58" s="21"/>
      <c r="H58" s="21"/>
      <c r="I58" s="22"/>
    </row>
    <row r="59" spans="1:9">
      <c r="A59" s="21"/>
      <c r="B59" s="21"/>
      <c r="C59" s="21"/>
      <c r="D59" s="21"/>
      <c r="E59" s="21"/>
      <c r="F59" s="22"/>
      <c r="G59" s="21"/>
      <c r="H59" s="21"/>
      <c r="I59" s="22"/>
    </row>
    <row r="60" spans="1:9">
      <c r="A60" s="21"/>
      <c r="B60" s="21"/>
      <c r="C60" s="21"/>
      <c r="D60" s="21"/>
      <c r="E60" s="21"/>
      <c r="F60" s="22"/>
      <c r="G60" s="21"/>
      <c r="H60" s="21"/>
      <c r="I60" s="22"/>
    </row>
    <row r="61" spans="1:9">
      <c r="A61" s="21"/>
      <c r="B61" s="21"/>
      <c r="C61" s="21"/>
      <c r="D61" s="21"/>
      <c r="E61" s="21"/>
      <c r="F61" s="22"/>
      <c r="G61" s="21"/>
      <c r="H61" s="21"/>
      <c r="I61" s="22"/>
    </row>
    <row r="62" spans="1:9">
      <c r="A62" s="21"/>
      <c r="B62" s="21"/>
      <c r="C62" s="21"/>
      <c r="D62" s="21"/>
      <c r="E62" s="21"/>
      <c r="F62" s="22"/>
      <c r="G62" s="21"/>
      <c r="H62" s="21"/>
      <c r="I62" s="22"/>
    </row>
    <row r="63" spans="1:9">
      <c r="A63" s="21"/>
      <c r="B63" s="21"/>
      <c r="C63" s="21"/>
      <c r="D63" s="21"/>
      <c r="E63" s="21"/>
      <c r="F63" s="22"/>
      <c r="G63" s="21"/>
      <c r="H63" s="21"/>
      <c r="I63" s="22"/>
    </row>
    <row r="64" spans="1:9">
      <c r="A64" s="21"/>
      <c r="B64" s="21"/>
      <c r="C64" s="21"/>
      <c r="D64" s="21"/>
      <c r="E64" s="21"/>
      <c r="F64" s="22"/>
      <c r="G64" s="21"/>
      <c r="H64" s="21"/>
      <c r="I64" s="22"/>
    </row>
    <row r="65" spans="1:9">
      <c r="A65" s="21"/>
      <c r="B65" s="21"/>
      <c r="C65" s="21"/>
      <c r="D65" s="21"/>
      <c r="E65" s="21"/>
      <c r="F65" s="22"/>
      <c r="G65" s="21"/>
      <c r="H65" s="21"/>
      <c r="I65" s="22"/>
    </row>
    <row r="66" spans="1:9">
      <c r="A66" s="21"/>
      <c r="B66" s="21"/>
      <c r="C66" s="21"/>
      <c r="D66" s="21"/>
      <c r="E66" s="21"/>
      <c r="F66" s="22"/>
      <c r="G66" s="21"/>
      <c r="H66" s="21"/>
      <c r="I66" s="22"/>
    </row>
    <row r="67" spans="1:9">
      <c r="A67" s="21"/>
      <c r="B67" s="21"/>
      <c r="C67" s="21"/>
      <c r="D67" s="21"/>
      <c r="E67" s="21"/>
      <c r="F67" s="22"/>
      <c r="G67" s="21"/>
      <c r="H67" s="21"/>
      <c r="I67" s="22"/>
    </row>
    <row r="68" spans="1:9">
      <c r="A68" s="21"/>
      <c r="B68" s="21"/>
      <c r="C68" s="21"/>
      <c r="D68" s="21"/>
      <c r="E68" s="21"/>
      <c r="F68" s="22"/>
      <c r="G68" s="21"/>
      <c r="H68" s="21"/>
      <c r="I68" s="22"/>
    </row>
    <row r="69" spans="1:9">
      <c r="A69" s="21"/>
      <c r="B69" s="21"/>
      <c r="C69" s="21"/>
      <c r="D69" s="21"/>
      <c r="E69" s="21"/>
      <c r="F69" s="22"/>
      <c r="G69" s="21"/>
      <c r="H69" s="21"/>
      <c r="I69" s="22"/>
    </row>
    <row r="70" spans="1:9">
      <c r="A70" s="21"/>
      <c r="B70" s="21"/>
      <c r="C70" s="21"/>
      <c r="D70" s="21"/>
      <c r="E70" s="21"/>
      <c r="F70" s="22"/>
      <c r="G70" s="21"/>
      <c r="H70" s="21"/>
      <c r="I70" s="22"/>
    </row>
    <row r="71" spans="1:9">
      <c r="A71" s="21"/>
      <c r="B71" s="21"/>
      <c r="C71" s="21"/>
      <c r="D71" s="21"/>
      <c r="E71" s="21"/>
      <c r="F71" s="22"/>
      <c r="G71" s="21"/>
      <c r="H71" s="21"/>
      <c r="I71" s="22"/>
    </row>
    <row r="72" spans="1:9">
      <c r="A72" s="21"/>
      <c r="B72" s="21"/>
      <c r="C72" s="21"/>
      <c r="D72" s="21"/>
      <c r="E72" s="21"/>
      <c r="F72" s="22"/>
      <c r="G72" s="21"/>
      <c r="H72" s="21"/>
      <c r="I72" s="22"/>
    </row>
    <row r="73" spans="1:9">
      <c r="A73" s="21"/>
      <c r="B73" s="21"/>
      <c r="C73" s="21"/>
      <c r="D73" s="21"/>
      <c r="E73" s="21"/>
      <c r="F73" s="22"/>
      <c r="G73" s="21"/>
      <c r="H73" s="21"/>
      <c r="I73" s="22"/>
    </row>
    <row r="74" spans="1:9">
      <c r="A74" s="21"/>
      <c r="B74" s="21"/>
      <c r="C74" s="21"/>
      <c r="D74" s="21"/>
      <c r="E74" s="21"/>
      <c r="F74" s="22"/>
      <c r="G74" s="21"/>
      <c r="H74" s="21"/>
      <c r="I74" s="22"/>
    </row>
    <row r="75" spans="1:9">
      <c r="A75" s="21"/>
      <c r="B75" s="21"/>
      <c r="C75" s="21"/>
      <c r="D75" s="21"/>
      <c r="E75" s="21"/>
      <c r="F75" s="22"/>
      <c r="G75" s="21"/>
      <c r="H75" s="21"/>
      <c r="I75" s="22"/>
    </row>
    <row r="76" spans="1:9">
      <c r="A76" s="21"/>
      <c r="B76" s="21"/>
      <c r="C76" s="21"/>
      <c r="D76" s="21"/>
      <c r="E76" s="21"/>
      <c r="F76" s="22"/>
      <c r="G76" s="21"/>
      <c r="H76" s="21"/>
      <c r="I76" s="22"/>
    </row>
    <row r="77" spans="1:9">
      <c r="A77" s="21"/>
      <c r="B77" s="21"/>
      <c r="C77" s="21"/>
      <c r="D77" s="21"/>
      <c r="E77" s="21"/>
      <c r="F77" s="22"/>
      <c r="G77" s="21"/>
      <c r="H77" s="21"/>
      <c r="I77" s="22"/>
    </row>
    <row r="78" spans="1:9">
      <c r="A78" s="21"/>
      <c r="B78" s="21"/>
      <c r="C78" s="21"/>
      <c r="D78" s="21"/>
      <c r="E78" s="21"/>
      <c r="F78" s="22"/>
      <c r="G78" s="21"/>
      <c r="H78" s="21"/>
      <c r="I78" s="22"/>
    </row>
    <row r="79" spans="1:9">
      <c r="A79" s="21"/>
      <c r="B79" s="21"/>
      <c r="C79" s="21"/>
      <c r="D79" s="21"/>
      <c r="E79" s="21"/>
      <c r="F79" s="22"/>
      <c r="G79" s="21"/>
      <c r="H79" s="21"/>
      <c r="I79" s="22"/>
    </row>
    <row r="80" spans="1:9">
      <c r="A80" s="21"/>
      <c r="B80" s="21"/>
      <c r="C80" s="21"/>
      <c r="D80" s="21"/>
      <c r="E80" s="21"/>
      <c r="F80" s="22"/>
      <c r="G80" s="21"/>
      <c r="H80" s="21"/>
      <c r="I80" s="22"/>
    </row>
    <row r="81" spans="1:9">
      <c r="A81" s="21"/>
      <c r="B81" s="21"/>
      <c r="C81" s="21"/>
      <c r="D81" s="21"/>
      <c r="E81" s="21"/>
      <c r="F81" s="22"/>
      <c r="G81" s="21"/>
      <c r="H81" s="21"/>
      <c r="I81" s="22"/>
    </row>
    <row r="82" spans="1:9">
      <c r="A82" s="21"/>
      <c r="B82" s="21"/>
      <c r="C82" s="21"/>
      <c r="D82" s="21"/>
      <c r="E82" s="21"/>
      <c r="F82" s="22"/>
      <c r="G82" s="21"/>
      <c r="H82" s="21"/>
      <c r="I82" s="22"/>
    </row>
    <row r="83" spans="1:9">
      <c r="A83" s="21"/>
      <c r="B83" s="21"/>
      <c r="C83" s="21"/>
      <c r="D83" s="21"/>
      <c r="E83" s="21"/>
      <c r="F83" s="22"/>
      <c r="G83" s="21"/>
      <c r="H83" s="21"/>
      <c r="I83" s="22"/>
    </row>
    <row r="84" spans="1:9">
      <c r="A84" s="21"/>
      <c r="B84" s="21"/>
      <c r="C84" s="21"/>
      <c r="D84" s="21"/>
      <c r="E84" s="21"/>
      <c r="F84" s="22"/>
      <c r="G84" s="21"/>
      <c r="H84" s="21"/>
      <c r="I84" s="22"/>
    </row>
    <row r="85" spans="1:9">
      <c r="A85" s="21"/>
      <c r="B85" s="21"/>
      <c r="C85" s="21"/>
      <c r="D85" s="21"/>
      <c r="E85" s="21"/>
      <c r="F85" s="22"/>
      <c r="G85" s="21"/>
      <c r="H85" s="21"/>
      <c r="I85" s="22"/>
    </row>
    <row r="86" spans="1:9">
      <c r="A86" s="21"/>
      <c r="B86" s="21"/>
      <c r="C86" s="21"/>
      <c r="D86" s="21"/>
      <c r="E86" s="21"/>
      <c r="F86" s="22"/>
      <c r="G86" s="21"/>
      <c r="H86" s="21"/>
      <c r="I86" s="22"/>
    </row>
    <row r="87" spans="1:9">
      <c r="A87" s="21"/>
      <c r="B87" s="21"/>
      <c r="C87" s="21"/>
      <c r="D87" s="21"/>
      <c r="E87" s="21"/>
      <c r="F87" s="22"/>
      <c r="G87" s="21"/>
      <c r="H87" s="21"/>
      <c r="I87" s="22"/>
    </row>
    <row r="88" spans="1:9">
      <c r="A88" s="21"/>
      <c r="B88" s="21"/>
      <c r="C88" s="21"/>
      <c r="D88" s="21"/>
      <c r="E88" s="21"/>
      <c r="F88" s="22"/>
      <c r="G88" s="21"/>
      <c r="H88" s="21"/>
      <c r="I88" s="22"/>
    </row>
    <row r="89" spans="1:9">
      <c r="A89" s="21"/>
      <c r="B89" s="21"/>
      <c r="C89" s="21"/>
      <c r="D89" s="21"/>
      <c r="E89" s="21"/>
      <c r="F89" s="22"/>
      <c r="G89" s="21"/>
      <c r="H89" s="21"/>
      <c r="I89" s="22"/>
    </row>
    <row r="90" spans="1:9">
      <c r="A90" s="21"/>
      <c r="B90" s="21"/>
      <c r="C90" s="21"/>
      <c r="D90" s="21"/>
      <c r="E90" s="21"/>
      <c r="F90" s="22"/>
      <c r="G90" s="21"/>
      <c r="H90" s="21"/>
      <c r="I90" s="22"/>
    </row>
    <row r="91" spans="1:9">
      <c r="A91" s="21"/>
      <c r="B91" s="21"/>
      <c r="C91" s="21"/>
      <c r="D91" s="21"/>
      <c r="E91" s="21"/>
      <c r="F91" s="22"/>
      <c r="G91" s="21"/>
      <c r="H91" s="21"/>
      <c r="I91" s="22"/>
    </row>
    <row r="92" spans="1:9">
      <c r="A92" s="21"/>
      <c r="B92" s="21"/>
      <c r="C92" s="21"/>
      <c r="D92" s="21"/>
      <c r="E92" s="21"/>
      <c r="F92" s="22"/>
      <c r="G92" s="21"/>
      <c r="H92" s="21"/>
      <c r="I92" s="22"/>
    </row>
    <row r="93" spans="1:9">
      <c r="A93" s="21"/>
      <c r="B93" s="21"/>
      <c r="C93" s="21"/>
      <c r="D93" s="21"/>
      <c r="E93" s="21"/>
      <c r="F93" s="22"/>
      <c r="G93" s="21"/>
      <c r="H93" s="21"/>
      <c r="I93" s="22"/>
    </row>
    <row r="94" spans="1:9">
      <c r="A94" s="21"/>
      <c r="B94" s="21"/>
      <c r="C94" s="21"/>
      <c r="D94" s="21"/>
      <c r="E94" s="21"/>
      <c r="F94" s="22"/>
      <c r="G94" s="21"/>
      <c r="H94" s="21"/>
      <c r="I94" s="22"/>
    </row>
    <row r="95" spans="1:9">
      <c r="A95" s="21"/>
      <c r="B95" s="21"/>
      <c r="C95" s="21"/>
      <c r="D95" s="21"/>
      <c r="E95" s="21"/>
      <c r="F95" s="22"/>
      <c r="G95" s="21"/>
      <c r="H95" s="21"/>
      <c r="I95" s="22"/>
    </row>
    <row r="96" spans="1:9">
      <c r="A96" s="21"/>
      <c r="B96" s="21"/>
      <c r="C96" s="21"/>
      <c r="D96" s="21"/>
      <c r="E96" s="21"/>
      <c r="F96" s="22"/>
      <c r="G96" s="21"/>
      <c r="H96" s="21"/>
      <c r="I96" s="22"/>
    </row>
    <row r="97" spans="1:9">
      <c r="A97" s="21"/>
      <c r="B97" s="21"/>
      <c r="C97" s="21"/>
      <c r="D97" s="21"/>
      <c r="E97" s="21"/>
      <c r="F97" s="22"/>
      <c r="G97" s="21"/>
      <c r="H97" s="21"/>
      <c r="I97" s="22"/>
    </row>
    <row r="98" spans="1:9">
      <c r="A98" s="21"/>
      <c r="B98" s="21"/>
      <c r="C98" s="21"/>
      <c r="D98" s="21"/>
      <c r="E98" s="21"/>
      <c r="F98" s="22"/>
      <c r="G98" s="21"/>
      <c r="H98" s="21"/>
      <c r="I98" s="22"/>
    </row>
    <row r="99" spans="1:9">
      <c r="A99" s="21"/>
      <c r="B99" s="21"/>
      <c r="C99" s="21"/>
      <c r="D99" s="21"/>
      <c r="E99" s="21"/>
      <c r="F99" s="22"/>
      <c r="G99" s="21"/>
      <c r="H99" s="21"/>
      <c r="I99" s="22"/>
    </row>
    <row r="100" spans="1: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>
      <c r="A329" s="21"/>
      <c r="B329" s="21"/>
      <c r="C329" s="21"/>
      <c r="D329" s="21"/>
      <c r="E329" s="21"/>
      <c r="F329" s="22"/>
      <c r="G329" s="21"/>
      <c r="H329" s="21"/>
      <c r="I329" s="22"/>
    </row>
    <row r="330" spans="1:9">
      <c r="A330" s="21"/>
      <c r="B330" s="21"/>
      <c r="C330" s="21"/>
      <c r="D330" s="21"/>
      <c r="E330" s="21"/>
      <c r="F330" s="22"/>
      <c r="G330" s="21"/>
      <c r="H330" s="21"/>
      <c r="I330" s="22"/>
    </row>
    <row r="331" spans="1:9">
      <c r="A331" s="21"/>
      <c r="B331" s="21"/>
      <c r="C331" s="21"/>
      <c r="D331" s="21"/>
      <c r="E331" s="21"/>
      <c r="F331" s="22"/>
      <c r="G331" s="21"/>
      <c r="H331" s="21"/>
      <c r="I331" s="22"/>
    </row>
    <row r="332" spans="1:9">
      <c r="A332" s="21"/>
      <c r="B332" s="21"/>
      <c r="C332" s="21"/>
      <c r="D332" s="21"/>
      <c r="E332" s="21"/>
      <c r="F332" s="22"/>
      <c r="G332" s="21"/>
      <c r="H332" s="21"/>
      <c r="I332" s="22"/>
    </row>
    <row r="333" spans="1:9">
      <c r="A333" s="21"/>
      <c r="B333" s="21"/>
      <c r="C333" s="21"/>
      <c r="D333" s="21"/>
      <c r="E333" s="21"/>
      <c r="F333" s="22"/>
      <c r="G333" s="21"/>
      <c r="H333" s="21"/>
      <c r="I333" s="22"/>
    </row>
    <row r="334" spans="1:9">
      <c r="A334" s="21"/>
      <c r="B334" s="21"/>
      <c r="C334" s="21"/>
      <c r="D334" s="21"/>
      <c r="E334" s="21"/>
      <c r="F334" s="22"/>
      <c r="G334" s="21"/>
      <c r="H334" s="21"/>
      <c r="I334" s="22"/>
    </row>
    <row r="335" spans="1:9">
      <c r="A335" s="21"/>
      <c r="B335" s="21"/>
      <c r="C335" s="21"/>
      <c r="D335" s="21"/>
      <c r="E335" s="21"/>
      <c r="F335" s="22"/>
      <c r="G335" s="21"/>
      <c r="H335" s="21"/>
      <c r="I335" s="22"/>
    </row>
    <row r="336" spans="1:9">
      <c r="A336" s="21"/>
      <c r="B336" s="21"/>
      <c r="C336" s="21"/>
      <c r="D336" s="21"/>
      <c r="E336" s="21"/>
      <c r="F336" s="22"/>
      <c r="G336" s="21"/>
      <c r="H336" s="21"/>
      <c r="I336" s="22"/>
    </row>
    <row r="337" spans="1:9">
      <c r="A337" s="21"/>
      <c r="B337" s="21"/>
      <c r="C337" s="21"/>
      <c r="D337" s="21"/>
      <c r="E337" s="21"/>
      <c r="F337" s="22"/>
      <c r="G337" s="21"/>
      <c r="H337" s="21"/>
      <c r="I337" s="22"/>
    </row>
    <row r="338" spans="1:9">
      <c r="A338" s="21"/>
      <c r="B338" s="21"/>
      <c r="C338" s="21"/>
      <c r="D338" s="21"/>
      <c r="E338" s="21"/>
      <c r="F338" s="22"/>
      <c r="G338" s="21"/>
      <c r="H338" s="21"/>
      <c r="I338" s="22"/>
    </row>
    <row r="339" spans="1:9">
      <c r="A339" s="21"/>
      <c r="B339" s="21"/>
      <c r="C339" s="21"/>
      <c r="D339" s="21"/>
      <c r="E339" s="21"/>
      <c r="F339" s="22"/>
      <c r="G339" s="21"/>
      <c r="H339" s="21"/>
      <c r="I339" s="22"/>
    </row>
    <row r="340" spans="1:9">
      <c r="A340" s="21"/>
      <c r="B340" s="21"/>
      <c r="C340" s="21"/>
      <c r="D340" s="21"/>
      <c r="E340" s="21"/>
      <c r="F340" s="22"/>
      <c r="G340" s="21"/>
      <c r="H340" s="21"/>
      <c r="I340" s="22"/>
    </row>
    <row r="341" spans="1:9">
      <c r="A341" s="21"/>
      <c r="B341" s="21"/>
      <c r="C341" s="21"/>
      <c r="D341" s="21"/>
      <c r="E341" s="21"/>
      <c r="F341" s="22"/>
      <c r="G341" s="21"/>
      <c r="H341" s="21"/>
      <c r="I341" s="22"/>
    </row>
    <row r="342" spans="1:9">
      <c r="A342" s="21"/>
      <c r="B342" s="21"/>
      <c r="C342" s="21"/>
      <c r="D342" s="21"/>
      <c r="E342" s="21"/>
      <c r="F342" s="22"/>
      <c r="G342" s="21"/>
      <c r="H342" s="21"/>
      <c r="I342" s="22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100 I4:I100">
    <cfRule type="cellIs" dxfId="60" priority="1" stopIfTrue="1" operator="lessThanOrEqual">
      <formula>-0.1</formula>
    </cfRule>
    <cfRule type="expression" dxfId="59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42"/>
  <sheetViews>
    <sheetView workbookViewId="0">
      <pane xSplit="2" ySplit="3" topLeftCell="C4" activePane="bottomRight" state="frozen"/>
      <selection pane="bottomRight" activeCell="A16" sqref="A16:I38"/>
      <selection pane="bottomLeft"/>
      <selection pane="topRight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7" t="str" cm="1">
        <f t="array" ref="A1">portfolio</f>
        <v>Cushman &amp; Wakefield</v>
      </c>
      <c r="B1" s="57"/>
      <c r="C1" s="57"/>
      <c r="D1" s="58" t="s">
        <v>10</v>
      </c>
      <c r="E1" s="58"/>
      <c r="F1" s="58"/>
      <c r="G1" s="56" t="s">
        <v>11</v>
      </c>
      <c r="H1" s="56"/>
      <c r="I1" s="56"/>
    </row>
    <row r="2" spans="1:9" ht="19.5" customHeight="1">
      <c r="A2" s="59" t="s">
        <v>2</v>
      </c>
      <c r="B2" s="59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75">
      <c r="A4" s="12" t="str" cm="1">
        <f t="array" ref="A4:A38">Sites[Site]</f>
        <v xml:space="preserve"> Adelanto - Bank of America</v>
      </c>
      <c r="B4" s="9" t="str" cm="1">
        <f t="array" ref="B4:B38">Sites[State]</f>
        <v>CA</v>
      </c>
      <c r="C4" s="24">
        <f>SUM(Jan!C4, Feb!C4, Mar!C4)</f>
        <v>0</v>
      </c>
      <c r="D4" s="13">
        <f>SUM(Jan!D4, Feb!D4, Mar!D4)</f>
        <v>0</v>
      </c>
      <c r="E4" s="13">
        <f>IF(AND(ISNUMBER(C4),ISNUMBER(D4)), C4-D4, "")</f>
        <v>0</v>
      </c>
      <c r="F4" s="14" t="str">
        <f>IFERROR(E4/D4, "")</f>
        <v/>
      </c>
      <c r="G4" s="15">
        <f>SUM(Jan!G4, Feb!G4, Mar!G4)</f>
        <v>0</v>
      </c>
      <c r="H4" s="15">
        <f>SUM(Jan!H4, Feb!H4, Mar!H4)</f>
        <v>0</v>
      </c>
      <c r="I4" s="16" t="str">
        <f>IFERROR(H4/G4, "")</f>
        <v/>
      </c>
    </row>
    <row r="5" spans="1:9" ht="15.75">
      <c r="A5" s="17" t="str">
        <v xml:space="preserve"> Apple Valley - Bank of America</v>
      </c>
      <c r="B5" s="10" t="str">
        <v>CA</v>
      </c>
      <c r="C5" s="11">
        <f>SUM(Jan!C5, Feb!C5, Mar!C5)</f>
        <v>0</v>
      </c>
      <c r="D5" s="18">
        <f>SUM(Jan!D5, Feb!D5, Mar!D5)</f>
        <v>0</v>
      </c>
      <c r="E5" s="18">
        <f t="shared" ref="E5:E15" si="0">IF(AND(ISNUMBER(C5),ISNUMBER(D5)), C5-D5, "")</f>
        <v>0</v>
      </c>
      <c r="F5" s="19" t="str">
        <f>IFERROR(E5/D5, "")</f>
        <v/>
      </c>
      <c r="G5" s="20">
        <f>SUM(Jan!G5, Feb!G5, Mar!G5)</f>
        <v>0</v>
      </c>
      <c r="H5" s="20">
        <f>SUM(Jan!H5, Feb!H5, Mar!H5)</f>
        <v>0</v>
      </c>
      <c r="I5" s="19" t="str">
        <f>IFERROR(H5/G5, "")</f>
        <v/>
      </c>
    </row>
    <row r="6" spans="1:9" ht="15.75">
      <c r="A6" s="12" t="str">
        <v xml:space="preserve"> Arvin - Bank of America</v>
      </c>
      <c r="B6" s="9" t="str">
        <v>CA</v>
      </c>
      <c r="C6" s="24">
        <f>SUM(Jan!C6, Feb!C6, Mar!C6)</f>
        <v>0</v>
      </c>
      <c r="D6" s="13">
        <f>SUM(Jan!D6, Feb!D6, Mar!D6)</f>
        <v>0</v>
      </c>
      <c r="E6" s="13">
        <f t="shared" si="0"/>
        <v>0</v>
      </c>
      <c r="F6" s="14" t="str">
        <f t="shared" ref="F6:F15" si="1">IFERROR(E6/D6, "")</f>
        <v/>
      </c>
      <c r="G6" s="15">
        <f>SUM(Jan!G6, Feb!G6, Mar!G6)</f>
        <v>0</v>
      </c>
      <c r="H6" s="15">
        <f>SUM(Jan!H6, Feb!H6, Mar!H6)</f>
        <v>0</v>
      </c>
      <c r="I6" s="16" t="str">
        <f t="shared" ref="I6:I15" si="2">IFERROR(H6/G6, "")</f>
        <v/>
      </c>
    </row>
    <row r="7" spans="1:9" ht="15.75">
      <c r="A7" s="17" t="str">
        <v xml:space="preserve"> Bell - Bank of America</v>
      </c>
      <c r="B7" s="10" t="str">
        <v>CA</v>
      </c>
      <c r="C7" s="11">
        <f>SUM(Jan!C7, Feb!C7, Mar!C7)</f>
        <v>0</v>
      </c>
      <c r="D7" s="18">
        <f>SUM(Jan!D7, Feb!D7, Mar!D7)</f>
        <v>0</v>
      </c>
      <c r="E7" s="18">
        <f t="shared" si="0"/>
        <v>0</v>
      </c>
      <c r="F7" s="19" t="str">
        <f t="shared" si="1"/>
        <v/>
      </c>
      <c r="G7" s="20">
        <f>SUM(Jan!G7, Feb!G7, Mar!G7)</f>
        <v>0</v>
      </c>
      <c r="H7" s="20">
        <f>SUM(Jan!H7, Feb!H7, Mar!H7)</f>
        <v>0</v>
      </c>
      <c r="I7" s="19" t="str">
        <f t="shared" si="2"/>
        <v/>
      </c>
    </row>
    <row r="8" spans="1:9" ht="15.75">
      <c r="A8" s="12" t="str">
        <v xml:space="preserve"> Chula Vista - Bank of America</v>
      </c>
      <c r="B8" s="9" t="str">
        <v>CA</v>
      </c>
      <c r="C8" s="24">
        <f>SUM(Jan!C8, Feb!C8, Mar!C8)</f>
        <v>0</v>
      </c>
      <c r="D8" s="13">
        <f>SUM(Jan!D8, Feb!D8, Mar!D8)</f>
        <v>0</v>
      </c>
      <c r="E8" s="13">
        <f t="shared" si="0"/>
        <v>0</v>
      </c>
      <c r="F8" s="14" t="str">
        <f t="shared" si="1"/>
        <v/>
      </c>
      <c r="G8" s="15">
        <f>SUM(Jan!G8, Feb!G8, Mar!G8)</f>
        <v>0</v>
      </c>
      <c r="H8" s="15">
        <f>SUM(Jan!H8, Feb!H8, Mar!H8)</f>
        <v>0</v>
      </c>
      <c r="I8" s="16" t="str">
        <f t="shared" si="2"/>
        <v/>
      </c>
    </row>
    <row r="9" spans="1:9" ht="15.75">
      <c r="A9" s="17" t="str">
        <v xml:space="preserve"> Cupertino - Bank of America</v>
      </c>
      <c r="B9" s="10" t="str">
        <v>CA</v>
      </c>
      <c r="C9" s="11">
        <f>SUM(Jan!C9, Feb!C9, Mar!C9)</f>
        <v>0</v>
      </c>
      <c r="D9" s="18">
        <f>SUM(Jan!D9, Feb!D9, Mar!D9)</f>
        <v>0</v>
      </c>
      <c r="E9" s="18">
        <f t="shared" si="0"/>
        <v>0</v>
      </c>
      <c r="F9" s="19" t="str">
        <f t="shared" si="1"/>
        <v/>
      </c>
      <c r="G9" s="20">
        <f>SUM(Jan!G9, Feb!G9, Mar!G9)</f>
        <v>0</v>
      </c>
      <c r="H9" s="20">
        <f>SUM(Jan!H9, Feb!H9, Mar!H9)</f>
        <v>0</v>
      </c>
      <c r="I9" s="19" t="str">
        <f t="shared" si="2"/>
        <v/>
      </c>
    </row>
    <row r="10" spans="1:9" ht="15.75">
      <c r="A10" s="12" t="str">
        <v xml:space="preserve"> Diamond Bar - Bank of America</v>
      </c>
      <c r="B10" s="9" t="str">
        <v>CA</v>
      </c>
      <c r="C10" s="24">
        <f>SUM(Jan!C10, Feb!C10, Mar!C10)</f>
        <v>0</v>
      </c>
      <c r="D10" s="13">
        <f>SUM(Jan!D10, Feb!D10, Mar!D10)</f>
        <v>0</v>
      </c>
      <c r="E10" s="13">
        <f t="shared" si="0"/>
        <v>0</v>
      </c>
      <c r="F10" s="14" t="str">
        <f t="shared" si="1"/>
        <v/>
      </c>
      <c r="G10" s="15">
        <f>SUM(Jan!G10, Feb!G10, Mar!G10)</f>
        <v>0</v>
      </c>
      <c r="H10" s="15">
        <f>SUM(Jan!H10, Feb!H10, Mar!H10)</f>
        <v>0</v>
      </c>
      <c r="I10" s="16" t="str">
        <f t="shared" si="2"/>
        <v/>
      </c>
    </row>
    <row r="11" spans="1:9" ht="15.75">
      <c r="A11" s="17" t="str">
        <v xml:space="preserve"> El Centro - Bank of America</v>
      </c>
      <c r="B11" s="10" t="str">
        <v>CA</v>
      </c>
      <c r="C11" s="11">
        <f>SUM(Jan!C11, Feb!C11, Mar!C11)</f>
        <v>0</v>
      </c>
      <c r="D11" s="18">
        <f>SUM(Jan!D11, Feb!D11, Mar!D11)</f>
        <v>0</v>
      </c>
      <c r="E11" s="18">
        <f t="shared" si="0"/>
        <v>0</v>
      </c>
      <c r="F11" s="19" t="str">
        <f t="shared" si="1"/>
        <v/>
      </c>
      <c r="G11" s="20">
        <f>SUM(Jan!G11, Feb!G11, Mar!G11)</f>
        <v>0</v>
      </c>
      <c r="H11" s="20">
        <f>SUM(Jan!H11, Feb!H11, Mar!H11)</f>
        <v>0</v>
      </c>
      <c r="I11" s="19" t="str">
        <f t="shared" si="2"/>
        <v/>
      </c>
    </row>
    <row r="12" spans="1:9" ht="15.75">
      <c r="A12" s="12" t="str">
        <v xml:space="preserve"> Moreno Valley - Bank of America</v>
      </c>
      <c r="B12" s="9" t="str">
        <v>CA</v>
      </c>
      <c r="C12" s="24">
        <f>SUM(Jan!C12, Feb!C12, Mar!C12)</f>
        <v>0</v>
      </c>
      <c r="D12" s="13">
        <f>SUM(Jan!D12, Feb!D12, Mar!D12)</f>
        <v>0</v>
      </c>
      <c r="E12" s="13">
        <f t="shared" si="0"/>
        <v>0</v>
      </c>
      <c r="F12" s="14" t="str">
        <f t="shared" si="1"/>
        <v/>
      </c>
      <c r="G12" s="15">
        <f>SUM(Jan!G12, Feb!G12, Mar!G12)</f>
        <v>0</v>
      </c>
      <c r="H12" s="15">
        <f>SUM(Jan!H12, Feb!H12, Mar!H12)</f>
        <v>0</v>
      </c>
      <c r="I12" s="16" t="str">
        <f t="shared" si="2"/>
        <v/>
      </c>
    </row>
    <row r="13" spans="1:9" ht="15.75">
      <c r="A13" s="17" t="str">
        <v xml:space="preserve"> Redlands - Bank of America</v>
      </c>
      <c r="B13" s="10" t="str">
        <v>CA</v>
      </c>
      <c r="C13" s="11">
        <f>SUM(Jan!C13, Feb!C13, Mar!C13)</f>
        <v>0</v>
      </c>
      <c r="D13" s="18">
        <f>SUM(Jan!D13, Feb!D13, Mar!D13)</f>
        <v>0</v>
      </c>
      <c r="E13" s="18">
        <f t="shared" si="0"/>
        <v>0</v>
      </c>
      <c r="F13" s="19" t="str">
        <f t="shared" si="1"/>
        <v/>
      </c>
      <c r="G13" s="20">
        <f>SUM(Jan!G13, Feb!G13, Mar!G13)</f>
        <v>0</v>
      </c>
      <c r="H13" s="20">
        <f>SUM(Jan!H13, Feb!H13, Mar!H13)</f>
        <v>0</v>
      </c>
      <c r="I13" s="19" t="str">
        <f t="shared" si="2"/>
        <v/>
      </c>
    </row>
    <row r="14" spans="1:9" ht="15.75">
      <c r="A14" s="12" t="str">
        <v xml:space="preserve"> Roseville - Bank of America</v>
      </c>
      <c r="B14" s="9" t="str">
        <v>CA</v>
      </c>
      <c r="C14" s="24">
        <f>SUM(Jan!C14, Feb!C14, Mar!C14)</f>
        <v>0</v>
      </c>
      <c r="D14" s="13">
        <f>SUM(Jan!D14, Feb!D14, Mar!D14)</f>
        <v>0</v>
      </c>
      <c r="E14" s="13">
        <f t="shared" si="0"/>
        <v>0</v>
      </c>
      <c r="F14" s="14" t="str">
        <f t="shared" si="1"/>
        <v/>
      </c>
      <c r="G14" s="15">
        <f>SUM(Jan!G14, Feb!G14, Mar!G14)</f>
        <v>0</v>
      </c>
      <c r="H14" s="15">
        <f>SUM(Jan!H14, Feb!H14, Mar!H14)</f>
        <v>0</v>
      </c>
      <c r="I14" s="16" t="str">
        <f t="shared" si="2"/>
        <v/>
      </c>
    </row>
    <row r="15" spans="1:9" ht="15.75">
      <c r="A15" s="17" t="str">
        <v xml:space="preserve"> San Bernardino - Bank of America</v>
      </c>
      <c r="B15" s="10" t="str">
        <v>CA</v>
      </c>
      <c r="C15" s="11">
        <f>SUM(Jan!C15, Feb!C15, Mar!C15)</f>
        <v>0</v>
      </c>
      <c r="D15" s="18">
        <f>SUM(Jan!D15, Feb!D15, Mar!D15)</f>
        <v>0</v>
      </c>
      <c r="E15" s="18">
        <f t="shared" si="0"/>
        <v>0</v>
      </c>
      <c r="F15" s="19" t="str">
        <f t="shared" si="1"/>
        <v/>
      </c>
      <c r="G15" s="20">
        <f>SUM(Jan!G15, Feb!G15, Mar!G15)</f>
        <v>0</v>
      </c>
      <c r="H15" s="20">
        <f>SUM(Jan!H15, Feb!H15, Mar!H15)</f>
        <v>0</v>
      </c>
      <c r="I15" s="19" t="str">
        <f t="shared" si="2"/>
        <v/>
      </c>
    </row>
    <row r="16" spans="1:9" ht="15.75">
      <c r="A16" s="12" t="str">
        <v xml:space="preserve"> San Diego - Bank of America</v>
      </c>
      <c r="B16" s="9" t="str">
        <v>CA</v>
      </c>
      <c r="C16" s="24">
        <f>SUM(Jan!C16, Feb!C16, Mar!C16)</f>
        <v>0</v>
      </c>
      <c r="D16" s="13">
        <f>SUM(Jan!D16, Feb!D16, Mar!D16)</f>
        <v>0</v>
      </c>
      <c r="E16" s="13">
        <f t="shared" ref="E16:E17" si="3">IF(AND(ISNUMBER(C16),ISNUMBER(D16)), C16-D16, "")</f>
        <v>0</v>
      </c>
      <c r="F16" s="14" t="str">
        <f t="shared" ref="F16:F17" si="4">IFERROR(E16/D16, "")</f>
        <v/>
      </c>
      <c r="G16" s="15">
        <f>SUM(Jan!G16, Feb!G16, Mar!G16)</f>
        <v>0</v>
      </c>
      <c r="H16" s="15">
        <f>SUM(Jan!H16, Feb!H16, Mar!H16)</f>
        <v>0</v>
      </c>
      <c r="I16" s="16" t="str">
        <f t="shared" ref="I16:I17" si="5">IFERROR(H16/G16, "")</f>
        <v/>
      </c>
    </row>
    <row r="17" spans="1:9" ht="15.75">
      <c r="A17" s="17" t="str">
        <v xml:space="preserve"> Stockton - Bank of America</v>
      </c>
      <c r="B17" s="10" t="str">
        <v>CA</v>
      </c>
      <c r="C17" s="11">
        <f>SUM(Jan!C17, Feb!C17, Mar!C17)</f>
        <v>0</v>
      </c>
      <c r="D17" s="18">
        <f>SUM(Jan!D17, Feb!D17, Mar!D17)</f>
        <v>0</v>
      </c>
      <c r="E17" s="18">
        <f t="shared" si="3"/>
        <v>0</v>
      </c>
      <c r="F17" s="19" t="str">
        <f t="shared" si="4"/>
        <v/>
      </c>
      <c r="G17" s="20">
        <f>SUM(Jan!G17, Feb!G17, Mar!G17)</f>
        <v>0</v>
      </c>
      <c r="H17" s="20">
        <f>SUM(Jan!H17, Feb!H17, Mar!H17)</f>
        <v>0</v>
      </c>
      <c r="I17" s="19" t="str">
        <f t="shared" si="5"/>
        <v/>
      </c>
    </row>
    <row r="18" spans="1:9" ht="12.75" customHeight="1">
      <c r="A18" s="12" t="str">
        <v xml:space="preserve"> Victorville - Bank of America</v>
      </c>
      <c r="B18" s="9" t="str">
        <v>CA</v>
      </c>
      <c r="C18" s="24">
        <f>SUM(Jan!C18, Feb!C18, Mar!C18)</f>
        <v>0</v>
      </c>
      <c r="D18" s="13">
        <f>SUM(Jan!D18, Feb!D18, Mar!D18)</f>
        <v>0</v>
      </c>
      <c r="E18" s="13">
        <f t="shared" ref="E18:E38" si="6">IF(AND(ISNUMBER(C18),ISNUMBER(D18)), C18-D18, "")</f>
        <v>0</v>
      </c>
      <c r="F18" s="14" t="str">
        <f t="shared" ref="F18:F38" si="7">IFERROR(E18/D18, "")</f>
        <v/>
      </c>
      <c r="G18" s="15">
        <f>SUM(Jan!G18, Feb!G18, Mar!G18)</f>
        <v>0</v>
      </c>
      <c r="H18" s="15">
        <f>SUM(Jan!H18, Feb!H18, Mar!H18)</f>
        <v>0</v>
      </c>
      <c r="I18" s="16" t="str">
        <f t="shared" ref="I18:I38" si="8">IFERROR(H18/G18, "")</f>
        <v/>
      </c>
    </row>
    <row r="19" spans="1:9" ht="15.75">
      <c r="A19" s="17" t="str">
        <v xml:space="preserve"> Aurora - BA - Colfax Ave</v>
      </c>
      <c r="B19" s="10" t="str">
        <v>CO</v>
      </c>
      <c r="C19" s="11">
        <f>SUM(Jan!C19, Feb!C19, Mar!C19)</f>
        <v>0</v>
      </c>
      <c r="D19" s="18">
        <f>SUM(Jan!D19, Feb!D19, Mar!D19)</f>
        <v>0</v>
      </c>
      <c r="E19" s="18">
        <f t="shared" si="6"/>
        <v>0</v>
      </c>
      <c r="F19" s="19" t="str">
        <f t="shared" si="7"/>
        <v/>
      </c>
      <c r="G19" s="20">
        <f>SUM(Jan!G19, Feb!G19, Mar!G19)</f>
        <v>0</v>
      </c>
      <c r="H19" s="20">
        <f>SUM(Jan!H19, Feb!H19, Mar!H19)</f>
        <v>0</v>
      </c>
      <c r="I19" s="19" t="str">
        <f t="shared" si="8"/>
        <v/>
      </c>
    </row>
    <row r="20" spans="1:9" ht="15.75">
      <c r="A20" s="12" t="str">
        <v xml:space="preserve"> Aurora - BA - Parker Rd</v>
      </c>
      <c r="B20" s="9" t="str">
        <v>CO</v>
      </c>
      <c r="C20" s="24">
        <f>SUM(Jan!C20, Feb!C20, Mar!C20)</f>
        <v>0</v>
      </c>
      <c r="D20" s="13">
        <f>SUM(Jan!D20, Feb!D20, Mar!D20)</f>
        <v>0</v>
      </c>
      <c r="E20" s="13">
        <f t="shared" si="6"/>
        <v>0</v>
      </c>
      <c r="F20" s="14" t="str">
        <f t="shared" si="7"/>
        <v/>
      </c>
      <c r="G20" s="15">
        <f>SUM(Jan!G20, Feb!G20, Mar!G20)</f>
        <v>0</v>
      </c>
      <c r="H20" s="15">
        <f>SUM(Jan!H20, Feb!H20, Mar!H20)</f>
        <v>0</v>
      </c>
      <c r="I20" s="16" t="str">
        <f t="shared" si="8"/>
        <v/>
      </c>
    </row>
    <row r="21" spans="1:9" ht="15.75">
      <c r="A21" s="17" t="str">
        <v xml:space="preserve"> Broomfield - Bank of America</v>
      </c>
      <c r="B21" s="10" t="str">
        <v>CO</v>
      </c>
      <c r="C21" s="11">
        <f>SUM(Jan!C21, Feb!C21, Mar!C21)</f>
        <v>0</v>
      </c>
      <c r="D21" s="18">
        <f>SUM(Jan!D21, Feb!D21, Mar!D21)</f>
        <v>0</v>
      </c>
      <c r="E21" s="18">
        <f t="shared" si="6"/>
        <v>0</v>
      </c>
      <c r="F21" s="19" t="str">
        <f t="shared" si="7"/>
        <v/>
      </c>
      <c r="G21" s="20">
        <f>SUM(Jan!G21, Feb!G21, Mar!G21)</f>
        <v>0</v>
      </c>
      <c r="H21" s="20">
        <f>SUM(Jan!H21, Feb!H21, Mar!H21)</f>
        <v>0</v>
      </c>
      <c r="I21" s="19" t="str">
        <f t="shared" si="8"/>
        <v/>
      </c>
    </row>
    <row r="22" spans="1:9" ht="15.75">
      <c r="A22" s="12" t="str">
        <v xml:space="preserve"> Colorado Springs - Bank of America</v>
      </c>
      <c r="B22" s="9" t="str">
        <v>CO</v>
      </c>
      <c r="C22" s="24">
        <f>SUM(Jan!C22, Feb!C22, Mar!C22)</f>
        <v>0</v>
      </c>
      <c r="D22" s="13">
        <f>SUM(Jan!D22, Feb!D22, Mar!D22)</f>
        <v>0</v>
      </c>
      <c r="E22" s="13">
        <f t="shared" si="6"/>
        <v>0</v>
      </c>
      <c r="F22" s="14" t="str">
        <f t="shared" si="7"/>
        <v/>
      </c>
      <c r="G22" s="15">
        <f>SUM(Jan!G22, Feb!G22, Mar!G22)</f>
        <v>0</v>
      </c>
      <c r="H22" s="15">
        <f>SUM(Jan!H22, Feb!H22, Mar!H22)</f>
        <v>0</v>
      </c>
      <c r="I22" s="16" t="str">
        <f t="shared" si="8"/>
        <v/>
      </c>
    </row>
    <row r="23" spans="1:9" ht="15.75">
      <c r="A23" s="17" t="str">
        <v xml:space="preserve"> Denver - BA - 49th Ave</v>
      </c>
      <c r="B23" s="10" t="str">
        <v>CO</v>
      </c>
      <c r="C23" s="11">
        <f>SUM(Jan!C23, Feb!C23, Mar!C23)</f>
        <v>0</v>
      </c>
      <c r="D23" s="18">
        <f>SUM(Jan!D23, Feb!D23, Mar!D23)</f>
        <v>0</v>
      </c>
      <c r="E23" s="18">
        <f t="shared" si="6"/>
        <v>0</v>
      </c>
      <c r="F23" s="19" t="str">
        <f t="shared" si="7"/>
        <v/>
      </c>
      <c r="G23" s="20">
        <f>SUM(Jan!G23, Feb!G23, Mar!G23)</f>
        <v>0</v>
      </c>
      <c r="H23" s="20">
        <f>SUM(Jan!H23, Feb!H23, Mar!H23)</f>
        <v>0</v>
      </c>
      <c r="I23" s="19" t="str">
        <f t="shared" si="8"/>
        <v/>
      </c>
    </row>
    <row r="24" spans="1:9" ht="15.75">
      <c r="A24" s="12" t="str">
        <v xml:space="preserve"> Denver - BA Wadsworth Blvd</v>
      </c>
      <c r="B24" s="9" t="str">
        <v>CO</v>
      </c>
      <c r="C24" s="24">
        <f>SUM(Jan!C24, Feb!C24, Mar!C24)</f>
        <v>0</v>
      </c>
      <c r="D24" s="13">
        <f>SUM(Jan!D24, Feb!D24, Mar!D24)</f>
        <v>0</v>
      </c>
      <c r="E24" s="13">
        <f t="shared" si="6"/>
        <v>0</v>
      </c>
      <c r="F24" s="14" t="str">
        <f t="shared" si="7"/>
        <v/>
      </c>
      <c r="G24" s="15">
        <f>SUM(Jan!G24, Feb!G24, Mar!G24)</f>
        <v>0</v>
      </c>
      <c r="H24" s="15">
        <f>SUM(Jan!H24, Feb!H24, Mar!H24)</f>
        <v>0</v>
      </c>
      <c r="I24" s="16" t="str">
        <f t="shared" si="8"/>
        <v/>
      </c>
    </row>
    <row r="25" spans="1:9" ht="15.75">
      <c r="A25" s="17" t="str">
        <v xml:space="preserve"> Fort Collins - Bank of America</v>
      </c>
      <c r="B25" s="10" t="str">
        <v>CO</v>
      </c>
      <c r="C25" s="11">
        <f>SUM(Jan!C25, Feb!C25, Mar!C25)</f>
        <v>0</v>
      </c>
      <c r="D25" s="18">
        <f>SUM(Jan!D25, Feb!D25, Mar!D25)</f>
        <v>0</v>
      </c>
      <c r="E25" s="18">
        <f t="shared" si="6"/>
        <v>0</v>
      </c>
      <c r="F25" s="19" t="str">
        <f t="shared" si="7"/>
        <v/>
      </c>
      <c r="G25" s="20">
        <f>SUM(Jan!G25, Feb!G25, Mar!G25)</f>
        <v>0</v>
      </c>
      <c r="H25" s="20">
        <f>SUM(Jan!H25, Feb!H25, Mar!H25)</f>
        <v>0</v>
      </c>
      <c r="I25" s="19" t="str">
        <f t="shared" si="8"/>
        <v/>
      </c>
    </row>
    <row r="26" spans="1:9" ht="15.75">
      <c r="A26" s="12" t="str">
        <v xml:space="preserve"> Lafayette - Bank of America</v>
      </c>
      <c r="B26" s="9" t="str">
        <v>CO</v>
      </c>
      <c r="C26" s="24">
        <f>SUM(Jan!C26, Feb!C26, Mar!C26)</f>
        <v>0</v>
      </c>
      <c r="D26" s="13">
        <f>SUM(Jan!D26, Feb!D26, Mar!D26)</f>
        <v>0</v>
      </c>
      <c r="E26" s="13">
        <f t="shared" si="6"/>
        <v>0</v>
      </c>
      <c r="F26" s="14" t="str">
        <f t="shared" si="7"/>
        <v/>
      </c>
      <c r="G26" s="15">
        <f>SUM(Jan!G26, Feb!G26, Mar!G26)</f>
        <v>0</v>
      </c>
      <c r="H26" s="15">
        <f>SUM(Jan!H26, Feb!H26, Mar!H26)</f>
        <v>0</v>
      </c>
      <c r="I26" s="16" t="str">
        <f t="shared" si="8"/>
        <v/>
      </c>
    </row>
    <row r="27" spans="1:9" ht="15.75">
      <c r="A27" s="17" t="str">
        <v xml:space="preserve"> Lakewood - Bank of America</v>
      </c>
      <c r="B27" s="10" t="str">
        <v>CO</v>
      </c>
      <c r="C27" s="11">
        <f>SUM(Jan!C27, Feb!C27, Mar!C27)</f>
        <v>0</v>
      </c>
      <c r="D27" s="18">
        <f>SUM(Jan!D27, Feb!D27, Mar!D27)</f>
        <v>0</v>
      </c>
      <c r="E27" s="18">
        <f t="shared" si="6"/>
        <v>0</v>
      </c>
      <c r="F27" s="19" t="str">
        <f t="shared" si="7"/>
        <v/>
      </c>
      <c r="G27" s="20">
        <f>SUM(Jan!G27, Feb!G27, Mar!G27)</f>
        <v>0</v>
      </c>
      <c r="H27" s="20">
        <f>SUM(Jan!H27, Feb!H27, Mar!H27)</f>
        <v>0</v>
      </c>
      <c r="I27" s="19" t="str">
        <f t="shared" si="8"/>
        <v/>
      </c>
    </row>
    <row r="28" spans="1:9" ht="15.75">
      <c r="A28" s="12" t="str">
        <v xml:space="preserve"> Longmont - Bank of America</v>
      </c>
      <c r="B28" s="9" t="str">
        <v>CO</v>
      </c>
      <c r="C28" s="24">
        <f>SUM(Jan!C28, Feb!C28, Mar!C28)</f>
        <v>0</v>
      </c>
      <c r="D28" s="13">
        <f>SUM(Jan!D28, Feb!D28, Mar!D28)</f>
        <v>0</v>
      </c>
      <c r="E28" s="13">
        <f t="shared" si="6"/>
        <v>0</v>
      </c>
      <c r="F28" s="14" t="str">
        <f t="shared" si="7"/>
        <v/>
      </c>
      <c r="G28" s="15">
        <f>SUM(Jan!G28, Feb!G28, Mar!G28)</f>
        <v>0</v>
      </c>
      <c r="H28" s="15">
        <f>SUM(Jan!H28, Feb!H28, Mar!H28)</f>
        <v>0</v>
      </c>
      <c r="I28" s="16" t="str">
        <f t="shared" si="8"/>
        <v/>
      </c>
    </row>
    <row r="29" spans="1:9" ht="15.75">
      <c r="A29" s="17" t="str">
        <v xml:space="preserve"> Thornton - Bank of America</v>
      </c>
      <c r="B29" s="10" t="str">
        <v>CO</v>
      </c>
      <c r="C29" s="11">
        <f>SUM(Jan!C29, Feb!C29, Mar!C29)</f>
        <v>0</v>
      </c>
      <c r="D29" s="18">
        <f>SUM(Jan!D29, Feb!D29, Mar!D29)</f>
        <v>0</v>
      </c>
      <c r="E29" s="18">
        <f t="shared" si="6"/>
        <v>0</v>
      </c>
      <c r="F29" s="19" t="str">
        <f t="shared" si="7"/>
        <v/>
      </c>
      <c r="G29" s="20">
        <f>SUM(Jan!G29, Feb!G29, Mar!G29)</f>
        <v>0</v>
      </c>
      <c r="H29" s="20">
        <f>SUM(Jan!H29, Feb!H29, Mar!H29)</f>
        <v>0</v>
      </c>
      <c r="I29" s="19" t="str">
        <f t="shared" si="8"/>
        <v/>
      </c>
    </row>
    <row r="30" spans="1:9" ht="15.75">
      <c r="A30" s="12" t="str">
        <v xml:space="preserve"> Calumet City - Bank of America</v>
      </c>
      <c r="B30" s="9" t="str">
        <v>IL</v>
      </c>
      <c r="C30" s="24">
        <f>SUM(Jan!C30, Feb!C30, Mar!C30)</f>
        <v>0</v>
      </c>
      <c r="D30" s="13">
        <f>SUM(Jan!D30, Feb!D30, Mar!D30)</f>
        <v>0</v>
      </c>
      <c r="E30" s="13">
        <f t="shared" si="6"/>
        <v>0</v>
      </c>
      <c r="F30" s="14" t="str">
        <f t="shared" si="7"/>
        <v/>
      </c>
      <c r="G30" s="15">
        <f>SUM(Jan!G30, Feb!G30, Mar!G30)</f>
        <v>0</v>
      </c>
      <c r="H30" s="15">
        <f>SUM(Jan!H30, Feb!H30, Mar!H30)</f>
        <v>0</v>
      </c>
      <c r="I30" s="16" t="str">
        <f t="shared" si="8"/>
        <v/>
      </c>
    </row>
    <row r="31" spans="1:9" ht="15.75">
      <c r="A31" s="17" t="str">
        <v xml:space="preserve"> Downers Grove - Bank of America</v>
      </c>
      <c r="B31" s="10" t="str">
        <v>IL</v>
      </c>
      <c r="C31" s="11">
        <f>SUM(Jan!C31, Feb!C31, Mar!C31)</f>
        <v>0</v>
      </c>
      <c r="D31" s="18">
        <f>SUM(Jan!D31, Feb!D31, Mar!D31)</f>
        <v>0</v>
      </c>
      <c r="E31" s="18">
        <f t="shared" si="6"/>
        <v>0</v>
      </c>
      <c r="F31" s="19" t="str">
        <f t="shared" si="7"/>
        <v/>
      </c>
      <c r="G31" s="20">
        <f>SUM(Jan!G31, Feb!G31, Mar!G31)</f>
        <v>0</v>
      </c>
      <c r="H31" s="20">
        <f>SUM(Jan!H31, Feb!H31, Mar!H31)</f>
        <v>0</v>
      </c>
      <c r="I31" s="19" t="str">
        <f t="shared" si="8"/>
        <v/>
      </c>
    </row>
    <row r="32" spans="1:9" ht="15.75">
      <c r="A32" s="12" t="str">
        <v xml:space="preserve"> Bloomington - Bank of America</v>
      </c>
      <c r="B32" s="9" t="str">
        <v>MN</v>
      </c>
      <c r="C32" s="24">
        <f>SUM(Jan!C32, Feb!C32, Mar!C32)</f>
        <v>0</v>
      </c>
      <c r="D32" s="13">
        <f>SUM(Jan!D32, Feb!D32, Mar!D32)</f>
        <v>0</v>
      </c>
      <c r="E32" s="13">
        <f t="shared" si="6"/>
        <v>0</v>
      </c>
      <c r="F32" s="14" t="str">
        <f t="shared" si="7"/>
        <v/>
      </c>
      <c r="G32" s="15">
        <f>SUM(Jan!G32, Feb!G32, Mar!G32)</f>
        <v>0</v>
      </c>
      <c r="H32" s="15">
        <f>SUM(Jan!H32, Feb!H32, Mar!H32)</f>
        <v>0</v>
      </c>
      <c r="I32" s="16" t="str">
        <f t="shared" si="8"/>
        <v/>
      </c>
    </row>
    <row r="33" spans="1:9" ht="15.75">
      <c r="A33" s="17" t="str">
        <v xml:space="preserve"> Clayton - Bank of America</v>
      </c>
      <c r="B33" s="10" t="str">
        <v>MO</v>
      </c>
      <c r="C33" s="11">
        <f>SUM(Jan!C33, Feb!C33, Mar!C33)</f>
        <v>0</v>
      </c>
      <c r="D33" s="18">
        <f>SUM(Jan!D33, Feb!D33, Mar!D33)</f>
        <v>0</v>
      </c>
      <c r="E33" s="18">
        <f t="shared" si="6"/>
        <v>0</v>
      </c>
      <c r="F33" s="19" t="str">
        <f t="shared" si="7"/>
        <v/>
      </c>
      <c r="G33" s="20">
        <f>SUM(Jan!G33, Feb!G33, Mar!G33)</f>
        <v>0</v>
      </c>
      <c r="H33" s="20">
        <f>SUM(Jan!H33, Feb!H33, Mar!H33)</f>
        <v>0</v>
      </c>
      <c r="I33" s="19" t="str">
        <f t="shared" si="8"/>
        <v/>
      </c>
    </row>
    <row r="34" spans="1:9" ht="15.75">
      <c r="A34" s="12" t="str">
        <v xml:space="preserve"> Manchester - Bank of America</v>
      </c>
      <c r="B34" s="9" t="str">
        <v>MO</v>
      </c>
      <c r="C34" s="24">
        <f>SUM(Jan!C34, Feb!C34, Mar!C34)</f>
        <v>0</v>
      </c>
      <c r="D34" s="13">
        <f>SUM(Jan!D34, Feb!D34, Mar!D34)</f>
        <v>0</v>
      </c>
      <c r="E34" s="13">
        <f t="shared" si="6"/>
        <v>0</v>
      </c>
      <c r="F34" s="14" t="str">
        <f t="shared" si="7"/>
        <v/>
      </c>
      <c r="G34" s="15">
        <f>SUM(Jan!G34, Feb!G34, Mar!G34)</f>
        <v>0</v>
      </c>
      <c r="H34" s="15">
        <f>SUM(Jan!H34, Feb!H34, Mar!H34)</f>
        <v>0</v>
      </c>
      <c r="I34" s="16" t="str">
        <f t="shared" si="8"/>
        <v/>
      </c>
    </row>
    <row r="35" spans="1:9" ht="15.75">
      <c r="A35" s="17" t="str">
        <v xml:space="preserve"> Las Vegas - BA - Eastern Ave</v>
      </c>
      <c r="B35" s="10" t="str">
        <v>NV</v>
      </c>
      <c r="C35" s="11">
        <f>SUM(Jan!C35, Feb!C35, Mar!C35)</f>
        <v>0</v>
      </c>
      <c r="D35" s="18">
        <f>SUM(Jan!D35, Feb!D35, Mar!D35)</f>
        <v>0</v>
      </c>
      <c r="E35" s="18">
        <f t="shared" si="6"/>
        <v>0</v>
      </c>
      <c r="F35" s="19" t="str">
        <f t="shared" si="7"/>
        <v/>
      </c>
      <c r="G35" s="20">
        <f>SUM(Jan!G35, Feb!G35, Mar!G35)</f>
        <v>0</v>
      </c>
      <c r="H35" s="20">
        <f>SUM(Jan!H35, Feb!H35, Mar!H35)</f>
        <v>0</v>
      </c>
      <c r="I35" s="19" t="str">
        <f t="shared" si="8"/>
        <v/>
      </c>
    </row>
    <row r="36" spans="1:9" ht="15.75">
      <c r="A36" s="12" t="str">
        <v xml:space="preserve"> Las Vegas - BA - Town Ctr Dr</v>
      </c>
      <c r="B36" s="9" t="str">
        <v>NV</v>
      </c>
      <c r="C36" s="24">
        <f>SUM(Jan!C36, Feb!C36, Mar!C36)</f>
        <v>0</v>
      </c>
      <c r="D36" s="13">
        <f>SUM(Jan!D36, Feb!D36, Mar!D36)</f>
        <v>0</v>
      </c>
      <c r="E36" s="13">
        <f t="shared" si="6"/>
        <v>0</v>
      </c>
      <c r="F36" s="14" t="str">
        <f t="shared" si="7"/>
        <v/>
      </c>
      <c r="G36" s="15">
        <f>SUM(Jan!G36, Feb!G36, Mar!G36)</f>
        <v>0</v>
      </c>
      <c r="H36" s="15">
        <f>SUM(Jan!H36, Feb!H36, Mar!H36)</f>
        <v>0</v>
      </c>
      <c r="I36" s="16" t="str">
        <f t="shared" si="8"/>
        <v/>
      </c>
    </row>
    <row r="37" spans="1:9" ht="15.75">
      <c r="A37" s="17" t="str">
        <v xml:space="preserve"> Riverton - Bank of America</v>
      </c>
      <c r="B37" s="10" t="str">
        <v>UT</v>
      </c>
      <c r="C37" s="11">
        <f>SUM(Jan!C37, Feb!C37, Mar!C37)</f>
        <v>0</v>
      </c>
      <c r="D37" s="18">
        <f>SUM(Jan!D37, Feb!D37, Mar!D37)</f>
        <v>0</v>
      </c>
      <c r="E37" s="18">
        <f t="shared" si="6"/>
        <v>0</v>
      </c>
      <c r="F37" s="19" t="str">
        <f t="shared" si="7"/>
        <v/>
      </c>
      <c r="G37" s="20">
        <f>SUM(Jan!G37, Feb!G37, Mar!G37)</f>
        <v>0</v>
      </c>
      <c r="H37" s="20">
        <f>SUM(Jan!H37, Feb!H37, Mar!H37)</f>
        <v>0</v>
      </c>
      <c r="I37" s="19" t="str">
        <f t="shared" si="8"/>
        <v/>
      </c>
    </row>
    <row r="38" spans="1:9" ht="15.75">
      <c r="A38" s="12" t="str">
        <v xml:space="preserve"> Salt Lake City - Bank of America</v>
      </c>
      <c r="B38" s="9" t="str">
        <v>UT</v>
      </c>
      <c r="C38" s="24">
        <f>SUM(Jan!C38, Feb!C38, Mar!C38)</f>
        <v>0</v>
      </c>
      <c r="D38" s="13">
        <f>SUM(Jan!D38, Feb!D38, Mar!D38)</f>
        <v>0</v>
      </c>
      <c r="E38" s="13">
        <f t="shared" si="6"/>
        <v>0</v>
      </c>
      <c r="F38" s="14" t="str">
        <f t="shared" si="7"/>
        <v/>
      </c>
      <c r="G38" s="15">
        <f>SUM(Jan!G38, Feb!G38, Mar!G38)</f>
        <v>0</v>
      </c>
      <c r="H38" s="15">
        <f>SUM(Jan!H38, Feb!H38, Mar!H38)</f>
        <v>0</v>
      </c>
      <c r="I38" s="16" t="str">
        <f t="shared" si="8"/>
        <v/>
      </c>
    </row>
    <row r="39" spans="1:9">
      <c r="A39" s="21"/>
      <c r="B39" s="21"/>
      <c r="C39" s="21"/>
      <c r="D39" s="21"/>
      <c r="E39" s="21"/>
      <c r="F39" s="22"/>
      <c r="G39" s="21"/>
      <c r="H39" s="21"/>
      <c r="I39" s="22"/>
    </row>
    <row r="40" spans="1:9">
      <c r="A40" s="21"/>
      <c r="B40" s="21"/>
      <c r="C40" s="21"/>
      <c r="D40" s="21"/>
      <c r="E40" s="21"/>
      <c r="F40" s="22"/>
      <c r="G40" s="21"/>
      <c r="H40" s="21"/>
      <c r="I40" s="22"/>
    </row>
    <row r="41" spans="1:9">
      <c r="A41" s="21"/>
      <c r="B41" s="21"/>
      <c r="C41" s="21"/>
      <c r="D41" s="21"/>
      <c r="E41" s="21"/>
      <c r="F41" s="22"/>
      <c r="G41" s="21"/>
      <c r="H41" s="21"/>
      <c r="I41" s="22"/>
    </row>
    <row r="42" spans="1:9">
      <c r="A42" s="21"/>
      <c r="B42" s="21"/>
      <c r="C42" s="21"/>
      <c r="D42" s="21"/>
      <c r="E42" s="21"/>
      <c r="F42" s="22"/>
      <c r="G42" s="21"/>
      <c r="H42" s="21"/>
      <c r="I42" s="22"/>
    </row>
    <row r="43" spans="1:9">
      <c r="A43" s="21"/>
      <c r="B43" s="21"/>
      <c r="C43" s="21"/>
      <c r="D43" s="21"/>
      <c r="E43" s="21"/>
      <c r="F43" s="22"/>
      <c r="G43" s="21"/>
      <c r="H43" s="21"/>
      <c r="I43" s="22"/>
    </row>
    <row r="44" spans="1:9">
      <c r="A44" s="21"/>
      <c r="B44" s="21"/>
      <c r="C44" s="21"/>
      <c r="D44" s="21"/>
      <c r="E44" s="21"/>
      <c r="F44" s="22"/>
      <c r="G44" s="21"/>
      <c r="H44" s="21"/>
      <c r="I44" s="22"/>
    </row>
    <row r="45" spans="1:9">
      <c r="A45" s="21"/>
      <c r="B45" s="21"/>
      <c r="C45" s="21"/>
      <c r="D45" s="21"/>
      <c r="E45" s="21"/>
      <c r="F45" s="22"/>
      <c r="G45" s="21"/>
      <c r="H45" s="21"/>
      <c r="I45" s="22"/>
    </row>
    <row r="46" spans="1:9">
      <c r="A46" s="21"/>
      <c r="B46" s="21"/>
      <c r="C46" s="21"/>
      <c r="D46" s="21"/>
      <c r="E46" s="21"/>
      <c r="F46" s="22"/>
      <c r="G46" s="21"/>
      <c r="H46" s="21"/>
      <c r="I46" s="22"/>
    </row>
    <row r="47" spans="1:9">
      <c r="A47" s="21"/>
      <c r="B47" s="21"/>
      <c r="C47" s="21"/>
      <c r="D47" s="21"/>
      <c r="E47" s="21"/>
      <c r="F47" s="22"/>
      <c r="G47" s="21"/>
      <c r="H47" s="21"/>
      <c r="I47" s="22"/>
    </row>
    <row r="48" spans="1:9">
      <c r="A48" s="21"/>
      <c r="B48" s="21"/>
      <c r="C48" s="21"/>
      <c r="D48" s="21"/>
      <c r="E48" s="21"/>
      <c r="F48" s="22"/>
      <c r="G48" s="21"/>
      <c r="H48" s="21"/>
      <c r="I48" s="22"/>
    </row>
    <row r="49" spans="1:9">
      <c r="A49" s="21"/>
      <c r="B49" s="21"/>
      <c r="C49" s="21"/>
      <c r="D49" s="21"/>
      <c r="E49" s="21"/>
      <c r="F49" s="22"/>
      <c r="G49" s="21"/>
      <c r="H49" s="21"/>
      <c r="I49" s="22"/>
    </row>
    <row r="50" spans="1:9">
      <c r="A50" s="21"/>
      <c r="B50" s="21"/>
      <c r="C50" s="21"/>
      <c r="D50" s="21"/>
      <c r="E50" s="21"/>
      <c r="F50" s="22"/>
      <c r="G50" s="21"/>
      <c r="H50" s="21"/>
      <c r="I50" s="22"/>
    </row>
    <row r="51" spans="1:9">
      <c r="A51" s="21"/>
      <c r="B51" s="21"/>
      <c r="C51" s="21"/>
      <c r="D51" s="21"/>
      <c r="E51" s="21"/>
      <c r="F51" s="22"/>
      <c r="G51" s="21"/>
      <c r="H51" s="21"/>
      <c r="I51" s="22"/>
    </row>
    <row r="52" spans="1:9">
      <c r="A52" s="21"/>
      <c r="B52" s="21"/>
      <c r="C52" s="21"/>
      <c r="D52" s="21"/>
      <c r="E52" s="21"/>
      <c r="F52" s="22"/>
      <c r="G52" s="21"/>
      <c r="H52" s="21"/>
      <c r="I52" s="22"/>
    </row>
    <row r="53" spans="1:9">
      <c r="A53" s="21"/>
      <c r="B53" s="21"/>
      <c r="C53" s="21"/>
      <c r="D53" s="21"/>
      <c r="E53" s="21"/>
      <c r="F53" s="22"/>
      <c r="G53" s="21"/>
      <c r="H53" s="21"/>
      <c r="I53" s="22"/>
    </row>
    <row r="54" spans="1:9">
      <c r="A54" s="21"/>
      <c r="B54" s="21"/>
      <c r="C54" s="21"/>
      <c r="D54" s="21"/>
      <c r="E54" s="21"/>
      <c r="F54" s="22"/>
      <c r="G54" s="21"/>
      <c r="H54" s="21"/>
      <c r="I54" s="22"/>
    </row>
    <row r="55" spans="1:9">
      <c r="A55" s="21"/>
      <c r="B55" s="21"/>
      <c r="C55" s="21"/>
      <c r="D55" s="21"/>
      <c r="E55" s="21"/>
      <c r="F55" s="22"/>
      <c r="G55" s="21"/>
      <c r="H55" s="21"/>
      <c r="I55" s="22"/>
    </row>
    <row r="56" spans="1:9">
      <c r="A56" s="21"/>
      <c r="B56" s="21"/>
      <c r="C56" s="21"/>
      <c r="D56" s="21"/>
      <c r="E56" s="21"/>
      <c r="F56" s="22"/>
      <c r="G56" s="21"/>
      <c r="H56" s="21"/>
      <c r="I56" s="22"/>
    </row>
    <row r="57" spans="1:9">
      <c r="A57" s="21"/>
      <c r="B57" s="21"/>
      <c r="C57" s="21"/>
      <c r="D57" s="21"/>
      <c r="E57" s="21"/>
      <c r="F57" s="22"/>
      <c r="G57" s="21"/>
      <c r="H57" s="21"/>
      <c r="I57" s="22"/>
    </row>
    <row r="58" spans="1:9">
      <c r="A58" s="21"/>
      <c r="B58" s="21"/>
      <c r="C58" s="21"/>
      <c r="D58" s="21"/>
      <c r="E58" s="21"/>
      <c r="F58" s="22"/>
      <c r="G58" s="21"/>
      <c r="H58" s="21"/>
      <c r="I58" s="22"/>
    </row>
    <row r="59" spans="1:9">
      <c r="A59" s="21"/>
      <c r="B59" s="21"/>
      <c r="C59" s="21"/>
      <c r="D59" s="21"/>
      <c r="E59" s="21"/>
      <c r="F59" s="22"/>
      <c r="G59" s="21"/>
      <c r="H59" s="21"/>
      <c r="I59" s="22"/>
    </row>
    <row r="60" spans="1:9">
      <c r="A60" s="21"/>
      <c r="B60" s="21"/>
      <c r="C60" s="21"/>
      <c r="D60" s="21"/>
      <c r="E60" s="21"/>
      <c r="F60" s="22"/>
      <c r="G60" s="21"/>
      <c r="H60" s="21"/>
      <c r="I60" s="22"/>
    </row>
    <row r="61" spans="1:9">
      <c r="A61" s="21"/>
      <c r="B61" s="21"/>
      <c r="C61" s="21"/>
      <c r="D61" s="21"/>
      <c r="E61" s="21"/>
      <c r="F61" s="22"/>
      <c r="G61" s="21"/>
      <c r="H61" s="21"/>
      <c r="I61" s="22"/>
    </row>
    <row r="62" spans="1:9">
      <c r="A62" s="21"/>
      <c r="B62" s="21"/>
      <c r="C62" s="21"/>
      <c r="D62" s="21"/>
      <c r="E62" s="21"/>
      <c r="F62" s="22"/>
      <c r="G62" s="21"/>
      <c r="H62" s="21"/>
      <c r="I62" s="22"/>
    </row>
    <row r="63" spans="1:9">
      <c r="A63" s="21"/>
      <c r="B63" s="21"/>
      <c r="C63" s="21"/>
      <c r="D63" s="21"/>
      <c r="E63" s="21"/>
      <c r="F63" s="22"/>
      <c r="G63" s="21"/>
      <c r="H63" s="21"/>
      <c r="I63" s="22"/>
    </row>
    <row r="64" spans="1:9">
      <c r="A64" s="21"/>
      <c r="B64" s="21"/>
      <c r="C64" s="21"/>
      <c r="D64" s="21"/>
      <c r="E64" s="21"/>
      <c r="F64" s="22"/>
      <c r="G64" s="21"/>
      <c r="H64" s="21"/>
      <c r="I64" s="22"/>
    </row>
    <row r="65" spans="1:9">
      <c r="A65" s="21"/>
      <c r="B65" s="21"/>
      <c r="C65" s="21"/>
      <c r="D65" s="21"/>
      <c r="E65" s="21"/>
      <c r="F65" s="22"/>
      <c r="G65" s="21"/>
      <c r="H65" s="21"/>
      <c r="I65" s="22"/>
    </row>
    <row r="66" spans="1:9">
      <c r="A66" s="21"/>
      <c r="B66" s="21"/>
      <c r="C66" s="21"/>
      <c r="D66" s="21"/>
      <c r="E66" s="21"/>
      <c r="F66" s="22"/>
      <c r="G66" s="21"/>
      <c r="H66" s="21"/>
      <c r="I66" s="22"/>
    </row>
    <row r="67" spans="1:9">
      <c r="A67" s="21"/>
      <c r="B67" s="21"/>
      <c r="C67" s="21"/>
      <c r="D67" s="21"/>
      <c r="E67" s="21"/>
      <c r="F67" s="22"/>
      <c r="G67" s="21"/>
      <c r="H67" s="21"/>
      <c r="I67" s="22"/>
    </row>
    <row r="68" spans="1:9">
      <c r="A68" s="21"/>
      <c r="B68" s="21"/>
      <c r="C68" s="21"/>
      <c r="D68" s="21"/>
      <c r="E68" s="21"/>
      <c r="F68" s="22"/>
      <c r="G68" s="21"/>
      <c r="H68" s="21"/>
      <c r="I68" s="22"/>
    </row>
    <row r="69" spans="1:9">
      <c r="A69" s="21"/>
      <c r="B69" s="21"/>
      <c r="C69" s="21"/>
      <c r="D69" s="21"/>
      <c r="E69" s="21"/>
      <c r="F69" s="22"/>
      <c r="G69" s="21"/>
      <c r="H69" s="21"/>
      <c r="I69" s="22"/>
    </row>
    <row r="70" spans="1:9">
      <c r="A70" s="21"/>
      <c r="B70" s="21"/>
      <c r="C70" s="21"/>
      <c r="D70" s="21"/>
      <c r="E70" s="21"/>
      <c r="F70" s="22"/>
      <c r="G70" s="21"/>
      <c r="H70" s="21"/>
      <c r="I70" s="22"/>
    </row>
    <row r="71" spans="1:9">
      <c r="A71" s="21"/>
      <c r="B71" s="21"/>
      <c r="C71" s="21"/>
      <c r="D71" s="21"/>
      <c r="E71" s="21"/>
      <c r="F71" s="22"/>
      <c r="G71" s="21"/>
      <c r="H71" s="21"/>
      <c r="I71" s="22"/>
    </row>
    <row r="72" spans="1:9">
      <c r="A72" s="21"/>
      <c r="B72" s="21"/>
      <c r="C72" s="21"/>
      <c r="D72" s="21"/>
      <c r="E72" s="21"/>
      <c r="F72" s="22"/>
      <c r="G72" s="21"/>
      <c r="H72" s="21"/>
      <c r="I72" s="22"/>
    </row>
    <row r="73" spans="1:9">
      <c r="A73" s="21"/>
      <c r="B73" s="21"/>
      <c r="C73" s="21"/>
      <c r="D73" s="21"/>
      <c r="E73" s="21"/>
      <c r="F73" s="22"/>
      <c r="G73" s="21"/>
      <c r="H73" s="21"/>
      <c r="I73" s="22"/>
    </row>
    <row r="74" spans="1:9">
      <c r="A74" s="21"/>
      <c r="B74" s="21"/>
      <c r="C74" s="21"/>
      <c r="D74" s="21"/>
      <c r="E74" s="21"/>
      <c r="F74" s="22"/>
      <c r="G74" s="21"/>
      <c r="H74" s="21"/>
      <c r="I74" s="22"/>
    </row>
    <row r="75" spans="1:9">
      <c r="A75" s="21"/>
      <c r="B75" s="21"/>
      <c r="C75" s="21"/>
      <c r="D75" s="21"/>
      <c r="E75" s="21"/>
      <c r="F75" s="22"/>
      <c r="G75" s="21"/>
      <c r="H75" s="21"/>
      <c r="I75" s="22"/>
    </row>
    <row r="76" spans="1:9">
      <c r="A76" s="21"/>
      <c r="B76" s="21"/>
      <c r="C76" s="21"/>
      <c r="D76" s="21"/>
      <c r="E76" s="21"/>
      <c r="F76" s="22"/>
      <c r="G76" s="21"/>
      <c r="H76" s="21"/>
      <c r="I76" s="22"/>
    </row>
    <row r="77" spans="1:9">
      <c r="A77" s="21"/>
      <c r="B77" s="21"/>
      <c r="C77" s="21"/>
      <c r="D77" s="21"/>
      <c r="E77" s="21"/>
      <c r="F77" s="22"/>
      <c r="G77" s="21"/>
      <c r="H77" s="21"/>
      <c r="I77" s="22"/>
    </row>
    <row r="78" spans="1:9">
      <c r="A78" s="21"/>
      <c r="B78" s="21"/>
      <c r="C78" s="21"/>
      <c r="D78" s="21"/>
      <c r="E78" s="21"/>
      <c r="F78" s="22"/>
      <c r="G78" s="21"/>
      <c r="H78" s="21"/>
      <c r="I78" s="22"/>
    </row>
    <row r="79" spans="1:9">
      <c r="A79" s="21"/>
      <c r="B79" s="21"/>
      <c r="C79" s="21"/>
      <c r="D79" s="21"/>
      <c r="E79" s="21"/>
      <c r="F79" s="22"/>
      <c r="G79" s="21"/>
      <c r="H79" s="21"/>
      <c r="I79" s="22"/>
    </row>
    <row r="80" spans="1:9">
      <c r="A80" s="21"/>
      <c r="B80" s="21"/>
      <c r="C80" s="21"/>
      <c r="D80" s="21"/>
      <c r="E80" s="21"/>
      <c r="F80" s="22"/>
      <c r="G80" s="21"/>
      <c r="H80" s="21"/>
      <c r="I80" s="22"/>
    </row>
    <row r="81" spans="1:9">
      <c r="A81" s="21"/>
      <c r="B81" s="21"/>
      <c r="C81" s="21"/>
      <c r="D81" s="21"/>
      <c r="E81" s="21"/>
      <c r="F81" s="22"/>
      <c r="G81" s="21"/>
      <c r="H81" s="21"/>
      <c r="I81" s="22"/>
    </row>
    <row r="82" spans="1:9">
      <c r="A82" s="21"/>
      <c r="B82" s="21"/>
      <c r="C82" s="21"/>
      <c r="D82" s="21"/>
      <c r="E82" s="21"/>
      <c r="F82" s="22"/>
      <c r="G82" s="21"/>
      <c r="H82" s="21"/>
      <c r="I82" s="22"/>
    </row>
    <row r="83" spans="1:9">
      <c r="A83" s="21"/>
      <c r="B83" s="21"/>
      <c r="C83" s="21"/>
      <c r="D83" s="21"/>
      <c r="E83" s="21"/>
      <c r="F83" s="22"/>
      <c r="G83" s="21"/>
      <c r="H83" s="21"/>
      <c r="I83" s="22"/>
    </row>
    <row r="84" spans="1:9">
      <c r="A84" s="21"/>
      <c r="B84" s="21"/>
      <c r="C84" s="21"/>
      <c r="D84" s="21"/>
      <c r="E84" s="21"/>
      <c r="F84" s="22"/>
      <c r="G84" s="21"/>
      <c r="H84" s="21"/>
      <c r="I84" s="22"/>
    </row>
    <row r="85" spans="1:9">
      <c r="A85" s="21"/>
      <c r="B85" s="21"/>
      <c r="C85" s="21"/>
      <c r="D85" s="21"/>
      <c r="E85" s="21"/>
      <c r="F85" s="22"/>
      <c r="G85" s="21"/>
      <c r="H85" s="21"/>
      <c r="I85" s="22"/>
    </row>
    <row r="86" spans="1:9">
      <c r="A86" s="21"/>
      <c r="B86" s="21"/>
      <c r="C86" s="21"/>
      <c r="D86" s="21"/>
      <c r="E86" s="21"/>
      <c r="F86" s="22"/>
      <c r="G86" s="21"/>
      <c r="H86" s="21"/>
      <c r="I86" s="22"/>
    </row>
    <row r="87" spans="1:9">
      <c r="A87" s="21"/>
      <c r="B87" s="21"/>
      <c r="C87" s="21"/>
      <c r="D87" s="21"/>
      <c r="E87" s="21"/>
      <c r="F87" s="22"/>
      <c r="G87" s="21"/>
      <c r="H87" s="21"/>
      <c r="I87" s="22"/>
    </row>
    <row r="88" spans="1:9">
      <c r="A88" s="21"/>
      <c r="B88" s="21"/>
      <c r="C88" s="21"/>
      <c r="D88" s="21"/>
      <c r="E88" s="21"/>
      <c r="F88" s="22"/>
      <c r="G88" s="21"/>
      <c r="H88" s="21"/>
      <c r="I88" s="22"/>
    </row>
    <row r="89" spans="1:9">
      <c r="A89" s="21"/>
      <c r="B89" s="21"/>
      <c r="C89" s="21"/>
      <c r="D89" s="21"/>
      <c r="E89" s="21"/>
      <c r="F89" s="22"/>
      <c r="G89" s="21"/>
      <c r="H89" s="21"/>
      <c r="I89" s="22"/>
    </row>
    <row r="90" spans="1:9">
      <c r="A90" s="21"/>
      <c r="B90" s="21"/>
      <c r="C90" s="21"/>
      <c r="D90" s="21"/>
      <c r="E90" s="21"/>
      <c r="F90" s="22"/>
      <c r="G90" s="21"/>
      <c r="H90" s="21"/>
      <c r="I90" s="22"/>
    </row>
    <row r="91" spans="1:9">
      <c r="A91" s="21"/>
      <c r="B91" s="21"/>
      <c r="C91" s="21"/>
      <c r="D91" s="21"/>
      <c r="E91" s="21"/>
      <c r="F91" s="22"/>
      <c r="G91" s="21"/>
      <c r="H91" s="21"/>
      <c r="I91" s="22"/>
    </row>
    <row r="92" spans="1:9">
      <c r="A92" s="21"/>
      <c r="B92" s="21"/>
      <c r="C92" s="21"/>
      <c r="D92" s="21"/>
      <c r="E92" s="21"/>
      <c r="F92" s="22"/>
      <c r="G92" s="21"/>
      <c r="H92" s="21"/>
      <c r="I92" s="22"/>
    </row>
    <row r="93" spans="1:9">
      <c r="A93" s="21"/>
      <c r="B93" s="21"/>
      <c r="C93" s="21"/>
      <c r="D93" s="21"/>
      <c r="E93" s="21"/>
      <c r="F93" s="22"/>
      <c r="G93" s="21"/>
      <c r="H93" s="21"/>
      <c r="I93" s="22"/>
    </row>
    <row r="94" spans="1:9">
      <c r="A94" s="21"/>
      <c r="B94" s="21"/>
      <c r="C94" s="21"/>
      <c r="D94" s="21"/>
      <c r="E94" s="21"/>
      <c r="F94" s="22"/>
      <c r="G94" s="21"/>
      <c r="H94" s="21"/>
      <c r="I94" s="22"/>
    </row>
    <row r="95" spans="1:9">
      <c r="A95" s="21"/>
      <c r="B95" s="21"/>
      <c r="C95" s="21"/>
      <c r="D95" s="21"/>
      <c r="E95" s="21"/>
      <c r="F95" s="22"/>
      <c r="G95" s="21"/>
      <c r="H95" s="21"/>
      <c r="I95" s="22"/>
    </row>
    <row r="96" spans="1:9">
      <c r="A96" s="21"/>
      <c r="B96" s="21"/>
      <c r="C96" s="21"/>
      <c r="D96" s="21"/>
      <c r="E96" s="21"/>
      <c r="F96" s="22"/>
      <c r="G96" s="21"/>
      <c r="H96" s="21"/>
      <c r="I96" s="22"/>
    </row>
    <row r="97" spans="1:9">
      <c r="A97" s="21"/>
      <c r="B97" s="21"/>
      <c r="C97" s="21"/>
      <c r="D97" s="21"/>
      <c r="E97" s="21"/>
      <c r="F97" s="22"/>
      <c r="G97" s="21"/>
      <c r="H97" s="21"/>
      <c r="I97" s="22"/>
    </row>
    <row r="98" spans="1:9">
      <c r="A98" s="21"/>
      <c r="B98" s="21"/>
      <c r="C98" s="21"/>
      <c r="D98" s="21"/>
      <c r="E98" s="21"/>
      <c r="F98" s="22"/>
      <c r="G98" s="21"/>
      <c r="H98" s="21"/>
      <c r="I98" s="22"/>
    </row>
    <row r="99" spans="1:9">
      <c r="A99" s="21"/>
      <c r="B99" s="21"/>
      <c r="C99" s="21"/>
      <c r="D99" s="21"/>
      <c r="E99" s="21"/>
      <c r="F99" s="22"/>
      <c r="G99" s="21"/>
      <c r="H99" s="21"/>
      <c r="I99" s="22"/>
    </row>
    <row r="100" spans="1: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>
      <c r="A329" s="21"/>
      <c r="B329" s="21"/>
      <c r="C329" s="21"/>
      <c r="D329" s="21"/>
      <c r="E329" s="21"/>
      <c r="F329" s="22"/>
      <c r="G329" s="21"/>
      <c r="H329" s="21"/>
      <c r="I329" s="22"/>
    </row>
    <row r="330" spans="1:9">
      <c r="A330" s="21"/>
      <c r="B330" s="21"/>
      <c r="C330" s="21"/>
      <c r="D330" s="21"/>
      <c r="E330" s="21"/>
      <c r="F330" s="22"/>
      <c r="G330" s="21"/>
      <c r="H330" s="21"/>
      <c r="I330" s="22"/>
    </row>
    <row r="331" spans="1:9">
      <c r="A331" s="21"/>
      <c r="B331" s="21"/>
      <c r="C331" s="21"/>
      <c r="D331" s="21"/>
      <c r="E331" s="21"/>
      <c r="F331" s="22"/>
      <c r="G331" s="21"/>
      <c r="H331" s="21"/>
      <c r="I331" s="22"/>
    </row>
    <row r="332" spans="1:9">
      <c r="A332" s="21"/>
      <c r="B332" s="21"/>
      <c r="C332" s="21"/>
      <c r="D332" s="21"/>
      <c r="E332" s="21"/>
      <c r="F332" s="22"/>
      <c r="G332" s="21"/>
      <c r="H332" s="21"/>
      <c r="I332" s="22"/>
    </row>
    <row r="333" spans="1:9">
      <c r="A333" s="21"/>
      <c r="B333" s="21"/>
      <c r="C333" s="21"/>
      <c r="D333" s="21"/>
      <c r="E333" s="21"/>
      <c r="F333" s="22"/>
      <c r="G333" s="21"/>
      <c r="H333" s="21"/>
      <c r="I333" s="22"/>
    </row>
    <row r="334" spans="1:9">
      <c r="A334" s="21"/>
      <c r="B334" s="21"/>
      <c r="C334" s="21"/>
      <c r="D334" s="21"/>
      <c r="E334" s="21"/>
      <c r="F334" s="22"/>
      <c r="G334" s="21"/>
      <c r="H334" s="21"/>
      <c r="I334" s="22"/>
    </row>
    <row r="335" spans="1:9">
      <c r="A335" s="21"/>
      <c r="B335" s="21"/>
      <c r="C335" s="21"/>
      <c r="D335" s="21"/>
      <c r="E335" s="21"/>
      <c r="F335" s="22"/>
      <c r="G335" s="21"/>
      <c r="H335" s="21"/>
      <c r="I335" s="22"/>
    </row>
    <row r="336" spans="1:9">
      <c r="A336" s="21"/>
      <c r="B336" s="21"/>
      <c r="C336" s="21"/>
      <c r="D336" s="21"/>
      <c r="E336" s="21"/>
      <c r="F336" s="22"/>
      <c r="G336" s="21"/>
      <c r="H336" s="21"/>
      <c r="I336" s="22"/>
    </row>
    <row r="337" spans="1:9">
      <c r="A337" s="21"/>
      <c r="B337" s="21"/>
      <c r="C337" s="21"/>
      <c r="D337" s="21"/>
      <c r="E337" s="21"/>
      <c r="F337" s="22"/>
      <c r="G337" s="21"/>
      <c r="H337" s="21"/>
      <c r="I337" s="22"/>
    </row>
    <row r="338" spans="1:9">
      <c r="A338" s="21"/>
      <c r="B338" s="21"/>
      <c r="C338" s="21"/>
      <c r="D338" s="21"/>
      <c r="E338" s="21"/>
      <c r="F338" s="22"/>
      <c r="G338" s="21"/>
      <c r="H338" s="21"/>
      <c r="I338" s="22"/>
    </row>
    <row r="339" spans="1:9">
      <c r="A339" s="21"/>
      <c r="B339" s="21"/>
      <c r="C339" s="21"/>
      <c r="D339" s="21"/>
      <c r="E339" s="21"/>
      <c r="F339" s="22"/>
      <c r="G339" s="21"/>
      <c r="H339" s="21"/>
      <c r="I339" s="22"/>
    </row>
    <row r="340" spans="1:9">
      <c r="A340" s="21"/>
      <c r="B340" s="21"/>
      <c r="C340" s="21"/>
      <c r="D340" s="21"/>
      <c r="E340" s="21"/>
      <c r="F340" s="22"/>
      <c r="G340" s="21"/>
      <c r="H340" s="21"/>
      <c r="I340" s="22"/>
    </row>
    <row r="341" spans="1:9">
      <c r="A341" s="21"/>
      <c r="B341" s="21"/>
      <c r="C341" s="21"/>
      <c r="D341" s="21"/>
      <c r="E341" s="21"/>
      <c r="F341" s="22"/>
      <c r="G341" s="21"/>
      <c r="H341" s="21"/>
      <c r="I341" s="22"/>
    </row>
    <row r="342" spans="1:9">
      <c r="A342" s="21"/>
      <c r="B342" s="21"/>
      <c r="C342" s="21"/>
      <c r="D342" s="21"/>
      <c r="E342" s="21"/>
      <c r="F342" s="22"/>
      <c r="G342" s="21"/>
      <c r="H342" s="21"/>
      <c r="I342" s="22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100 I4:I100">
    <cfRule type="cellIs" dxfId="58" priority="1" stopIfTrue="1" operator="lessThanOrEqual">
      <formula>-0.1</formula>
    </cfRule>
    <cfRule type="expression" dxfId="57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42"/>
  <sheetViews>
    <sheetView workbookViewId="0">
      <pane xSplit="2" ySplit="3" topLeftCell="C14" activePane="bottomRight" state="frozen"/>
      <selection pane="bottomRight" activeCell="A14" sqref="A14:I38"/>
      <selection pane="bottomLeft"/>
      <selection pane="topRight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7" t="str" cm="1">
        <f t="array" ref="A1">portfolio</f>
        <v>Cushman &amp; Wakefield</v>
      </c>
      <c r="B1" s="57"/>
      <c r="C1" s="57"/>
      <c r="D1" s="58" t="s">
        <v>12</v>
      </c>
      <c r="E1" s="58"/>
      <c r="F1" s="58"/>
      <c r="G1" s="56" t="s">
        <v>13</v>
      </c>
      <c r="H1" s="56"/>
      <c r="I1" s="56"/>
    </row>
    <row r="2" spans="1:9" ht="19.5" customHeight="1">
      <c r="A2" s="59" t="s">
        <v>2</v>
      </c>
      <c r="B2" s="59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75">
      <c r="A4" s="12" t="str" cm="1">
        <f t="array" ref="A4:A38">Sites[Site]</f>
        <v xml:space="preserve"> Adelanto - Bank of America</v>
      </c>
      <c r="B4" s="9" t="str" cm="1">
        <f t="array" ref="B4:B38">Sites[State]</f>
        <v>CA</v>
      </c>
      <c r="C4" s="24">
        <f>SUM(Apr!C4, May!C4, Jun!C4)</f>
        <v>0</v>
      </c>
      <c r="D4" s="13">
        <f>SUM(Apr!D4, May!D4, Jun!D4)</f>
        <v>0</v>
      </c>
      <c r="E4" s="13">
        <f>IF(AND(ISNUMBER(C4),ISNUMBER(D4)), C4-D4, "")</f>
        <v>0</v>
      </c>
      <c r="F4" s="14" t="str">
        <f>IFERROR(E4/D4, "")</f>
        <v/>
      </c>
      <c r="G4" s="15"/>
      <c r="H4" s="15">
        <f>SUM(Apr!H4, May!H4, Jun!H4)</f>
        <v>0</v>
      </c>
      <c r="I4" s="16" t="str">
        <f>IFERROR(H4/G4, "")</f>
        <v/>
      </c>
    </row>
    <row r="5" spans="1:9" ht="15.75">
      <c r="A5" s="17" t="str">
        <v xml:space="preserve"> Apple Valley - Bank of America</v>
      </c>
      <c r="B5" s="10" t="str">
        <v>CA</v>
      </c>
      <c r="C5" s="11">
        <f>SUM(Apr!C5, May!C5, Jun!C5)</f>
        <v>0</v>
      </c>
      <c r="D5" s="18">
        <f>SUM(Apr!D5, May!D5, Jun!D5)</f>
        <v>0</v>
      </c>
      <c r="E5" s="18">
        <f t="shared" ref="E5:E15" si="0">IF(AND(ISNUMBER(C5),ISNUMBER(D5)), C5-D5, "")</f>
        <v>0</v>
      </c>
      <c r="F5" s="19" t="str">
        <f>IFERROR(E5/D5, "")</f>
        <v/>
      </c>
      <c r="G5" s="20"/>
      <c r="H5" s="20">
        <f>SUM(Apr!H5, May!H5, Jun!H5)</f>
        <v>0</v>
      </c>
      <c r="I5" s="19" t="str">
        <f>IFERROR(H5/G5, "")</f>
        <v/>
      </c>
    </row>
    <row r="6" spans="1:9" ht="15.75">
      <c r="A6" s="12" t="str">
        <v xml:space="preserve"> Arvin - Bank of America</v>
      </c>
      <c r="B6" s="9" t="str">
        <v>CA</v>
      </c>
      <c r="C6" s="24">
        <f>SUM(Apr!C6, May!C6, Jun!C6)</f>
        <v>0</v>
      </c>
      <c r="D6" s="13">
        <f>SUM(Apr!D6, May!D6, Jun!D6)</f>
        <v>0</v>
      </c>
      <c r="E6" s="13">
        <f t="shared" si="0"/>
        <v>0</v>
      </c>
      <c r="F6" s="14" t="str">
        <f t="shared" ref="F6:F15" si="1">IFERROR(E6/D6, "")</f>
        <v/>
      </c>
      <c r="G6" s="15"/>
      <c r="H6" s="15">
        <f>SUM(Apr!H6, May!H6, Jun!H6)</f>
        <v>0</v>
      </c>
      <c r="I6" s="16" t="str">
        <f t="shared" ref="I6:I15" si="2">IFERROR(H6/G6, "")</f>
        <v/>
      </c>
    </row>
    <row r="7" spans="1:9" ht="15.75">
      <c r="A7" s="17" t="str">
        <v xml:space="preserve"> Bell - Bank of America</v>
      </c>
      <c r="B7" s="10" t="str">
        <v>CA</v>
      </c>
      <c r="C7" s="11">
        <f>SUM(Apr!C7, May!C7, Jun!C7)</f>
        <v>0</v>
      </c>
      <c r="D7" s="18">
        <f>SUM(Apr!D7, May!D7, Jun!D7)</f>
        <v>0</v>
      </c>
      <c r="E7" s="18">
        <f t="shared" si="0"/>
        <v>0</v>
      </c>
      <c r="F7" s="19" t="str">
        <f t="shared" si="1"/>
        <v/>
      </c>
      <c r="G7" s="20"/>
      <c r="H7" s="20">
        <f>SUM(Apr!H7, May!H7, Jun!H7)</f>
        <v>0</v>
      </c>
      <c r="I7" s="19" t="str">
        <f t="shared" si="2"/>
        <v/>
      </c>
    </row>
    <row r="8" spans="1:9" ht="15.75">
      <c r="A8" s="12" t="str">
        <v xml:space="preserve"> Chula Vista - Bank of America</v>
      </c>
      <c r="B8" s="9" t="str">
        <v>CA</v>
      </c>
      <c r="C8" s="24">
        <f>SUM(Apr!C8, May!C8, Jun!C8)</f>
        <v>0</v>
      </c>
      <c r="D8" s="13">
        <f>SUM(Apr!D8, May!D8, Jun!D8)</f>
        <v>0</v>
      </c>
      <c r="E8" s="13">
        <f t="shared" si="0"/>
        <v>0</v>
      </c>
      <c r="F8" s="14" t="str">
        <f t="shared" si="1"/>
        <v/>
      </c>
      <c r="G8" s="15"/>
      <c r="H8" s="15">
        <f>SUM(Apr!H8, May!H8, Jun!H8)</f>
        <v>0</v>
      </c>
      <c r="I8" s="16" t="str">
        <f t="shared" si="2"/>
        <v/>
      </c>
    </row>
    <row r="9" spans="1:9" ht="15.75">
      <c r="A9" s="17" t="str">
        <v xml:space="preserve"> Cupertino - Bank of America</v>
      </c>
      <c r="B9" s="10" t="str">
        <v>CA</v>
      </c>
      <c r="C9" s="11">
        <f>SUM(Apr!C9, May!C9, Jun!C9)</f>
        <v>0</v>
      </c>
      <c r="D9" s="18">
        <f>SUM(Apr!D9, May!D9, Jun!D9)</f>
        <v>0</v>
      </c>
      <c r="E9" s="18">
        <f t="shared" si="0"/>
        <v>0</v>
      </c>
      <c r="F9" s="19" t="str">
        <f t="shared" si="1"/>
        <v/>
      </c>
      <c r="G9" s="20"/>
      <c r="H9" s="20">
        <f>SUM(Apr!H9, May!H9, Jun!H9)</f>
        <v>0</v>
      </c>
      <c r="I9" s="19" t="str">
        <f t="shared" si="2"/>
        <v/>
      </c>
    </row>
    <row r="10" spans="1:9" ht="15.75">
      <c r="A10" s="12" t="str">
        <v xml:space="preserve"> Diamond Bar - Bank of America</v>
      </c>
      <c r="B10" s="9" t="str">
        <v>CA</v>
      </c>
      <c r="C10" s="24">
        <f>SUM(Apr!C10, May!C10, Jun!C10)</f>
        <v>0</v>
      </c>
      <c r="D10" s="13">
        <f>SUM(Apr!D10, May!D10, Jun!D10)</f>
        <v>0</v>
      </c>
      <c r="E10" s="13">
        <f t="shared" si="0"/>
        <v>0</v>
      </c>
      <c r="F10" s="14" t="str">
        <f t="shared" si="1"/>
        <v/>
      </c>
      <c r="G10" s="15"/>
      <c r="H10" s="15">
        <f>SUM(Apr!H10, May!H10, Jun!H10)</f>
        <v>0</v>
      </c>
      <c r="I10" s="16" t="str">
        <f t="shared" si="2"/>
        <v/>
      </c>
    </row>
    <row r="11" spans="1:9" ht="15.75">
      <c r="A11" s="17" t="str">
        <v xml:space="preserve"> El Centro - Bank of America</v>
      </c>
      <c r="B11" s="10" t="str">
        <v>CA</v>
      </c>
      <c r="C11" s="11">
        <f>SUM(Apr!C11, May!C11, Jun!C11)</f>
        <v>0</v>
      </c>
      <c r="D11" s="18">
        <f>SUM(Apr!D11, May!D11, Jun!D11)</f>
        <v>0</v>
      </c>
      <c r="E11" s="18">
        <f t="shared" si="0"/>
        <v>0</v>
      </c>
      <c r="F11" s="19" t="str">
        <f t="shared" si="1"/>
        <v/>
      </c>
      <c r="G11" s="20"/>
      <c r="H11" s="20">
        <f>SUM(Apr!H11, May!H11, Jun!H11)</f>
        <v>0</v>
      </c>
      <c r="I11" s="19" t="str">
        <f t="shared" si="2"/>
        <v/>
      </c>
    </row>
    <row r="12" spans="1:9" ht="15.75">
      <c r="A12" s="12" t="str">
        <v xml:space="preserve"> Moreno Valley - Bank of America</v>
      </c>
      <c r="B12" s="9" t="str">
        <v>CA</v>
      </c>
      <c r="C12" s="24">
        <f>SUM(Apr!C12, May!C12, Jun!C12)</f>
        <v>0</v>
      </c>
      <c r="D12" s="13">
        <f>SUM(Apr!D12, May!D12, Jun!D12)</f>
        <v>0</v>
      </c>
      <c r="E12" s="13">
        <f t="shared" si="0"/>
        <v>0</v>
      </c>
      <c r="F12" s="14" t="str">
        <f t="shared" si="1"/>
        <v/>
      </c>
      <c r="G12" s="15"/>
      <c r="H12" s="15">
        <f>SUM(Apr!H12, May!H12, Jun!H12)</f>
        <v>0</v>
      </c>
      <c r="I12" s="16" t="str">
        <f t="shared" si="2"/>
        <v/>
      </c>
    </row>
    <row r="13" spans="1:9" ht="15.75">
      <c r="A13" s="17" t="str">
        <v xml:space="preserve"> Redlands - Bank of America</v>
      </c>
      <c r="B13" s="10" t="str">
        <v>CA</v>
      </c>
      <c r="C13" s="11">
        <f>SUM(Apr!C13, May!C13, Jun!C13)</f>
        <v>0</v>
      </c>
      <c r="D13" s="18">
        <f>SUM(Apr!D13, May!D13, Jun!D13)</f>
        <v>0</v>
      </c>
      <c r="E13" s="18">
        <f t="shared" si="0"/>
        <v>0</v>
      </c>
      <c r="F13" s="19" t="str">
        <f t="shared" si="1"/>
        <v/>
      </c>
      <c r="G13" s="20"/>
      <c r="H13" s="20">
        <f>SUM(Apr!H13, May!H13, Jun!H13)</f>
        <v>0</v>
      </c>
      <c r="I13" s="19" t="str">
        <f t="shared" si="2"/>
        <v/>
      </c>
    </row>
    <row r="14" spans="1:9" ht="15.75">
      <c r="A14" s="12" t="str">
        <v xml:space="preserve"> Roseville - Bank of America</v>
      </c>
      <c r="B14" s="9" t="str">
        <v>CA</v>
      </c>
      <c r="C14" s="24">
        <f>SUM(Apr!C14, May!C14, Jun!C14)</f>
        <v>0</v>
      </c>
      <c r="D14" s="13">
        <f>SUM(Apr!D14, May!D14, Jun!D14)</f>
        <v>0</v>
      </c>
      <c r="E14" s="13">
        <f t="shared" si="0"/>
        <v>0</v>
      </c>
      <c r="F14" s="14" t="str">
        <f t="shared" si="1"/>
        <v/>
      </c>
      <c r="G14" s="15"/>
      <c r="H14" s="15">
        <f>SUM(Apr!H14, May!H14, Jun!H14)</f>
        <v>0</v>
      </c>
      <c r="I14" s="16" t="str">
        <f t="shared" si="2"/>
        <v/>
      </c>
    </row>
    <row r="15" spans="1:9" ht="15.75">
      <c r="A15" s="17" t="str">
        <v xml:space="preserve"> San Bernardino - Bank of America</v>
      </c>
      <c r="B15" s="10" t="str">
        <v>CA</v>
      </c>
      <c r="C15" s="11">
        <f>SUM(Apr!C15, May!C15, Jun!C15)</f>
        <v>0</v>
      </c>
      <c r="D15" s="18">
        <f>SUM(Apr!D15, May!D15, Jun!D15)</f>
        <v>0</v>
      </c>
      <c r="E15" s="18">
        <f t="shared" si="0"/>
        <v>0</v>
      </c>
      <c r="F15" s="19" t="str">
        <f t="shared" si="1"/>
        <v/>
      </c>
      <c r="G15" s="20"/>
      <c r="H15" s="20">
        <f>SUM(Apr!H15, May!H15, Jun!H15)</f>
        <v>0</v>
      </c>
      <c r="I15" s="19" t="str">
        <f t="shared" si="2"/>
        <v/>
      </c>
    </row>
    <row r="16" spans="1:9" ht="15.75">
      <c r="A16" s="12" t="str">
        <v xml:space="preserve"> San Diego - Bank of America</v>
      </c>
      <c r="B16" s="9" t="str">
        <v>CA</v>
      </c>
      <c r="C16" s="24">
        <f>SUM(Apr!C16, May!C16, Jun!C16)</f>
        <v>0</v>
      </c>
      <c r="D16" s="13">
        <f>SUM(Apr!D16, May!D16, Jun!D16)</f>
        <v>0</v>
      </c>
      <c r="E16" s="13">
        <f t="shared" ref="E16:E19" si="3">IF(AND(ISNUMBER(C16),ISNUMBER(D16)), C16-D16, "")</f>
        <v>0</v>
      </c>
      <c r="F16" s="14" t="str">
        <f t="shared" ref="F16:F19" si="4">IFERROR(E16/D16, "")</f>
        <v/>
      </c>
      <c r="G16" s="15"/>
      <c r="H16" s="15">
        <f>SUM(Apr!H16, May!H16, Jun!H16)</f>
        <v>0</v>
      </c>
      <c r="I16" s="16" t="str">
        <f t="shared" ref="I16:I19" si="5">IFERROR(H16/G16, "")</f>
        <v/>
      </c>
    </row>
    <row r="17" spans="1:9" ht="15.75">
      <c r="A17" s="17" t="str">
        <v xml:space="preserve"> Stockton - Bank of America</v>
      </c>
      <c r="B17" s="10" t="str">
        <v>CA</v>
      </c>
      <c r="C17" s="11">
        <f>SUM(Apr!C17, May!C17, Jun!C17)</f>
        <v>0</v>
      </c>
      <c r="D17" s="18">
        <f>SUM(Apr!D17, May!D17, Jun!D17)</f>
        <v>0</v>
      </c>
      <c r="E17" s="18">
        <f t="shared" si="3"/>
        <v>0</v>
      </c>
      <c r="F17" s="19" t="str">
        <f t="shared" si="4"/>
        <v/>
      </c>
      <c r="G17" s="20"/>
      <c r="H17" s="20">
        <f>SUM(Apr!H17, May!H17, Jun!H17)</f>
        <v>0</v>
      </c>
      <c r="I17" s="19" t="str">
        <f t="shared" si="5"/>
        <v/>
      </c>
    </row>
    <row r="18" spans="1:9" ht="12.75" customHeight="1">
      <c r="A18" s="12" t="str">
        <v xml:space="preserve"> Victorville - Bank of America</v>
      </c>
      <c r="B18" s="9" t="str">
        <v>CA</v>
      </c>
      <c r="C18" s="24">
        <f>SUM(Apr!C18, May!C18, Jun!C18)</f>
        <v>0</v>
      </c>
      <c r="D18" s="13">
        <f>SUM(Apr!D18, May!D18, Jun!D18)</f>
        <v>0</v>
      </c>
      <c r="E18" s="13">
        <f t="shared" si="3"/>
        <v>0</v>
      </c>
      <c r="F18" s="14" t="str">
        <f t="shared" si="4"/>
        <v/>
      </c>
      <c r="G18" s="15"/>
      <c r="H18" s="15">
        <f>SUM(Apr!H18, May!H18, Jun!H18)</f>
        <v>0</v>
      </c>
      <c r="I18" s="16" t="str">
        <f t="shared" si="5"/>
        <v/>
      </c>
    </row>
    <row r="19" spans="1:9" ht="15.75">
      <c r="A19" s="17" t="str">
        <v xml:space="preserve"> Aurora - BA - Colfax Ave</v>
      </c>
      <c r="B19" s="10" t="str">
        <v>CO</v>
      </c>
      <c r="C19" s="11">
        <f>SUM(Apr!C19, May!C19, Jun!C19)</f>
        <v>0</v>
      </c>
      <c r="D19" s="18">
        <f>SUM(Apr!D19, May!D19, Jun!D19)</f>
        <v>0</v>
      </c>
      <c r="E19" s="18">
        <f t="shared" si="3"/>
        <v>0</v>
      </c>
      <c r="F19" s="19" t="str">
        <f t="shared" si="4"/>
        <v/>
      </c>
      <c r="G19" s="20"/>
      <c r="H19" s="20">
        <f>SUM(Apr!H19, May!H19, Jun!H19)</f>
        <v>0</v>
      </c>
      <c r="I19" s="19" t="str">
        <f t="shared" si="5"/>
        <v/>
      </c>
    </row>
    <row r="20" spans="1:9" ht="15.75">
      <c r="A20" s="12" t="str">
        <v xml:space="preserve"> Aurora - BA - Parker Rd</v>
      </c>
      <c r="B20" s="9" t="str">
        <v>CO</v>
      </c>
      <c r="C20" s="24">
        <f>SUM(Apr!C20, May!C20, Jun!C20)</f>
        <v>0</v>
      </c>
      <c r="D20" s="13">
        <f>SUM(Apr!D20, May!D20, Jun!D20)</f>
        <v>0</v>
      </c>
      <c r="E20" s="13">
        <f t="shared" ref="E20:E38" si="6">IF(AND(ISNUMBER(C20),ISNUMBER(D20)), C20-D20, "")</f>
        <v>0</v>
      </c>
      <c r="F20" s="14" t="str">
        <f t="shared" ref="F20:F38" si="7">IFERROR(E20/D20, "")</f>
        <v/>
      </c>
      <c r="G20" s="15"/>
      <c r="H20" s="15">
        <f>SUM(Apr!H20, May!H20, Jun!H20)</f>
        <v>0</v>
      </c>
      <c r="I20" s="16" t="str">
        <f t="shared" ref="I20:I38" si="8">IFERROR(H20/G20, "")</f>
        <v/>
      </c>
    </row>
    <row r="21" spans="1:9" ht="15.75">
      <c r="A21" s="17" t="str">
        <v xml:space="preserve"> Broomfield - Bank of America</v>
      </c>
      <c r="B21" s="10" t="str">
        <v>CO</v>
      </c>
      <c r="C21" s="11">
        <f>SUM(Apr!C21, May!C21, Jun!C21)</f>
        <v>0</v>
      </c>
      <c r="D21" s="18">
        <f>SUM(Apr!D21, May!D21, Jun!D21)</f>
        <v>0</v>
      </c>
      <c r="E21" s="18">
        <f t="shared" si="6"/>
        <v>0</v>
      </c>
      <c r="F21" s="19" t="str">
        <f t="shared" si="7"/>
        <v/>
      </c>
      <c r="G21" s="20"/>
      <c r="H21" s="20">
        <f>SUM(Apr!H21, May!H21, Jun!H21)</f>
        <v>0</v>
      </c>
      <c r="I21" s="19" t="str">
        <f t="shared" si="8"/>
        <v/>
      </c>
    </row>
    <row r="22" spans="1:9" ht="15.75">
      <c r="A22" s="12" t="str">
        <v xml:space="preserve"> Colorado Springs - Bank of America</v>
      </c>
      <c r="B22" s="9" t="str">
        <v>CO</v>
      </c>
      <c r="C22" s="24">
        <f>SUM(Apr!C22, May!C22, Jun!C22)</f>
        <v>0</v>
      </c>
      <c r="D22" s="13">
        <f>SUM(Apr!D22, May!D22, Jun!D22)</f>
        <v>0</v>
      </c>
      <c r="E22" s="13">
        <f t="shared" si="6"/>
        <v>0</v>
      </c>
      <c r="F22" s="14" t="str">
        <f t="shared" si="7"/>
        <v/>
      </c>
      <c r="G22" s="15"/>
      <c r="H22" s="15">
        <f>SUM(Apr!H22, May!H22, Jun!H22)</f>
        <v>0</v>
      </c>
      <c r="I22" s="16" t="str">
        <f t="shared" si="8"/>
        <v/>
      </c>
    </row>
    <row r="23" spans="1:9" ht="15.75">
      <c r="A23" s="17" t="str">
        <v xml:space="preserve"> Denver - BA - 49th Ave</v>
      </c>
      <c r="B23" s="10" t="str">
        <v>CO</v>
      </c>
      <c r="C23" s="11">
        <f>SUM(Apr!C23, May!C23, Jun!C23)</f>
        <v>0</v>
      </c>
      <c r="D23" s="18">
        <f>SUM(Apr!D23, May!D23, Jun!D23)</f>
        <v>0</v>
      </c>
      <c r="E23" s="18">
        <f t="shared" si="6"/>
        <v>0</v>
      </c>
      <c r="F23" s="19" t="str">
        <f t="shared" si="7"/>
        <v/>
      </c>
      <c r="G23" s="20"/>
      <c r="H23" s="20">
        <f>SUM(Apr!H23, May!H23, Jun!H23)</f>
        <v>0</v>
      </c>
      <c r="I23" s="19" t="str">
        <f t="shared" si="8"/>
        <v/>
      </c>
    </row>
    <row r="24" spans="1:9" ht="15.75">
      <c r="A24" s="12" t="str">
        <v xml:space="preserve"> Denver - BA Wadsworth Blvd</v>
      </c>
      <c r="B24" s="9" t="str">
        <v>CO</v>
      </c>
      <c r="C24" s="24">
        <f>SUM(Apr!C24, May!C24, Jun!C24)</f>
        <v>0</v>
      </c>
      <c r="D24" s="13">
        <f>SUM(Apr!D24, May!D24, Jun!D24)</f>
        <v>0</v>
      </c>
      <c r="E24" s="13">
        <f t="shared" si="6"/>
        <v>0</v>
      </c>
      <c r="F24" s="14" t="str">
        <f t="shared" si="7"/>
        <v/>
      </c>
      <c r="G24" s="15"/>
      <c r="H24" s="15">
        <f>SUM(Apr!H24, May!H24, Jun!H24)</f>
        <v>0</v>
      </c>
      <c r="I24" s="16" t="str">
        <f t="shared" si="8"/>
        <v/>
      </c>
    </row>
    <row r="25" spans="1:9" ht="15.75">
      <c r="A25" s="17" t="str">
        <v xml:space="preserve"> Fort Collins - Bank of America</v>
      </c>
      <c r="B25" s="10" t="str">
        <v>CO</v>
      </c>
      <c r="C25" s="11">
        <f>SUM(Apr!C25, May!C25, Jun!C25)</f>
        <v>0</v>
      </c>
      <c r="D25" s="18">
        <f>SUM(Apr!D25, May!D25, Jun!D25)</f>
        <v>0</v>
      </c>
      <c r="E25" s="18">
        <f t="shared" si="6"/>
        <v>0</v>
      </c>
      <c r="F25" s="19" t="str">
        <f t="shared" si="7"/>
        <v/>
      </c>
      <c r="G25" s="20"/>
      <c r="H25" s="20">
        <f>SUM(Apr!H25, May!H25, Jun!H25)</f>
        <v>0</v>
      </c>
      <c r="I25" s="19" t="str">
        <f t="shared" si="8"/>
        <v/>
      </c>
    </row>
    <row r="26" spans="1:9" ht="15.75">
      <c r="A26" s="12" t="str">
        <v xml:space="preserve"> Lafayette - Bank of America</v>
      </c>
      <c r="B26" s="9" t="str">
        <v>CO</v>
      </c>
      <c r="C26" s="24">
        <f>SUM(Apr!C26, May!C26, Jun!C26)</f>
        <v>0</v>
      </c>
      <c r="D26" s="13">
        <f>SUM(Apr!D26, May!D26, Jun!D26)</f>
        <v>0</v>
      </c>
      <c r="E26" s="13">
        <f t="shared" si="6"/>
        <v>0</v>
      </c>
      <c r="F26" s="14" t="str">
        <f t="shared" si="7"/>
        <v/>
      </c>
      <c r="G26" s="15"/>
      <c r="H26" s="15">
        <f>SUM(Apr!H26, May!H26, Jun!H26)</f>
        <v>0</v>
      </c>
      <c r="I26" s="16" t="str">
        <f t="shared" si="8"/>
        <v/>
      </c>
    </row>
    <row r="27" spans="1:9" ht="15.75">
      <c r="A27" s="17" t="str">
        <v xml:space="preserve"> Lakewood - Bank of America</v>
      </c>
      <c r="B27" s="10" t="str">
        <v>CO</v>
      </c>
      <c r="C27" s="11">
        <f>SUM(Apr!C27, May!C27, Jun!C27)</f>
        <v>0</v>
      </c>
      <c r="D27" s="18">
        <f>SUM(Apr!D27, May!D27, Jun!D27)</f>
        <v>0</v>
      </c>
      <c r="E27" s="18">
        <f t="shared" si="6"/>
        <v>0</v>
      </c>
      <c r="F27" s="19" t="str">
        <f t="shared" si="7"/>
        <v/>
      </c>
      <c r="G27" s="20"/>
      <c r="H27" s="20">
        <f>SUM(Apr!H27, May!H27, Jun!H27)</f>
        <v>0</v>
      </c>
      <c r="I27" s="19" t="str">
        <f t="shared" si="8"/>
        <v/>
      </c>
    </row>
    <row r="28" spans="1:9" ht="15.75">
      <c r="A28" s="12" t="str">
        <v xml:space="preserve"> Longmont - Bank of America</v>
      </c>
      <c r="B28" s="9" t="str">
        <v>CO</v>
      </c>
      <c r="C28" s="24">
        <f>SUM(Apr!C28, May!C28, Jun!C28)</f>
        <v>0</v>
      </c>
      <c r="D28" s="13">
        <f>SUM(Apr!D28, May!D28, Jun!D28)</f>
        <v>0</v>
      </c>
      <c r="E28" s="13">
        <f t="shared" si="6"/>
        <v>0</v>
      </c>
      <c r="F28" s="14" t="str">
        <f t="shared" si="7"/>
        <v/>
      </c>
      <c r="G28" s="15"/>
      <c r="H28" s="15">
        <f>SUM(Apr!H28, May!H28, Jun!H28)</f>
        <v>0</v>
      </c>
      <c r="I28" s="16" t="str">
        <f t="shared" si="8"/>
        <v/>
      </c>
    </row>
    <row r="29" spans="1:9" ht="15.75">
      <c r="A29" s="17" t="str">
        <v xml:space="preserve"> Thornton - Bank of America</v>
      </c>
      <c r="B29" s="10" t="str">
        <v>CO</v>
      </c>
      <c r="C29" s="11">
        <f>SUM(Apr!C29, May!C29, Jun!C29)</f>
        <v>0</v>
      </c>
      <c r="D29" s="18">
        <f>SUM(Apr!D29, May!D29, Jun!D29)</f>
        <v>0</v>
      </c>
      <c r="E29" s="18">
        <f t="shared" si="6"/>
        <v>0</v>
      </c>
      <c r="F29" s="19" t="str">
        <f t="shared" si="7"/>
        <v/>
      </c>
      <c r="G29" s="20"/>
      <c r="H29" s="20">
        <f>SUM(Apr!H29, May!H29, Jun!H29)</f>
        <v>0</v>
      </c>
      <c r="I29" s="19" t="str">
        <f t="shared" si="8"/>
        <v/>
      </c>
    </row>
    <row r="30" spans="1:9" ht="15.75">
      <c r="A30" s="12" t="str">
        <v xml:space="preserve"> Calumet City - Bank of America</v>
      </c>
      <c r="B30" s="9" t="str">
        <v>IL</v>
      </c>
      <c r="C30" s="24">
        <f>SUM(Apr!C30, May!C30, Jun!C30)</f>
        <v>0</v>
      </c>
      <c r="D30" s="13">
        <f>SUM(Apr!D30, May!D30, Jun!D30)</f>
        <v>0</v>
      </c>
      <c r="E30" s="13">
        <f t="shared" si="6"/>
        <v>0</v>
      </c>
      <c r="F30" s="14" t="str">
        <f t="shared" si="7"/>
        <v/>
      </c>
      <c r="G30" s="15"/>
      <c r="H30" s="15">
        <f>SUM(Apr!H30, May!H30, Jun!H30)</f>
        <v>0</v>
      </c>
      <c r="I30" s="16" t="str">
        <f t="shared" si="8"/>
        <v/>
      </c>
    </row>
    <row r="31" spans="1:9" ht="15.75">
      <c r="A31" s="17" t="str">
        <v xml:space="preserve"> Downers Grove - Bank of America</v>
      </c>
      <c r="B31" s="10" t="str">
        <v>IL</v>
      </c>
      <c r="C31" s="11">
        <f>SUM(Apr!C31, May!C31, Jun!C31)</f>
        <v>0</v>
      </c>
      <c r="D31" s="18">
        <f>SUM(Apr!D31, May!D31, Jun!D31)</f>
        <v>0</v>
      </c>
      <c r="E31" s="18">
        <f t="shared" si="6"/>
        <v>0</v>
      </c>
      <c r="F31" s="19" t="str">
        <f t="shared" si="7"/>
        <v/>
      </c>
      <c r="G31" s="20"/>
      <c r="H31" s="20">
        <f>SUM(Apr!H31, May!H31, Jun!H31)</f>
        <v>0</v>
      </c>
      <c r="I31" s="19" t="str">
        <f t="shared" si="8"/>
        <v/>
      </c>
    </row>
    <row r="32" spans="1:9" ht="15.75">
      <c r="A32" s="12" t="str">
        <v xml:space="preserve"> Bloomington - Bank of America</v>
      </c>
      <c r="B32" s="9" t="str">
        <v>MN</v>
      </c>
      <c r="C32" s="24">
        <f>SUM(Apr!C32, May!C32, Jun!C32)</f>
        <v>0</v>
      </c>
      <c r="D32" s="13">
        <f>SUM(Apr!D32, May!D32, Jun!D32)</f>
        <v>0</v>
      </c>
      <c r="E32" s="13">
        <f t="shared" si="6"/>
        <v>0</v>
      </c>
      <c r="F32" s="14" t="str">
        <f t="shared" si="7"/>
        <v/>
      </c>
      <c r="G32" s="15"/>
      <c r="H32" s="15">
        <f>SUM(Apr!H32, May!H32, Jun!H32)</f>
        <v>0</v>
      </c>
      <c r="I32" s="16" t="str">
        <f t="shared" si="8"/>
        <v/>
      </c>
    </row>
    <row r="33" spans="1:9" ht="15.75">
      <c r="A33" s="17" t="str">
        <v xml:space="preserve"> Clayton - Bank of America</v>
      </c>
      <c r="B33" s="10" t="str">
        <v>MO</v>
      </c>
      <c r="C33" s="11">
        <f>SUM(Apr!C33, May!C33, Jun!C33)</f>
        <v>0</v>
      </c>
      <c r="D33" s="18">
        <f>SUM(Apr!D33, May!D33, Jun!D33)</f>
        <v>0</v>
      </c>
      <c r="E33" s="18">
        <f t="shared" si="6"/>
        <v>0</v>
      </c>
      <c r="F33" s="19" t="str">
        <f t="shared" si="7"/>
        <v/>
      </c>
      <c r="G33" s="20"/>
      <c r="H33" s="20">
        <f>SUM(Apr!H33, May!H33, Jun!H33)</f>
        <v>0</v>
      </c>
      <c r="I33" s="19" t="str">
        <f t="shared" si="8"/>
        <v/>
      </c>
    </row>
    <row r="34" spans="1:9" ht="15.75">
      <c r="A34" s="12" t="str">
        <v xml:space="preserve"> Manchester - Bank of America</v>
      </c>
      <c r="B34" s="9" t="str">
        <v>MO</v>
      </c>
      <c r="C34" s="24">
        <f>SUM(Apr!C34, May!C34, Jun!C34)</f>
        <v>0</v>
      </c>
      <c r="D34" s="13">
        <f>SUM(Apr!D34, May!D34, Jun!D34)</f>
        <v>0</v>
      </c>
      <c r="E34" s="13">
        <f t="shared" si="6"/>
        <v>0</v>
      </c>
      <c r="F34" s="14" t="str">
        <f t="shared" si="7"/>
        <v/>
      </c>
      <c r="G34" s="15"/>
      <c r="H34" s="15">
        <f>SUM(Apr!H34, May!H34, Jun!H34)</f>
        <v>0</v>
      </c>
      <c r="I34" s="16" t="str">
        <f t="shared" si="8"/>
        <v/>
      </c>
    </row>
    <row r="35" spans="1:9" ht="15.75">
      <c r="A35" s="17" t="str">
        <v xml:space="preserve"> Las Vegas - BA - Eastern Ave</v>
      </c>
      <c r="B35" s="10" t="str">
        <v>NV</v>
      </c>
      <c r="C35" s="11">
        <f>SUM(Apr!C35, May!C35, Jun!C35)</f>
        <v>0</v>
      </c>
      <c r="D35" s="18">
        <f>SUM(Apr!D35, May!D35, Jun!D35)</f>
        <v>0</v>
      </c>
      <c r="E35" s="18">
        <f t="shared" si="6"/>
        <v>0</v>
      </c>
      <c r="F35" s="19" t="str">
        <f t="shared" si="7"/>
        <v/>
      </c>
      <c r="G35" s="20"/>
      <c r="H35" s="20">
        <f>SUM(Apr!H35, May!H35, Jun!H35)</f>
        <v>0</v>
      </c>
      <c r="I35" s="19" t="str">
        <f t="shared" si="8"/>
        <v/>
      </c>
    </row>
    <row r="36" spans="1:9" ht="15.75">
      <c r="A36" s="12" t="str">
        <v xml:space="preserve"> Las Vegas - BA - Town Ctr Dr</v>
      </c>
      <c r="B36" s="9" t="str">
        <v>NV</v>
      </c>
      <c r="C36" s="24">
        <f>SUM(Apr!C36, May!C36, Jun!C36)</f>
        <v>0</v>
      </c>
      <c r="D36" s="13">
        <f>SUM(Apr!D36, May!D36, Jun!D36)</f>
        <v>0</v>
      </c>
      <c r="E36" s="13">
        <f t="shared" si="6"/>
        <v>0</v>
      </c>
      <c r="F36" s="14" t="str">
        <f t="shared" si="7"/>
        <v/>
      </c>
      <c r="G36" s="15"/>
      <c r="H36" s="15">
        <f>SUM(Apr!H36, May!H36, Jun!H36)</f>
        <v>0</v>
      </c>
      <c r="I36" s="16" t="str">
        <f t="shared" si="8"/>
        <v/>
      </c>
    </row>
    <row r="37" spans="1:9" ht="15.75">
      <c r="A37" s="17" t="str">
        <v xml:space="preserve"> Riverton - Bank of America</v>
      </c>
      <c r="B37" s="10" t="str">
        <v>UT</v>
      </c>
      <c r="C37" s="11">
        <f>SUM(Apr!C37, May!C37, Jun!C37)</f>
        <v>0</v>
      </c>
      <c r="D37" s="18">
        <f>SUM(Apr!D37, May!D37, Jun!D37)</f>
        <v>0</v>
      </c>
      <c r="E37" s="18">
        <f t="shared" si="6"/>
        <v>0</v>
      </c>
      <c r="F37" s="19" t="str">
        <f t="shared" si="7"/>
        <v/>
      </c>
      <c r="G37" s="20"/>
      <c r="H37" s="20">
        <f>SUM(Apr!H37, May!H37, Jun!H37)</f>
        <v>0</v>
      </c>
      <c r="I37" s="19" t="str">
        <f t="shared" si="8"/>
        <v/>
      </c>
    </row>
    <row r="38" spans="1:9" ht="15.75">
      <c r="A38" s="12" t="str">
        <v xml:space="preserve"> Salt Lake City - Bank of America</v>
      </c>
      <c r="B38" s="9" t="str">
        <v>UT</v>
      </c>
      <c r="C38" s="24">
        <f>SUM(Apr!C38, May!C38, Jun!C38)</f>
        <v>0</v>
      </c>
      <c r="D38" s="13">
        <f>SUM(Apr!D38, May!D38, Jun!D38)</f>
        <v>0</v>
      </c>
      <c r="E38" s="13">
        <f t="shared" si="6"/>
        <v>0</v>
      </c>
      <c r="F38" s="14" t="str">
        <f t="shared" si="7"/>
        <v/>
      </c>
      <c r="G38" s="15"/>
      <c r="H38" s="15">
        <f>SUM(Apr!H38, May!H38, Jun!H38)</f>
        <v>0</v>
      </c>
      <c r="I38" s="16" t="str">
        <f t="shared" si="8"/>
        <v/>
      </c>
    </row>
    <row r="39" spans="1:9">
      <c r="A39" s="21"/>
      <c r="B39" s="21"/>
      <c r="C39" s="21"/>
      <c r="D39" s="21"/>
      <c r="E39" s="21"/>
      <c r="F39" s="22"/>
      <c r="G39" s="21"/>
      <c r="H39" s="21"/>
      <c r="I39" s="22"/>
    </row>
    <row r="40" spans="1:9">
      <c r="A40" s="21"/>
      <c r="B40" s="21"/>
      <c r="C40" s="21"/>
      <c r="D40" s="21"/>
      <c r="E40" s="21"/>
      <c r="F40" s="22"/>
      <c r="G40" s="21"/>
      <c r="H40" s="21"/>
      <c r="I40" s="22"/>
    </row>
    <row r="41" spans="1:9">
      <c r="A41" s="21"/>
      <c r="B41" s="21"/>
      <c r="C41" s="21"/>
      <c r="D41" s="21"/>
      <c r="E41" s="21"/>
      <c r="F41" s="22"/>
      <c r="G41" s="21"/>
      <c r="H41" s="21"/>
      <c r="I41" s="22"/>
    </row>
    <row r="42" spans="1:9">
      <c r="A42" s="21"/>
      <c r="B42" s="21"/>
      <c r="C42" s="21"/>
      <c r="D42" s="21"/>
      <c r="E42" s="21"/>
      <c r="F42" s="22"/>
      <c r="G42" s="21"/>
      <c r="H42" s="21"/>
      <c r="I42" s="22"/>
    </row>
    <row r="43" spans="1:9">
      <c r="A43" s="21"/>
      <c r="B43" s="21"/>
      <c r="C43" s="21"/>
      <c r="D43" s="21"/>
      <c r="E43" s="21"/>
      <c r="F43" s="22"/>
      <c r="G43" s="21"/>
      <c r="H43" s="21"/>
      <c r="I43" s="22"/>
    </row>
    <row r="44" spans="1:9">
      <c r="A44" s="21"/>
      <c r="B44" s="21"/>
      <c r="C44" s="21"/>
      <c r="D44" s="21"/>
      <c r="E44" s="21"/>
      <c r="F44" s="22"/>
      <c r="G44" s="21"/>
      <c r="H44" s="21"/>
      <c r="I44" s="22"/>
    </row>
    <row r="45" spans="1:9">
      <c r="A45" s="21"/>
      <c r="B45" s="21"/>
      <c r="C45" s="21"/>
      <c r="D45" s="21"/>
      <c r="E45" s="21"/>
      <c r="F45" s="22"/>
      <c r="G45" s="21"/>
      <c r="H45" s="21"/>
      <c r="I45" s="22"/>
    </row>
    <row r="46" spans="1:9">
      <c r="A46" s="21"/>
      <c r="B46" s="21"/>
      <c r="C46" s="21"/>
      <c r="D46" s="21"/>
      <c r="E46" s="21"/>
      <c r="F46" s="22"/>
      <c r="G46" s="21"/>
      <c r="H46" s="21"/>
      <c r="I46" s="22"/>
    </row>
    <row r="47" spans="1:9">
      <c r="A47" s="21"/>
      <c r="B47" s="21"/>
      <c r="C47" s="21"/>
      <c r="D47" s="21"/>
      <c r="E47" s="21"/>
      <c r="F47" s="22"/>
      <c r="G47" s="21"/>
      <c r="H47" s="21"/>
      <c r="I47" s="22"/>
    </row>
    <row r="48" spans="1:9">
      <c r="A48" s="21"/>
      <c r="B48" s="21"/>
      <c r="C48" s="21"/>
      <c r="D48" s="21"/>
      <c r="E48" s="21"/>
      <c r="F48" s="22"/>
      <c r="G48" s="21"/>
      <c r="H48" s="21"/>
      <c r="I48" s="22"/>
    </row>
    <row r="49" spans="1:9">
      <c r="A49" s="21"/>
      <c r="B49" s="21"/>
      <c r="C49" s="21"/>
      <c r="D49" s="21"/>
      <c r="E49" s="21"/>
      <c r="F49" s="22"/>
      <c r="G49" s="21"/>
      <c r="H49" s="21"/>
      <c r="I49" s="22"/>
    </row>
    <row r="50" spans="1:9">
      <c r="A50" s="21"/>
      <c r="B50" s="21"/>
      <c r="C50" s="21"/>
      <c r="D50" s="21"/>
      <c r="E50" s="21"/>
      <c r="F50" s="22"/>
      <c r="G50" s="21"/>
      <c r="H50" s="21"/>
      <c r="I50" s="22"/>
    </row>
    <row r="51" spans="1:9">
      <c r="A51" s="21"/>
      <c r="B51" s="21"/>
      <c r="C51" s="21"/>
      <c r="D51" s="21"/>
      <c r="E51" s="21"/>
      <c r="F51" s="22"/>
      <c r="G51" s="21"/>
      <c r="H51" s="21"/>
      <c r="I51" s="22"/>
    </row>
    <row r="52" spans="1:9">
      <c r="A52" s="21"/>
      <c r="B52" s="21"/>
      <c r="C52" s="21"/>
      <c r="D52" s="21"/>
      <c r="E52" s="21"/>
      <c r="F52" s="22"/>
      <c r="G52" s="21"/>
      <c r="H52" s="21"/>
      <c r="I52" s="22"/>
    </row>
    <row r="53" spans="1:9">
      <c r="A53" s="21"/>
      <c r="B53" s="21"/>
      <c r="C53" s="21"/>
      <c r="D53" s="21"/>
      <c r="E53" s="21"/>
      <c r="F53" s="22"/>
      <c r="G53" s="21"/>
      <c r="H53" s="21"/>
      <c r="I53" s="22"/>
    </row>
    <row r="54" spans="1:9">
      <c r="A54" s="21"/>
      <c r="B54" s="21"/>
      <c r="C54" s="21"/>
      <c r="D54" s="21"/>
      <c r="E54" s="21"/>
      <c r="F54" s="22"/>
      <c r="G54" s="21"/>
      <c r="H54" s="21"/>
      <c r="I54" s="22"/>
    </row>
    <row r="55" spans="1:9">
      <c r="A55" s="21"/>
      <c r="B55" s="21"/>
      <c r="C55" s="21"/>
      <c r="D55" s="21"/>
      <c r="E55" s="21"/>
      <c r="F55" s="22"/>
      <c r="G55" s="21"/>
      <c r="H55" s="21"/>
      <c r="I55" s="22"/>
    </row>
    <row r="56" spans="1:9">
      <c r="A56" s="21"/>
      <c r="B56" s="21"/>
      <c r="C56" s="21"/>
      <c r="D56" s="21"/>
      <c r="E56" s="21"/>
      <c r="F56" s="22"/>
      <c r="G56" s="21"/>
      <c r="H56" s="21"/>
      <c r="I56" s="22"/>
    </row>
    <row r="57" spans="1:9">
      <c r="A57" s="21"/>
      <c r="B57" s="21"/>
      <c r="C57" s="21"/>
      <c r="D57" s="21"/>
      <c r="E57" s="21"/>
      <c r="F57" s="22"/>
      <c r="G57" s="21"/>
      <c r="H57" s="21"/>
      <c r="I57" s="22"/>
    </row>
    <row r="58" spans="1:9">
      <c r="A58" s="21"/>
      <c r="B58" s="21"/>
      <c r="C58" s="21"/>
      <c r="D58" s="21"/>
      <c r="E58" s="21"/>
      <c r="F58" s="22"/>
      <c r="G58" s="21"/>
      <c r="H58" s="21"/>
      <c r="I58" s="22"/>
    </row>
    <row r="59" spans="1:9">
      <c r="A59" s="21"/>
      <c r="B59" s="21"/>
      <c r="C59" s="21"/>
      <c r="D59" s="21"/>
      <c r="E59" s="21"/>
      <c r="F59" s="22"/>
      <c r="G59" s="21"/>
      <c r="H59" s="21"/>
      <c r="I59" s="22"/>
    </row>
    <row r="60" spans="1:9">
      <c r="A60" s="21"/>
      <c r="B60" s="21"/>
      <c r="C60" s="21"/>
      <c r="D60" s="21"/>
      <c r="E60" s="21"/>
      <c r="F60" s="22"/>
      <c r="G60" s="21"/>
      <c r="H60" s="21"/>
      <c r="I60" s="22"/>
    </row>
    <row r="61" spans="1:9">
      <c r="A61" s="21"/>
      <c r="B61" s="21"/>
      <c r="C61" s="21"/>
      <c r="D61" s="21"/>
      <c r="E61" s="21"/>
      <c r="F61" s="22"/>
      <c r="G61" s="21"/>
      <c r="H61" s="21"/>
      <c r="I61" s="22"/>
    </row>
    <row r="62" spans="1:9">
      <c r="A62" s="21"/>
      <c r="B62" s="21"/>
      <c r="C62" s="21"/>
      <c r="D62" s="21"/>
      <c r="E62" s="21"/>
      <c r="F62" s="22"/>
      <c r="G62" s="21"/>
      <c r="H62" s="21"/>
      <c r="I62" s="22"/>
    </row>
    <row r="63" spans="1:9">
      <c r="A63" s="21"/>
      <c r="B63" s="21"/>
      <c r="C63" s="21"/>
      <c r="D63" s="21"/>
      <c r="E63" s="21"/>
      <c r="F63" s="22"/>
      <c r="G63" s="21"/>
      <c r="H63" s="21"/>
      <c r="I63" s="22"/>
    </row>
    <row r="64" spans="1:9">
      <c r="A64" s="21"/>
      <c r="B64" s="21"/>
      <c r="C64" s="21"/>
      <c r="D64" s="21"/>
      <c r="E64" s="21"/>
      <c r="F64" s="22"/>
      <c r="G64" s="21"/>
      <c r="H64" s="21"/>
      <c r="I64" s="22"/>
    </row>
    <row r="65" spans="1:9">
      <c r="A65" s="21"/>
      <c r="B65" s="21"/>
      <c r="C65" s="21"/>
      <c r="D65" s="21"/>
      <c r="E65" s="21"/>
      <c r="F65" s="22"/>
      <c r="G65" s="21"/>
      <c r="H65" s="21"/>
      <c r="I65" s="22"/>
    </row>
    <row r="66" spans="1:9">
      <c r="A66" s="21"/>
      <c r="B66" s="21"/>
      <c r="C66" s="21"/>
      <c r="D66" s="21"/>
      <c r="E66" s="21"/>
      <c r="F66" s="22"/>
      <c r="G66" s="21"/>
      <c r="H66" s="21"/>
      <c r="I66" s="22"/>
    </row>
    <row r="67" spans="1:9">
      <c r="A67" s="21"/>
      <c r="B67" s="21"/>
      <c r="C67" s="21"/>
      <c r="D67" s="21"/>
      <c r="E67" s="21"/>
      <c r="F67" s="22"/>
      <c r="G67" s="21"/>
      <c r="H67" s="21"/>
      <c r="I67" s="22"/>
    </row>
    <row r="68" spans="1:9">
      <c r="A68" s="21"/>
      <c r="B68" s="21"/>
      <c r="C68" s="21"/>
      <c r="D68" s="21"/>
      <c r="E68" s="21"/>
      <c r="F68" s="22"/>
      <c r="G68" s="21"/>
      <c r="H68" s="21"/>
      <c r="I68" s="22"/>
    </row>
    <row r="69" spans="1:9">
      <c r="A69" s="21"/>
      <c r="B69" s="21"/>
      <c r="C69" s="21"/>
      <c r="D69" s="21"/>
      <c r="E69" s="21"/>
      <c r="F69" s="22"/>
      <c r="G69" s="21"/>
      <c r="H69" s="21"/>
      <c r="I69" s="22"/>
    </row>
    <row r="70" spans="1:9">
      <c r="A70" s="21"/>
      <c r="B70" s="21"/>
      <c r="C70" s="21"/>
      <c r="D70" s="21"/>
      <c r="E70" s="21"/>
      <c r="F70" s="22"/>
      <c r="G70" s="21"/>
      <c r="H70" s="21"/>
      <c r="I70" s="22"/>
    </row>
    <row r="71" spans="1:9">
      <c r="A71" s="21"/>
      <c r="B71" s="21"/>
      <c r="C71" s="21"/>
      <c r="D71" s="21"/>
      <c r="E71" s="21"/>
      <c r="F71" s="22"/>
      <c r="G71" s="21"/>
      <c r="H71" s="21"/>
      <c r="I71" s="22"/>
    </row>
    <row r="72" spans="1:9">
      <c r="A72" s="21"/>
      <c r="B72" s="21"/>
      <c r="C72" s="21"/>
      <c r="D72" s="21"/>
      <c r="E72" s="21"/>
      <c r="F72" s="22"/>
      <c r="G72" s="21"/>
      <c r="H72" s="21"/>
      <c r="I72" s="22"/>
    </row>
    <row r="73" spans="1:9">
      <c r="A73" s="21"/>
      <c r="B73" s="21"/>
      <c r="C73" s="21"/>
      <c r="D73" s="21"/>
      <c r="E73" s="21"/>
      <c r="F73" s="22"/>
      <c r="G73" s="21"/>
      <c r="H73" s="21"/>
      <c r="I73" s="22"/>
    </row>
    <row r="74" spans="1:9">
      <c r="A74" s="21"/>
      <c r="B74" s="21"/>
      <c r="C74" s="21"/>
      <c r="D74" s="21"/>
      <c r="E74" s="21"/>
      <c r="F74" s="22"/>
      <c r="G74" s="21"/>
      <c r="H74" s="21"/>
      <c r="I74" s="22"/>
    </row>
    <row r="75" spans="1:9">
      <c r="A75" s="21"/>
      <c r="B75" s="21"/>
      <c r="C75" s="21"/>
      <c r="D75" s="21"/>
      <c r="E75" s="21"/>
      <c r="F75" s="22"/>
      <c r="G75" s="21"/>
      <c r="H75" s="21"/>
      <c r="I75" s="22"/>
    </row>
    <row r="76" spans="1:9">
      <c r="A76" s="21"/>
      <c r="B76" s="21"/>
      <c r="C76" s="21"/>
      <c r="D76" s="21"/>
      <c r="E76" s="21"/>
      <c r="F76" s="22"/>
      <c r="G76" s="21"/>
      <c r="H76" s="21"/>
      <c r="I76" s="22"/>
    </row>
    <row r="77" spans="1:9">
      <c r="A77" s="21"/>
      <c r="B77" s="21"/>
      <c r="C77" s="21"/>
      <c r="D77" s="21"/>
      <c r="E77" s="21"/>
      <c r="F77" s="22"/>
      <c r="G77" s="21"/>
      <c r="H77" s="21"/>
      <c r="I77" s="22"/>
    </row>
    <row r="78" spans="1:9">
      <c r="A78" s="21"/>
      <c r="B78" s="21"/>
      <c r="C78" s="21"/>
      <c r="D78" s="21"/>
      <c r="E78" s="21"/>
      <c r="F78" s="22"/>
      <c r="G78" s="21"/>
      <c r="H78" s="21"/>
      <c r="I78" s="22"/>
    </row>
    <row r="79" spans="1:9">
      <c r="A79" s="21"/>
      <c r="B79" s="21"/>
      <c r="C79" s="21"/>
      <c r="D79" s="21"/>
      <c r="E79" s="21"/>
      <c r="F79" s="22"/>
      <c r="G79" s="21"/>
      <c r="H79" s="21"/>
      <c r="I79" s="22"/>
    </row>
    <row r="80" spans="1:9">
      <c r="A80" s="21"/>
      <c r="B80" s="21"/>
      <c r="C80" s="21"/>
      <c r="D80" s="21"/>
      <c r="E80" s="21"/>
      <c r="F80" s="22"/>
      <c r="G80" s="21"/>
      <c r="H80" s="21"/>
      <c r="I80" s="22"/>
    </row>
    <row r="81" spans="1:9">
      <c r="A81" s="21"/>
      <c r="B81" s="21"/>
      <c r="C81" s="21"/>
      <c r="D81" s="21"/>
      <c r="E81" s="21"/>
      <c r="F81" s="22"/>
      <c r="G81" s="21"/>
      <c r="H81" s="21"/>
      <c r="I81" s="22"/>
    </row>
    <row r="82" spans="1:9">
      <c r="A82" s="21"/>
      <c r="B82" s="21"/>
      <c r="C82" s="21"/>
      <c r="D82" s="21"/>
      <c r="E82" s="21"/>
      <c r="F82" s="22"/>
      <c r="G82" s="21"/>
      <c r="H82" s="21"/>
      <c r="I82" s="22"/>
    </row>
    <row r="83" spans="1:9">
      <c r="A83" s="21"/>
      <c r="B83" s="21"/>
      <c r="C83" s="21"/>
      <c r="D83" s="21"/>
      <c r="E83" s="21"/>
      <c r="F83" s="22"/>
      <c r="G83" s="21"/>
      <c r="H83" s="21"/>
      <c r="I83" s="22"/>
    </row>
    <row r="84" spans="1:9">
      <c r="A84" s="21"/>
      <c r="B84" s="21"/>
      <c r="C84" s="21"/>
      <c r="D84" s="21"/>
      <c r="E84" s="21"/>
      <c r="F84" s="22"/>
      <c r="G84" s="21"/>
      <c r="H84" s="21"/>
      <c r="I84" s="22"/>
    </row>
    <row r="85" spans="1:9">
      <c r="A85" s="21"/>
      <c r="B85" s="21"/>
      <c r="C85" s="21"/>
      <c r="D85" s="21"/>
      <c r="E85" s="21"/>
      <c r="F85" s="22"/>
      <c r="G85" s="21"/>
      <c r="H85" s="21"/>
      <c r="I85" s="22"/>
    </row>
    <row r="86" spans="1:9">
      <c r="A86" s="21"/>
      <c r="B86" s="21"/>
      <c r="C86" s="21"/>
      <c r="D86" s="21"/>
      <c r="E86" s="21"/>
      <c r="F86" s="22"/>
      <c r="G86" s="21"/>
      <c r="H86" s="21"/>
      <c r="I86" s="22"/>
    </row>
    <row r="87" spans="1:9">
      <c r="A87" s="21"/>
      <c r="B87" s="21"/>
      <c r="C87" s="21"/>
      <c r="D87" s="21"/>
      <c r="E87" s="21"/>
      <c r="F87" s="22"/>
      <c r="G87" s="21"/>
      <c r="H87" s="21"/>
      <c r="I87" s="22"/>
    </row>
    <row r="88" spans="1:9">
      <c r="A88" s="21"/>
      <c r="B88" s="21"/>
      <c r="C88" s="21"/>
      <c r="D88" s="21"/>
      <c r="E88" s="21"/>
      <c r="F88" s="22"/>
      <c r="G88" s="21"/>
      <c r="H88" s="21"/>
      <c r="I88" s="22"/>
    </row>
    <row r="89" spans="1:9">
      <c r="A89" s="21"/>
      <c r="B89" s="21"/>
      <c r="C89" s="21"/>
      <c r="D89" s="21"/>
      <c r="E89" s="21"/>
      <c r="F89" s="22"/>
      <c r="G89" s="21"/>
      <c r="H89" s="21"/>
      <c r="I89" s="22"/>
    </row>
    <row r="90" spans="1:9">
      <c r="A90" s="21"/>
      <c r="B90" s="21"/>
      <c r="C90" s="21"/>
      <c r="D90" s="21"/>
      <c r="E90" s="21"/>
      <c r="F90" s="22"/>
      <c r="G90" s="21"/>
      <c r="H90" s="21"/>
      <c r="I90" s="22"/>
    </row>
    <row r="91" spans="1:9">
      <c r="A91" s="21"/>
      <c r="B91" s="21"/>
      <c r="C91" s="21"/>
      <c r="D91" s="21"/>
      <c r="E91" s="21"/>
      <c r="F91" s="22"/>
      <c r="G91" s="21"/>
      <c r="H91" s="21"/>
      <c r="I91" s="22"/>
    </row>
    <row r="92" spans="1:9">
      <c r="A92" s="21"/>
      <c r="B92" s="21"/>
      <c r="C92" s="21"/>
      <c r="D92" s="21"/>
      <c r="E92" s="21"/>
      <c r="F92" s="22"/>
      <c r="G92" s="21"/>
      <c r="H92" s="21"/>
      <c r="I92" s="22"/>
    </row>
    <row r="93" spans="1:9">
      <c r="A93" s="21"/>
      <c r="B93" s="21"/>
      <c r="C93" s="21"/>
      <c r="D93" s="21"/>
      <c r="E93" s="21"/>
      <c r="F93" s="22"/>
      <c r="G93" s="21"/>
      <c r="H93" s="21"/>
      <c r="I93" s="22"/>
    </row>
    <row r="94" spans="1:9">
      <c r="A94" s="21"/>
      <c r="B94" s="21"/>
      <c r="C94" s="21"/>
      <c r="D94" s="21"/>
      <c r="E94" s="21"/>
      <c r="F94" s="22"/>
      <c r="G94" s="21"/>
      <c r="H94" s="21"/>
      <c r="I94" s="22"/>
    </row>
    <row r="95" spans="1:9">
      <c r="A95" s="21"/>
      <c r="B95" s="21"/>
      <c r="C95" s="21"/>
      <c r="D95" s="21"/>
      <c r="E95" s="21"/>
      <c r="F95" s="22"/>
      <c r="G95" s="21"/>
      <c r="H95" s="21"/>
      <c r="I95" s="22"/>
    </row>
    <row r="96" spans="1:9">
      <c r="A96" s="21"/>
      <c r="B96" s="21"/>
      <c r="C96" s="21"/>
      <c r="D96" s="21"/>
      <c r="E96" s="21"/>
      <c r="F96" s="22"/>
      <c r="G96" s="21"/>
      <c r="H96" s="21"/>
      <c r="I96" s="22"/>
    </row>
    <row r="97" spans="1:9">
      <c r="A97" s="21"/>
      <c r="B97" s="21"/>
      <c r="C97" s="21"/>
      <c r="D97" s="21"/>
      <c r="E97" s="21"/>
      <c r="F97" s="22"/>
      <c r="G97" s="21"/>
      <c r="H97" s="21"/>
      <c r="I97" s="22"/>
    </row>
    <row r="98" spans="1:9">
      <c r="A98" s="21"/>
      <c r="B98" s="21"/>
      <c r="C98" s="21"/>
      <c r="D98" s="21"/>
      <c r="E98" s="21"/>
      <c r="F98" s="22"/>
      <c r="G98" s="21"/>
      <c r="H98" s="21"/>
      <c r="I98" s="22"/>
    </row>
    <row r="99" spans="1:9">
      <c r="A99" s="21"/>
      <c r="B99" s="21"/>
      <c r="C99" s="21"/>
      <c r="D99" s="21"/>
      <c r="E99" s="21"/>
      <c r="F99" s="22"/>
      <c r="G99" s="21"/>
      <c r="H99" s="21"/>
      <c r="I99" s="22"/>
    </row>
    <row r="100" spans="1: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>
      <c r="A329" s="21"/>
      <c r="B329" s="21"/>
      <c r="C329" s="21"/>
      <c r="D329" s="21"/>
      <c r="E329" s="21"/>
      <c r="F329" s="22"/>
      <c r="G329" s="21"/>
      <c r="H329" s="21"/>
      <c r="I329" s="22"/>
    </row>
    <row r="330" spans="1:9">
      <c r="A330" s="21"/>
      <c r="B330" s="21"/>
      <c r="C330" s="21"/>
      <c r="D330" s="21"/>
      <c r="E330" s="21"/>
      <c r="F330" s="22"/>
      <c r="G330" s="21"/>
      <c r="H330" s="21"/>
      <c r="I330" s="22"/>
    </row>
    <row r="331" spans="1:9">
      <c r="A331" s="21"/>
      <c r="B331" s="21"/>
      <c r="C331" s="21"/>
      <c r="D331" s="21"/>
      <c r="E331" s="21"/>
      <c r="F331" s="22"/>
      <c r="G331" s="21"/>
      <c r="H331" s="21"/>
      <c r="I331" s="22"/>
    </row>
    <row r="332" spans="1:9">
      <c r="A332" s="21"/>
      <c r="B332" s="21"/>
      <c r="C332" s="21"/>
      <c r="D332" s="21"/>
      <c r="E332" s="21"/>
      <c r="F332" s="22"/>
      <c r="G332" s="21"/>
      <c r="H332" s="21"/>
      <c r="I332" s="22"/>
    </row>
    <row r="333" spans="1:9">
      <c r="A333" s="21"/>
      <c r="B333" s="21"/>
      <c r="C333" s="21"/>
      <c r="D333" s="21"/>
      <c r="E333" s="21"/>
      <c r="F333" s="22"/>
      <c r="G333" s="21"/>
      <c r="H333" s="21"/>
      <c r="I333" s="22"/>
    </row>
    <row r="334" spans="1:9">
      <c r="A334" s="21"/>
      <c r="B334" s="21"/>
      <c r="C334" s="21"/>
      <c r="D334" s="21"/>
      <c r="E334" s="21"/>
      <c r="F334" s="22"/>
      <c r="G334" s="21"/>
      <c r="H334" s="21"/>
      <c r="I334" s="22"/>
    </row>
    <row r="335" spans="1:9">
      <c r="A335" s="21"/>
      <c r="B335" s="21"/>
      <c r="C335" s="21"/>
      <c r="D335" s="21"/>
      <c r="E335" s="21"/>
      <c r="F335" s="22"/>
      <c r="G335" s="21"/>
      <c r="H335" s="21"/>
      <c r="I335" s="22"/>
    </row>
    <row r="336" spans="1:9">
      <c r="A336" s="21"/>
      <c r="B336" s="21"/>
      <c r="C336" s="21"/>
      <c r="D336" s="21"/>
      <c r="E336" s="21"/>
      <c r="F336" s="22"/>
      <c r="G336" s="21"/>
      <c r="H336" s="21"/>
      <c r="I336" s="22"/>
    </row>
    <row r="337" spans="1:9">
      <c r="A337" s="21"/>
      <c r="B337" s="21"/>
      <c r="C337" s="21"/>
      <c r="D337" s="21"/>
      <c r="E337" s="21"/>
      <c r="F337" s="22"/>
      <c r="G337" s="21"/>
      <c r="H337" s="21"/>
      <c r="I337" s="22"/>
    </row>
    <row r="338" spans="1:9">
      <c r="A338" s="21"/>
      <c r="B338" s="21"/>
      <c r="C338" s="21"/>
      <c r="D338" s="21"/>
      <c r="E338" s="21"/>
      <c r="F338" s="22"/>
      <c r="G338" s="21"/>
      <c r="H338" s="21"/>
      <c r="I338" s="22"/>
    </row>
    <row r="339" spans="1:9">
      <c r="A339" s="21"/>
      <c r="B339" s="21"/>
      <c r="C339" s="21"/>
      <c r="D339" s="21"/>
      <c r="E339" s="21"/>
      <c r="F339" s="22"/>
      <c r="G339" s="21"/>
      <c r="H339" s="21"/>
      <c r="I339" s="22"/>
    </row>
    <row r="340" spans="1:9">
      <c r="A340" s="21"/>
      <c r="B340" s="21"/>
      <c r="C340" s="21"/>
      <c r="D340" s="21"/>
      <c r="E340" s="21"/>
      <c r="F340" s="22"/>
      <c r="G340" s="21"/>
      <c r="H340" s="21"/>
      <c r="I340" s="22"/>
    </row>
    <row r="341" spans="1:9">
      <c r="A341" s="21"/>
      <c r="B341" s="21"/>
      <c r="C341" s="21"/>
      <c r="D341" s="21"/>
      <c r="E341" s="21"/>
      <c r="F341" s="22"/>
      <c r="G341" s="21"/>
      <c r="H341" s="21"/>
      <c r="I341" s="22"/>
    </row>
    <row r="342" spans="1:9">
      <c r="A342" s="21"/>
      <c r="B342" s="21"/>
      <c r="C342" s="21"/>
      <c r="D342" s="21"/>
      <c r="E342" s="21"/>
      <c r="F342" s="22"/>
      <c r="G342" s="21"/>
      <c r="H342" s="21"/>
      <c r="I342" s="22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100 I4:I100">
    <cfRule type="cellIs" dxfId="56" priority="1" stopIfTrue="1" operator="lessThanOrEqual">
      <formula>-0.1</formula>
    </cfRule>
    <cfRule type="expression" dxfId="5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42"/>
  <sheetViews>
    <sheetView workbookViewId="0">
      <pane xSplit="2" ySplit="3" topLeftCell="C4" activePane="bottomRight" state="frozen"/>
      <selection pane="bottomRight" activeCell="A14" sqref="A14:I38"/>
      <selection pane="bottomLeft"/>
      <selection pane="topRight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7" t="str" cm="1">
        <f t="array" ref="A1">portfolio</f>
        <v>Cushman &amp; Wakefield</v>
      </c>
      <c r="B1" s="57"/>
      <c r="C1" s="57"/>
      <c r="D1" s="58" t="s">
        <v>14</v>
      </c>
      <c r="E1" s="58"/>
      <c r="F1" s="58"/>
      <c r="G1" s="56" t="s">
        <v>15</v>
      </c>
      <c r="H1" s="56"/>
      <c r="I1" s="56"/>
    </row>
    <row r="2" spans="1:9" ht="19.5" customHeight="1">
      <c r="A2" s="59" t="s">
        <v>2</v>
      </c>
      <c r="B2" s="59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75">
      <c r="A4" s="12" t="str" cm="1">
        <f t="array" ref="A4:A38">Sites[Site]</f>
        <v xml:space="preserve"> Adelanto - Bank of America</v>
      </c>
      <c r="B4" s="9" t="str" cm="1">
        <f t="array" ref="B4:B38">Sites[State]</f>
        <v>CA</v>
      </c>
      <c r="C4" s="24">
        <f>SUM(Jul!C4, Aug!C4, Sep!C4)</f>
        <v>0</v>
      </c>
      <c r="D4" s="13">
        <f>SUM(Jul!D4, Aug!D4, Sep!D4)</f>
        <v>0</v>
      </c>
      <c r="E4" s="13">
        <f>IF(AND(ISNUMBER(C4),ISNUMBER(D4)), C4-D4, "")</f>
        <v>0</v>
      </c>
      <c r="F4" s="14" t="str">
        <f>IFERROR(E4/D4, "")</f>
        <v/>
      </c>
      <c r="G4" s="15"/>
      <c r="H4" s="15">
        <f>SUM(Jul!H4, Aug!H4, Sep!H4)</f>
        <v>0</v>
      </c>
      <c r="I4" s="16" t="str">
        <f>IFERROR(H4/G4, "")</f>
        <v/>
      </c>
    </row>
    <row r="5" spans="1:9" ht="15.75">
      <c r="A5" s="17" t="str">
        <v xml:space="preserve"> Apple Valley - Bank of America</v>
      </c>
      <c r="B5" s="10" t="str">
        <v>CA</v>
      </c>
      <c r="C5" s="11">
        <f>SUM(Jul!C5, Aug!C5, Sep!C5)</f>
        <v>0</v>
      </c>
      <c r="D5" s="18">
        <f>SUM(Jul!D5, Aug!D5, Sep!D5)</f>
        <v>0</v>
      </c>
      <c r="E5" s="18">
        <f t="shared" ref="E5:E15" si="0">IF(AND(ISNUMBER(C5),ISNUMBER(D5)), C5-D5, "")</f>
        <v>0</v>
      </c>
      <c r="F5" s="19" t="str">
        <f>IFERROR(E5/D5, "")</f>
        <v/>
      </c>
      <c r="G5" s="20"/>
      <c r="H5" s="20">
        <f>SUM(Jul!H5, Aug!H5, Sep!H5)</f>
        <v>0</v>
      </c>
      <c r="I5" s="19" t="str">
        <f>IFERROR(H5/G5, "")</f>
        <v/>
      </c>
    </row>
    <row r="6" spans="1:9" ht="15.75">
      <c r="A6" s="12" t="str">
        <v xml:space="preserve"> Arvin - Bank of America</v>
      </c>
      <c r="B6" s="9" t="str">
        <v>CA</v>
      </c>
      <c r="C6" s="24">
        <f>SUM(Jul!C6, Aug!C6, Sep!C6)</f>
        <v>0</v>
      </c>
      <c r="D6" s="13">
        <f>SUM(Jul!D6, Aug!D6, Sep!D6)</f>
        <v>0</v>
      </c>
      <c r="E6" s="13">
        <f t="shared" si="0"/>
        <v>0</v>
      </c>
      <c r="F6" s="14" t="str">
        <f t="shared" ref="F6:F15" si="1">IFERROR(E6/D6, "")</f>
        <v/>
      </c>
      <c r="G6" s="15"/>
      <c r="H6" s="15">
        <f>SUM(Jul!H6, Aug!H6, Sep!H6)</f>
        <v>0</v>
      </c>
      <c r="I6" s="16" t="str">
        <f t="shared" ref="I6:I15" si="2">IFERROR(H6/G6, "")</f>
        <v/>
      </c>
    </row>
    <row r="7" spans="1:9" ht="15.75">
      <c r="A7" s="17" t="str">
        <v xml:space="preserve"> Bell - Bank of America</v>
      </c>
      <c r="B7" s="10" t="str">
        <v>CA</v>
      </c>
      <c r="C7" s="11">
        <f>SUM(Jul!C7, Aug!C7, Sep!C7)</f>
        <v>0</v>
      </c>
      <c r="D7" s="18">
        <f>SUM(Jul!D7, Aug!D7, Sep!D7)</f>
        <v>0</v>
      </c>
      <c r="E7" s="18">
        <f t="shared" si="0"/>
        <v>0</v>
      </c>
      <c r="F7" s="19" t="str">
        <f t="shared" si="1"/>
        <v/>
      </c>
      <c r="G7" s="20"/>
      <c r="H7" s="20">
        <f>SUM(Jul!H7, Aug!H7, Sep!H7)</f>
        <v>0</v>
      </c>
      <c r="I7" s="19" t="str">
        <f t="shared" si="2"/>
        <v/>
      </c>
    </row>
    <row r="8" spans="1:9" ht="15.75">
      <c r="A8" s="12" t="str">
        <v xml:space="preserve"> Chula Vista - Bank of America</v>
      </c>
      <c r="B8" s="9" t="str">
        <v>CA</v>
      </c>
      <c r="C8" s="24">
        <f>SUM(Jul!C8, Aug!C8, Sep!C8)</f>
        <v>0</v>
      </c>
      <c r="D8" s="13">
        <f>SUM(Jul!D8, Aug!D8, Sep!D8)</f>
        <v>0</v>
      </c>
      <c r="E8" s="13">
        <f t="shared" si="0"/>
        <v>0</v>
      </c>
      <c r="F8" s="14" t="str">
        <f t="shared" si="1"/>
        <v/>
      </c>
      <c r="G8" s="15"/>
      <c r="H8" s="15">
        <f>SUM(Jul!H8, Aug!H8, Sep!H8)</f>
        <v>0</v>
      </c>
      <c r="I8" s="16" t="str">
        <f t="shared" si="2"/>
        <v/>
      </c>
    </row>
    <row r="9" spans="1:9" ht="15.75">
      <c r="A9" s="17" t="str">
        <v xml:space="preserve"> Cupertino - Bank of America</v>
      </c>
      <c r="B9" s="10" t="str">
        <v>CA</v>
      </c>
      <c r="C9" s="11">
        <f>SUM(Jul!C9, Aug!C9, Sep!C9)</f>
        <v>0</v>
      </c>
      <c r="D9" s="18">
        <f>SUM(Jul!D9, Aug!D9, Sep!D9)</f>
        <v>0</v>
      </c>
      <c r="E9" s="18">
        <f t="shared" si="0"/>
        <v>0</v>
      </c>
      <c r="F9" s="19" t="str">
        <f t="shared" si="1"/>
        <v/>
      </c>
      <c r="G9" s="20"/>
      <c r="H9" s="20">
        <f>SUM(Jul!H9, Aug!H9, Sep!H9)</f>
        <v>0</v>
      </c>
      <c r="I9" s="19" t="str">
        <f t="shared" si="2"/>
        <v/>
      </c>
    </row>
    <row r="10" spans="1:9" ht="15.75">
      <c r="A10" s="12" t="str">
        <v xml:space="preserve"> Diamond Bar - Bank of America</v>
      </c>
      <c r="B10" s="9" t="str">
        <v>CA</v>
      </c>
      <c r="C10" s="24">
        <f>SUM(Jul!C10, Aug!C10, Sep!C10)</f>
        <v>0</v>
      </c>
      <c r="D10" s="13">
        <f>SUM(Jul!D10, Aug!D10, Sep!D10)</f>
        <v>0</v>
      </c>
      <c r="E10" s="13">
        <f t="shared" si="0"/>
        <v>0</v>
      </c>
      <c r="F10" s="14" t="str">
        <f t="shared" si="1"/>
        <v/>
      </c>
      <c r="G10" s="15"/>
      <c r="H10" s="15">
        <f>SUM(Jul!H10, Aug!H10, Sep!H10)</f>
        <v>0</v>
      </c>
      <c r="I10" s="16" t="str">
        <f t="shared" si="2"/>
        <v/>
      </c>
    </row>
    <row r="11" spans="1:9" ht="15.75">
      <c r="A11" s="17" t="str">
        <v xml:space="preserve"> El Centro - Bank of America</v>
      </c>
      <c r="B11" s="10" t="str">
        <v>CA</v>
      </c>
      <c r="C11" s="11">
        <f>SUM(Jul!C11, Aug!C11, Sep!C11)</f>
        <v>0</v>
      </c>
      <c r="D11" s="18">
        <f>SUM(Jul!D11, Aug!D11, Sep!D11)</f>
        <v>0</v>
      </c>
      <c r="E11" s="18">
        <f t="shared" si="0"/>
        <v>0</v>
      </c>
      <c r="F11" s="19" t="str">
        <f t="shared" si="1"/>
        <v/>
      </c>
      <c r="G11" s="20"/>
      <c r="H11" s="20">
        <f>SUM(Jul!H11, Aug!H11, Sep!H11)</f>
        <v>0</v>
      </c>
      <c r="I11" s="19" t="str">
        <f t="shared" si="2"/>
        <v/>
      </c>
    </row>
    <row r="12" spans="1:9" ht="15.75">
      <c r="A12" s="12" t="str">
        <v xml:space="preserve"> Moreno Valley - Bank of America</v>
      </c>
      <c r="B12" s="9" t="str">
        <v>CA</v>
      </c>
      <c r="C12" s="24">
        <f>SUM(Jul!C12, Aug!C12, Sep!C12)</f>
        <v>0</v>
      </c>
      <c r="D12" s="13">
        <f>SUM(Jul!D12, Aug!D12, Sep!D12)</f>
        <v>0</v>
      </c>
      <c r="E12" s="13">
        <f t="shared" si="0"/>
        <v>0</v>
      </c>
      <c r="F12" s="14" t="str">
        <f t="shared" si="1"/>
        <v/>
      </c>
      <c r="G12" s="15"/>
      <c r="H12" s="15">
        <f>SUM(Jul!H12, Aug!H12, Sep!H12)</f>
        <v>0</v>
      </c>
      <c r="I12" s="16" t="str">
        <f t="shared" si="2"/>
        <v/>
      </c>
    </row>
    <row r="13" spans="1:9" ht="15.75">
      <c r="A13" s="17" t="str">
        <v xml:space="preserve"> Redlands - Bank of America</v>
      </c>
      <c r="B13" s="10" t="str">
        <v>CA</v>
      </c>
      <c r="C13" s="11">
        <f>SUM(Jul!C13, Aug!C13, Sep!C13)</f>
        <v>0</v>
      </c>
      <c r="D13" s="18">
        <f>SUM(Jul!D13, Aug!D13, Sep!D13)</f>
        <v>0</v>
      </c>
      <c r="E13" s="18">
        <f t="shared" si="0"/>
        <v>0</v>
      </c>
      <c r="F13" s="19" t="str">
        <f t="shared" si="1"/>
        <v/>
      </c>
      <c r="G13" s="20"/>
      <c r="H13" s="20">
        <f>SUM(Jul!H13, Aug!H13, Sep!H13)</f>
        <v>0</v>
      </c>
      <c r="I13" s="19" t="str">
        <f t="shared" si="2"/>
        <v/>
      </c>
    </row>
    <row r="14" spans="1:9" ht="15.75">
      <c r="A14" s="12" t="str">
        <v xml:space="preserve"> Roseville - Bank of America</v>
      </c>
      <c r="B14" s="9" t="str">
        <v>CA</v>
      </c>
      <c r="C14" s="24">
        <f>SUM(Jul!C14, Aug!C14, Sep!C14)</f>
        <v>0</v>
      </c>
      <c r="D14" s="13">
        <f>SUM(Jul!D14, Aug!D14, Sep!D14)</f>
        <v>0</v>
      </c>
      <c r="E14" s="13">
        <f t="shared" si="0"/>
        <v>0</v>
      </c>
      <c r="F14" s="14" t="str">
        <f t="shared" si="1"/>
        <v/>
      </c>
      <c r="G14" s="15"/>
      <c r="H14" s="15">
        <f>SUM(Jul!H14, Aug!H14, Sep!H14)</f>
        <v>0</v>
      </c>
      <c r="I14" s="16" t="str">
        <f t="shared" si="2"/>
        <v/>
      </c>
    </row>
    <row r="15" spans="1:9" ht="15.75">
      <c r="A15" s="17" t="str">
        <v xml:space="preserve"> San Bernardino - Bank of America</v>
      </c>
      <c r="B15" s="10" t="str">
        <v>CA</v>
      </c>
      <c r="C15" s="11">
        <f>SUM(Jul!C15, Aug!C15, Sep!C15)</f>
        <v>0</v>
      </c>
      <c r="D15" s="18">
        <f>SUM(Jul!D15, Aug!D15, Sep!D15)</f>
        <v>0</v>
      </c>
      <c r="E15" s="18">
        <f t="shared" si="0"/>
        <v>0</v>
      </c>
      <c r="F15" s="19" t="str">
        <f t="shared" si="1"/>
        <v/>
      </c>
      <c r="G15" s="20"/>
      <c r="H15" s="20">
        <f>SUM(Jul!H15, Aug!H15, Sep!H15)</f>
        <v>0</v>
      </c>
      <c r="I15" s="19" t="str">
        <f t="shared" si="2"/>
        <v/>
      </c>
    </row>
    <row r="16" spans="1:9" ht="15.75">
      <c r="A16" s="12" t="str">
        <v xml:space="preserve"> San Diego - Bank of America</v>
      </c>
      <c r="B16" s="9" t="str">
        <v>CA</v>
      </c>
      <c r="C16" s="24">
        <f>SUM(Jul!C16, Aug!C16, Sep!C16)</f>
        <v>0</v>
      </c>
      <c r="D16" s="13">
        <f>SUM(Jul!D16, Aug!D16, Sep!D16)</f>
        <v>0</v>
      </c>
      <c r="E16" s="13">
        <f t="shared" ref="E16:E19" si="3">IF(AND(ISNUMBER(C16),ISNUMBER(D16)), C16-D16, "")</f>
        <v>0</v>
      </c>
      <c r="F16" s="14" t="str">
        <f t="shared" ref="F16:F19" si="4">IFERROR(E16/D16, "")</f>
        <v/>
      </c>
      <c r="G16" s="15"/>
      <c r="H16" s="15">
        <f>SUM(Jul!H16, Aug!H16, Sep!H16)</f>
        <v>0</v>
      </c>
      <c r="I16" s="16" t="str">
        <f t="shared" ref="I16:I19" si="5">IFERROR(H16/G16, "")</f>
        <v/>
      </c>
    </row>
    <row r="17" spans="1:9" ht="15.75">
      <c r="A17" s="17" t="str">
        <v xml:space="preserve"> Stockton - Bank of America</v>
      </c>
      <c r="B17" s="10" t="str">
        <v>CA</v>
      </c>
      <c r="C17" s="11">
        <f>SUM(Jul!C17, Aug!C17, Sep!C17)</f>
        <v>0</v>
      </c>
      <c r="D17" s="18">
        <f>SUM(Jul!D17, Aug!D17, Sep!D17)</f>
        <v>0</v>
      </c>
      <c r="E17" s="18">
        <f t="shared" si="3"/>
        <v>0</v>
      </c>
      <c r="F17" s="19" t="str">
        <f t="shared" si="4"/>
        <v/>
      </c>
      <c r="G17" s="20"/>
      <c r="H17" s="20">
        <f>SUM(Jul!H17, Aug!H17, Sep!H17)</f>
        <v>0</v>
      </c>
      <c r="I17" s="19" t="str">
        <f t="shared" si="5"/>
        <v/>
      </c>
    </row>
    <row r="18" spans="1:9" ht="12.75" customHeight="1">
      <c r="A18" s="12" t="str">
        <v xml:space="preserve"> Victorville - Bank of America</v>
      </c>
      <c r="B18" s="9" t="str">
        <v>CA</v>
      </c>
      <c r="C18" s="24">
        <f>SUM(Jul!C18, Aug!C18, Sep!C18)</f>
        <v>0</v>
      </c>
      <c r="D18" s="13">
        <f>SUM(Jul!D18, Aug!D18, Sep!D18)</f>
        <v>0</v>
      </c>
      <c r="E18" s="13">
        <f t="shared" si="3"/>
        <v>0</v>
      </c>
      <c r="F18" s="14" t="str">
        <f t="shared" si="4"/>
        <v/>
      </c>
      <c r="G18" s="15"/>
      <c r="H18" s="15">
        <f>SUM(Jul!H18, Aug!H18, Sep!H18)</f>
        <v>0</v>
      </c>
      <c r="I18" s="16" t="str">
        <f t="shared" si="5"/>
        <v/>
      </c>
    </row>
    <row r="19" spans="1:9" ht="15.75">
      <c r="A19" s="17" t="str">
        <v xml:space="preserve"> Aurora - BA - Colfax Ave</v>
      </c>
      <c r="B19" s="10" t="str">
        <v>CO</v>
      </c>
      <c r="C19" s="11">
        <f>SUM(Jul!C19, Aug!C19, Sep!C19)</f>
        <v>0</v>
      </c>
      <c r="D19" s="18">
        <f>SUM(Jul!D19, Aug!D19, Sep!D19)</f>
        <v>0</v>
      </c>
      <c r="E19" s="18">
        <f t="shared" si="3"/>
        <v>0</v>
      </c>
      <c r="F19" s="19" t="str">
        <f t="shared" si="4"/>
        <v/>
      </c>
      <c r="G19" s="20"/>
      <c r="H19" s="20">
        <f>SUM(Jul!H19, Aug!H19, Sep!H19)</f>
        <v>0</v>
      </c>
      <c r="I19" s="19" t="str">
        <f t="shared" si="5"/>
        <v/>
      </c>
    </row>
    <row r="20" spans="1:9" ht="15.75">
      <c r="A20" s="12" t="str">
        <v xml:space="preserve"> Aurora - BA - Parker Rd</v>
      </c>
      <c r="B20" s="9" t="str">
        <v>CO</v>
      </c>
      <c r="C20" s="24">
        <f>SUM(Jul!C20, Aug!C20, Sep!C20)</f>
        <v>0</v>
      </c>
      <c r="D20" s="13">
        <f>SUM(Jul!D20, Aug!D20, Sep!D20)</f>
        <v>0</v>
      </c>
      <c r="E20" s="13">
        <f t="shared" ref="E20:E38" si="6">IF(AND(ISNUMBER(C20),ISNUMBER(D20)), C20-D20, "")</f>
        <v>0</v>
      </c>
      <c r="F20" s="14" t="str">
        <f t="shared" ref="F20:F38" si="7">IFERROR(E20/D20, "")</f>
        <v/>
      </c>
      <c r="G20" s="15"/>
      <c r="H20" s="15">
        <f>SUM(Jul!H20, Aug!H20, Sep!H20)</f>
        <v>0</v>
      </c>
      <c r="I20" s="16" t="str">
        <f t="shared" ref="I20:I38" si="8">IFERROR(H20/G20, "")</f>
        <v/>
      </c>
    </row>
    <row r="21" spans="1:9" ht="15.75">
      <c r="A21" s="17" t="str">
        <v xml:space="preserve"> Broomfield - Bank of America</v>
      </c>
      <c r="B21" s="10" t="str">
        <v>CO</v>
      </c>
      <c r="C21" s="11">
        <f>SUM(Jul!C21, Aug!C21, Sep!C21)</f>
        <v>0</v>
      </c>
      <c r="D21" s="18">
        <f>SUM(Jul!D21, Aug!D21, Sep!D21)</f>
        <v>0</v>
      </c>
      <c r="E21" s="18">
        <f t="shared" si="6"/>
        <v>0</v>
      </c>
      <c r="F21" s="19" t="str">
        <f t="shared" si="7"/>
        <v/>
      </c>
      <c r="G21" s="20"/>
      <c r="H21" s="20">
        <f>SUM(Jul!H21, Aug!H21, Sep!H21)</f>
        <v>0</v>
      </c>
      <c r="I21" s="19" t="str">
        <f t="shared" si="8"/>
        <v/>
      </c>
    </row>
    <row r="22" spans="1:9" ht="15.75">
      <c r="A22" s="12" t="str">
        <v xml:space="preserve"> Colorado Springs - Bank of America</v>
      </c>
      <c r="B22" s="9" t="str">
        <v>CO</v>
      </c>
      <c r="C22" s="24">
        <f>SUM(Jul!C22, Aug!C22, Sep!C22)</f>
        <v>0</v>
      </c>
      <c r="D22" s="13">
        <f>SUM(Jul!D22, Aug!D22, Sep!D22)</f>
        <v>0</v>
      </c>
      <c r="E22" s="13">
        <f t="shared" si="6"/>
        <v>0</v>
      </c>
      <c r="F22" s="14" t="str">
        <f t="shared" si="7"/>
        <v/>
      </c>
      <c r="G22" s="15"/>
      <c r="H22" s="15">
        <f>SUM(Jul!H22, Aug!H22, Sep!H22)</f>
        <v>0</v>
      </c>
      <c r="I22" s="16" t="str">
        <f t="shared" si="8"/>
        <v/>
      </c>
    </row>
    <row r="23" spans="1:9" ht="15.75">
      <c r="A23" s="17" t="str">
        <v xml:space="preserve"> Denver - BA - 49th Ave</v>
      </c>
      <c r="B23" s="10" t="str">
        <v>CO</v>
      </c>
      <c r="C23" s="11">
        <f>SUM(Jul!C23, Aug!C23, Sep!C23)</f>
        <v>0</v>
      </c>
      <c r="D23" s="18">
        <f>SUM(Jul!D23, Aug!D23, Sep!D23)</f>
        <v>0</v>
      </c>
      <c r="E23" s="18">
        <f t="shared" si="6"/>
        <v>0</v>
      </c>
      <c r="F23" s="19" t="str">
        <f t="shared" si="7"/>
        <v/>
      </c>
      <c r="G23" s="20"/>
      <c r="H23" s="20">
        <f>SUM(Jul!H23, Aug!H23, Sep!H23)</f>
        <v>0</v>
      </c>
      <c r="I23" s="19" t="str">
        <f t="shared" si="8"/>
        <v/>
      </c>
    </row>
    <row r="24" spans="1:9" ht="15.75">
      <c r="A24" s="12" t="str">
        <v xml:space="preserve"> Denver - BA Wadsworth Blvd</v>
      </c>
      <c r="B24" s="9" t="str">
        <v>CO</v>
      </c>
      <c r="C24" s="24">
        <f>SUM(Jul!C24, Aug!C24, Sep!C24)</f>
        <v>0</v>
      </c>
      <c r="D24" s="13">
        <f>SUM(Jul!D24, Aug!D24, Sep!D24)</f>
        <v>0</v>
      </c>
      <c r="E24" s="13">
        <f t="shared" si="6"/>
        <v>0</v>
      </c>
      <c r="F24" s="14" t="str">
        <f t="shared" si="7"/>
        <v/>
      </c>
      <c r="G24" s="15"/>
      <c r="H24" s="15">
        <f>SUM(Jul!H24, Aug!H24, Sep!H24)</f>
        <v>0</v>
      </c>
      <c r="I24" s="16" t="str">
        <f t="shared" si="8"/>
        <v/>
      </c>
    </row>
    <row r="25" spans="1:9" ht="15.75">
      <c r="A25" s="17" t="str">
        <v xml:space="preserve"> Fort Collins - Bank of America</v>
      </c>
      <c r="B25" s="10" t="str">
        <v>CO</v>
      </c>
      <c r="C25" s="11">
        <f>SUM(Jul!C25, Aug!C25, Sep!C25)</f>
        <v>0</v>
      </c>
      <c r="D25" s="18">
        <f>SUM(Jul!D25, Aug!D25, Sep!D25)</f>
        <v>0</v>
      </c>
      <c r="E25" s="18">
        <f t="shared" si="6"/>
        <v>0</v>
      </c>
      <c r="F25" s="19" t="str">
        <f t="shared" si="7"/>
        <v/>
      </c>
      <c r="G25" s="20"/>
      <c r="H25" s="20">
        <f>SUM(Jul!H25, Aug!H25, Sep!H25)</f>
        <v>0</v>
      </c>
      <c r="I25" s="19" t="str">
        <f t="shared" si="8"/>
        <v/>
      </c>
    </row>
    <row r="26" spans="1:9" ht="15.75">
      <c r="A26" s="12" t="str">
        <v xml:space="preserve"> Lafayette - Bank of America</v>
      </c>
      <c r="B26" s="9" t="str">
        <v>CO</v>
      </c>
      <c r="C26" s="24">
        <f>SUM(Jul!C26, Aug!C26, Sep!C26)</f>
        <v>0</v>
      </c>
      <c r="D26" s="13">
        <f>SUM(Jul!D26, Aug!D26, Sep!D26)</f>
        <v>0</v>
      </c>
      <c r="E26" s="13">
        <f t="shared" si="6"/>
        <v>0</v>
      </c>
      <c r="F26" s="14" t="str">
        <f t="shared" si="7"/>
        <v/>
      </c>
      <c r="G26" s="15"/>
      <c r="H26" s="15">
        <f>SUM(Jul!H26, Aug!H26, Sep!H26)</f>
        <v>0</v>
      </c>
      <c r="I26" s="16" t="str">
        <f t="shared" si="8"/>
        <v/>
      </c>
    </row>
    <row r="27" spans="1:9" ht="15.75">
      <c r="A27" s="17" t="str">
        <v xml:space="preserve"> Lakewood - Bank of America</v>
      </c>
      <c r="B27" s="10" t="str">
        <v>CO</v>
      </c>
      <c r="C27" s="11">
        <f>SUM(Jul!C27, Aug!C27, Sep!C27)</f>
        <v>0</v>
      </c>
      <c r="D27" s="18">
        <f>SUM(Jul!D27, Aug!D27, Sep!D27)</f>
        <v>0</v>
      </c>
      <c r="E27" s="18">
        <f t="shared" si="6"/>
        <v>0</v>
      </c>
      <c r="F27" s="19" t="str">
        <f t="shared" si="7"/>
        <v/>
      </c>
      <c r="G27" s="20"/>
      <c r="H27" s="20">
        <f>SUM(Jul!H27, Aug!H27, Sep!H27)</f>
        <v>0</v>
      </c>
      <c r="I27" s="19" t="str">
        <f t="shared" si="8"/>
        <v/>
      </c>
    </row>
    <row r="28" spans="1:9" ht="15.75">
      <c r="A28" s="12" t="str">
        <v xml:space="preserve"> Longmont - Bank of America</v>
      </c>
      <c r="B28" s="9" t="str">
        <v>CO</v>
      </c>
      <c r="C28" s="24">
        <f>SUM(Jul!C28, Aug!C28, Sep!C28)</f>
        <v>0</v>
      </c>
      <c r="D28" s="13">
        <f>SUM(Jul!D28, Aug!D28, Sep!D28)</f>
        <v>0</v>
      </c>
      <c r="E28" s="13">
        <f t="shared" si="6"/>
        <v>0</v>
      </c>
      <c r="F28" s="14" t="str">
        <f t="shared" si="7"/>
        <v/>
      </c>
      <c r="G28" s="15"/>
      <c r="H28" s="15">
        <f>SUM(Jul!H28, Aug!H28, Sep!H28)</f>
        <v>0</v>
      </c>
      <c r="I28" s="16" t="str">
        <f t="shared" si="8"/>
        <v/>
      </c>
    </row>
    <row r="29" spans="1:9" ht="15.75">
      <c r="A29" s="17" t="str">
        <v xml:space="preserve"> Thornton - Bank of America</v>
      </c>
      <c r="B29" s="10" t="str">
        <v>CO</v>
      </c>
      <c r="C29" s="11">
        <f>SUM(Jul!C29, Aug!C29, Sep!C29)</f>
        <v>0</v>
      </c>
      <c r="D29" s="18">
        <f>SUM(Jul!D29, Aug!D29, Sep!D29)</f>
        <v>0</v>
      </c>
      <c r="E29" s="18">
        <f t="shared" si="6"/>
        <v>0</v>
      </c>
      <c r="F29" s="19" t="str">
        <f t="shared" si="7"/>
        <v/>
      </c>
      <c r="G29" s="20"/>
      <c r="H29" s="20">
        <f>SUM(Jul!H29, Aug!H29, Sep!H29)</f>
        <v>0</v>
      </c>
      <c r="I29" s="19" t="str">
        <f t="shared" si="8"/>
        <v/>
      </c>
    </row>
    <row r="30" spans="1:9" ht="15.75">
      <c r="A30" s="12" t="str">
        <v xml:space="preserve"> Calumet City - Bank of America</v>
      </c>
      <c r="B30" s="9" t="str">
        <v>IL</v>
      </c>
      <c r="C30" s="24">
        <f>SUM(Jul!C30, Aug!C30, Sep!C30)</f>
        <v>0</v>
      </c>
      <c r="D30" s="13">
        <f>SUM(Jul!D30, Aug!D30, Sep!D30)</f>
        <v>0</v>
      </c>
      <c r="E30" s="13">
        <f t="shared" si="6"/>
        <v>0</v>
      </c>
      <c r="F30" s="14" t="str">
        <f t="shared" si="7"/>
        <v/>
      </c>
      <c r="G30" s="15"/>
      <c r="H30" s="15">
        <f>SUM(Jul!H30, Aug!H30, Sep!H30)</f>
        <v>0</v>
      </c>
      <c r="I30" s="16" t="str">
        <f t="shared" si="8"/>
        <v/>
      </c>
    </row>
    <row r="31" spans="1:9" ht="15.75">
      <c r="A31" s="17" t="str">
        <v xml:space="preserve"> Downers Grove - Bank of America</v>
      </c>
      <c r="B31" s="10" t="str">
        <v>IL</v>
      </c>
      <c r="C31" s="11">
        <f>SUM(Jul!C31, Aug!C31, Sep!C31)</f>
        <v>0</v>
      </c>
      <c r="D31" s="18">
        <f>SUM(Jul!D31, Aug!D31, Sep!D31)</f>
        <v>0</v>
      </c>
      <c r="E31" s="18">
        <f t="shared" si="6"/>
        <v>0</v>
      </c>
      <c r="F31" s="19" t="str">
        <f t="shared" si="7"/>
        <v/>
      </c>
      <c r="G31" s="20"/>
      <c r="H31" s="20">
        <f>SUM(Jul!H31, Aug!H31, Sep!H31)</f>
        <v>0</v>
      </c>
      <c r="I31" s="19" t="str">
        <f t="shared" si="8"/>
        <v/>
      </c>
    </row>
    <row r="32" spans="1:9" ht="15.75">
      <c r="A32" s="12" t="str">
        <v xml:space="preserve"> Bloomington - Bank of America</v>
      </c>
      <c r="B32" s="9" t="str">
        <v>MN</v>
      </c>
      <c r="C32" s="24">
        <f>SUM(Jul!C32, Aug!C32, Sep!C32)</f>
        <v>0</v>
      </c>
      <c r="D32" s="13">
        <f>SUM(Jul!D32, Aug!D32, Sep!D32)</f>
        <v>0</v>
      </c>
      <c r="E32" s="13">
        <f t="shared" si="6"/>
        <v>0</v>
      </c>
      <c r="F32" s="14" t="str">
        <f t="shared" si="7"/>
        <v/>
      </c>
      <c r="G32" s="15"/>
      <c r="H32" s="15">
        <f>SUM(Jul!H32, Aug!H32, Sep!H32)</f>
        <v>0</v>
      </c>
      <c r="I32" s="16" t="str">
        <f t="shared" si="8"/>
        <v/>
      </c>
    </row>
    <row r="33" spans="1:9" ht="15.75">
      <c r="A33" s="17" t="str">
        <v xml:space="preserve"> Clayton - Bank of America</v>
      </c>
      <c r="B33" s="10" t="str">
        <v>MO</v>
      </c>
      <c r="C33" s="11">
        <f>SUM(Jul!C33, Aug!C33, Sep!C33)</f>
        <v>0</v>
      </c>
      <c r="D33" s="18">
        <f>SUM(Jul!D33, Aug!D33, Sep!D33)</f>
        <v>0</v>
      </c>
      <c r="E33" s="18">
        <f t="shared" si="6"/>
        <v>0</v>
      </c>
      <c r="F33" s="19" t="str">
        <f t="shared" si="7"/>
        <v/>
      </c>
      <c r="G33" s="20"/>
      <c r="H33" s="20">
        <f>SUM(Jul!H33, Aug!H33, Sep!H33)</f>
        <v>0</v>
      </c>
      <c r="I33" s="19" t="str">
        <f t="shared" si="8"/>
        <v/>
      </c>
    </row>
    <row r="34" spans="1:9" ht="15.75">
      <c r="A34" s="12" t="str">
        <v xml:space="preserve"> Manchester - Bank of America</v>
      </c>
      <c r="B34" s="9" t="str">
        <v>MO</v>
      </c>
      <c r="C34" s="24">
        <f>SUM(Jul!C34, Aug!C34, Sep!C34)</f>
        <v>0</v>
      </c>
      <c r="D34" s="13">
        <f>SUM(Jul!D34, Aug!D34, Sep!D34)</f>
        <v>0</v>
      </c>
      <c r="E34" s="13">
        <f t="shared" si="6"/>
        <v>0</v>
      </c>
      <c r="F34" s="14" t="str">
        <f t="shared" si="7"/>
        <v/>
      </c>
      <c r="G34" s="15"/>
      <c r="H34" s="15">
        <f>SUM(Jul!H34, Aug!H34, Sep!H34)</f>
        <v>0</v>
      </c>
      <c r="I34" s="16" t="str">
        <f t="shared" si="8"/>
        <v/>
      </c>
    </row>
    <row r="35" spans="1:9" ht="15.75">
      <c r="A35" s="17" t="str">
        <v xml:space="preserve"> Las Vegas - BA - Eastern Ave</v>
      </c>
      <c r="B35" s="10" t="str">
        <v>NV</v>
      </c>
      <c r="C35" s="11">
        <f>SUM(Jul!C35, Aug!C35, Sep!C35)</f>
        <v>0</v>
      </c>
      <c r="D35" s="18">
        <f>SUM(Jul!D35, Aug!D35, Sep!D35)</f>
        <v>0</v>
      </c>
      <c r="E35" s="18">
        <f t="shared" si="6"/>
        <v>0</v>
      </c>
      <c r="F35" s="19" t="str">
        <f t="shared" si="7"/>
        <v/>
      </c>
      <c r="G35" s="20"/>
      <c r="H35" s="20">
        <f>SUM(Jul!H35, Aug!H35, Sep!H35)</f>
        <v>0</v>
      </c>
      <c r="I35" s="19" t="str">
        <f t="shared" si="8"/>
        <v/>
      </c>
    </row>
    <row r="36" spans="1:9" ht="15.75">
      <c r="A36" s="12" t="str">
        <v xml:space="preserve"> Las Vegas - BA - Town Ctr Dr</v>
      </c>
      <c r="B36" s="9" t="str">
        <v>NV</v>
      </c>
      <c r="C36" s="24">
        <f>SUM(Jul!C36, Aug!C36, Sep!C36)</f>
        <v>0</v>
      </c>
      <c r="D36" s="13">
        <f>SUM(Jul!D36, Aug!D36, Sep!D36)</f>
        <v>0</v>
      </c>
      <c r="E36" s="13">
        <f t="shared" si="6"/>
        <v>0</v>
      </c>
      <c r="F36" s="14" t="str">
        <f t="shared" si="7"/>
        <v/>
      </c>
      <c r="G36" s="15"/>
      <c r="H36" s="15">
        <f>SUM(Jul!H36, Aug!H36, Sep!H36)</f>
        <v>0</v>
      </c>
      <c r="I36" s="16" t="str">
        <f t="shared" si="8"/>
        <v/>
      </c>
    </row>
    <row r="37" spans="1:9" ht="15.75">
      <c r="A37" s="17" t="str">
        <v xml:space="preserve"> Riverton - Bank of America</v>
      </c>
      <c r="B37" s="10" t="str">
        <v>UT</v>
      </c>
      <c r="C37" s="11">
        <f>SUM(Jul!C37, Aug!C37, Sep!C37)</f>
        <v>0</v>
      </c>
      <c r="D37" s="18">
        <f>SUM(Jul!D37, Aug!D37, Sep!D37)</f>
        <v>0</v>
      </c>
      <c r="E37" s="18">
        <f t="shared" si="6"/>
        <v>0</v>
      </c>
      <c r="F37" s="19" t="str">
        <f t="shared" si="7"/>
        <v/>
      </c>
      <c r="G37" s="20"/>
      <c r="H37" s="20">
        <f>SUM(Jul!H37, Aug!H37, Sep!H37)</f>
        <v>0</v>
      </c>
      <c r="I37" s="19" t="str">
        <f t="shared" si="8"/>
        <v/>
      </c>
    </row>
    <row r="38" spans="1:9" ht="15.75">
      <c r="A38" s="12" t="str">
        <v xml:space="preserve"> Salt Lake City - Bank of America</v>
      </c>
      <c r="B38" s="9" t="str">
        <v>UT</v>
      </c>
      <c r="C38" s="24">
        <f>SUM(Jul!C38, Aug!C38, Sep!C38)</f>
        <v>0</v>
      </c>
      <c r="D38" s="13">
        <f>SUM(Jul!D38, Aug!D38, Sep!D38)</f>
        <v>0</v>
      </c>
      <c r="E38" s="13">
        <f t="shared" si="6"/>
        <v>0</v>
      </c>
      <c r="F38" s="14" t="str">
        <f t="shared" si="7"/>
        <v/>
      </c>
      <c r="G38" s="15"/>
      <c r="H38" s="15">
        <f>SUM(Jul!H38, Aug!H38, Sep!H38)</f>
        <v>0</v>
      </c>
      <c r="I38" s="16" t="str">
        <f t="shared" si="8"/>
        <v/>
      </c>
    </row>
    <row r="39" spans="1:9">
      <c r="A39" s="21"/>
      <c r="B39" s="21"/>
      <c r="C39" s="21"/>
      <c r="D39" s="21"/>
      <c r="E39" s="21"/>
      <c r="F39" s="22"/>
      <c r="G39" s="21"/>
      <c r="H39" s="21"/>
      <c r="I39" s="22"/>
    </row>
    <row r="40" spans="1:9">
      <c r="A40" s="21"/>
      <c r="B40" s="21"/>
      <c r="C40" s="21"/>
      <c r="D40" s="21"/>
      <c r="E40" s="21"/>
      <c r="F40" s="22"/>
      <c r="G40" s="21"/>
      <c r="H40" s="21"/>
      <c r="I40" s="22"/>
    </row>
    <row r="41" spans="1:9">
      <c r="A41" s="21"/>
      <c r="B41" s="21"/>
      <c r="C41" s="21"/>
      <c r="D41" s="21"/>
      <c r="E41" s="21"/>
      <c r="F41" s="22"/>
      <c r="G41" s="21"/>
      <c r="H41" s="21"/>
      <c r="I41" s="22"/>
    </row>
    <row r="42" spans="1:9">
      <c r="A42" s="21"/>
      <c r="B42" s="21"/>
      <c r="C42" s="21"/>
      <c r="D42" s="21"/>
      <c r="E42" s="21"/>
      <c r="F42" s="22"/>
      <c r="G42" s="21"/>
      <c r="H42" s="21"/>
      <c r="I42" s="22"/>
    </row>
    <row r="43" spans="1:9">
      <c r="A43" s="21"/>
      <c r="B43" s="21"/>
      <c r="C43" s="21"/>
      <c r="D43" s="21"/>
      <c r="E43" s="21"/>
      <c r="F43" s="22"/>
      <c r="G43" s="21"/>
      <c r="H43" s="21"/>
      <c r="I43" s="22"/>
    </row>
    <row r="44" spans="1:9">
      <c r="A44" s="21"/>
      <c r="B44" s="21"/>
      <c r="C44" s="21"/>
      <c r="D44" s="21"/>
      <c r="E44" s="21"/>
      <c r="F44" s="22"/>
      <c r="G44" s="21"/>
      <c r="H44" s="21"/>
      <c r="I44" s="22"/>
    </row>
    <row r="45" spans="1:9">
      <c r="A45" s="21"/>
      <c r="B45" s="21"/>
      <c r="C45" s="21"/>
      <c r="D45" s="21"/>
      <c r="E45" s="21"/>
      <c r="F45" s="22"/>
      <c r="G45" s="21"/>
      <c r="H45" s="21"/>
      <c r="I45" s="22"/>
    </row>
    <row r="46" spans="1:9">
      <c r="A46" s="21"/>
      <c r="B46" s="21"/>
      <c r="C46" s="21"/>
      <c r="D46" s="21"/>
      <c r="E46" s="21"/>
      <c r="F46" s="22"/>
      <c r="G46" s="21"/>
      <c r="H46" s="21"/>
      <c r="I46" s="22"/>
    </row>
    <row r="47" spans="1:9">
      <c r="A47" s="21"/>
      <c r="B47" s="21"/>
      <c r="C47" s="21"/>
      <c r="D47" s="21"/>
      <c r="E47" s="21"/>
      <c r="F47" s="22"/>
      <c r="G47" s="21"/>
      <c r="H47" s="21"/>
      <c r="I47" s="22"/>
    </row>
    <row r="48" spans="1:9">
      <c r="A48" s="21"/>
      <c r="B48" s="21"/>
      <c r="C48" s="21"/>
      <c r="D48" s="21"/>
      <c r="E48" s="21"/>
      <c r="F48" s="22"/>
      <c r="G48" s="21"/>
      <c r="H48" s="21"/>
      <c r="I48" s="22"/>
    </row>
    <row r="49" spans="1:9">
      <c r="A49" s="21"/>
      <c r="B49" s="21"/>
      <c r="C49" s="21"/>
      <c r="D49" s="21"/>
      <c r="E49" s="21"/>
      <c r="F49" s="22"/>
      <c r="G49" s="21"/>
      <c r="H49" s="21"/>
      <c r="I49" s="22"/>
    </row>
    <row r="50" spans="1:9">
      <c r="A50" s="21"/>
      <c r="B50" s="21"/>
      <c r="C50" s="21"/>
      <c r="D50" s="21"/>
      <c r="E50" s="21"/>
      <c r="F50" s="22"/>
      <c r="G50" s="21"/>
      <c r="H50" s="21"/>
      <c r="I50" s="22"/>
    </row>
    <row r="51" spans="1:9">
      <c r="A51" s="21"/>
      <c r="B51" s="21"/>
      <c r="C51" s="21"/>
      <c r="D51" s="21"/>
      <c r="E51" s="21"/>
      <c r="F51" s="22"/>
      <c r="G51" s="21"/>
      <c r="H51" s="21"/>
      <c r="I51" s="22"/>
    </row>
    <row r="52" spans="1:9">
      <c r="A52" s="21"/>
      <c r="B52" s="21"/>
      <c r="C52" s="21"/>
      <c r="D52" s="21"/>
      <c r="E52" s="21"/>
      <c r="F52" s="22"/>
      <c r="G52" s="21"/>
      <c r="H52" s="21"/>
      <c r="I52" s="22"/>
    </row>
    <row r="53" spans="1:9">
      <c r="A53" s="21"/>
      <c r="B53" s="21"/>
      <c r="C53" s="21"/>
      <c r="D53" s="21"/>
      <c r="E53" s="21"/>
      <c r="F53" s="22"/>
      <c r="G53" s="21"/>
      <c r="H53" s="21"/>
      <c r="I53" s="22"/>
    </row>
    <row r="54" spans="1:9">
      <c r="A54" s="21"/>
      <c r="B54" s="21"/>
      <c r="C54" s="21"/>
      <c r="D54" s="21"/>
      <c r="E54" s="21"/>
      <c r="F54" s="22"/>
      <c r="G54" s="21"/>
      <c r="H54" s="21"/>
      <c r="I54" s="22"/>
    </row>
    <row r="55" spans="1:9">
      <c r="A55" s="21"/>
      <c r="B55" s="21"/>
      <c r="C55" s="21"/>
      <c r="D55" s="21"/>
      <c r="E55" s="21"/>
      <c r="F55" s="22"/>
      <c r="G55" s="21"/>
      <c r="H55" s="21"/>
      <c r="I55" s="22"/>
    </row>
    <row r="56" spans="1:9">
      <c r="A56" s="21"/>
      <c r="B56" s="21"/>
      <c r="C56" s="21"/>
      <c r="D56" s="21"/>
      <c r="E56" s="21"/>
      <c r="F56" s="22"/>
      <c r="G56" s="21"/>
      <c r="H56" s="21"/>
      <c r="I56" s="22"/>
    </row>
    <row r="57" spans="1:9">
      <c r="A57" s="21"/>
      <c r="B57" s="21"/>
      <c r="C57" s="21"/>
      <c r="D57" s="21"/>
      <c r="E57" s="21"/>
      <c r="F57" s="22"/>
      <c r="G57" s="21"/>
      <c r="H57" s="21"/>
      <c r="I57" s="22"/>
    </row>
    <row r="58" spans="1:9">
      <c r="A58" s="21"/>
      <c r="B58" s="21"/>
      <c r="C58" s="21"/>
      <c r="D58" s="21"/>
      <c r="E58" s="21"/>
      <c r="F58" s="22"/>
      <c r="G58" s="21"/>
      <c r="H58" s="21"/>
      <c r="I58" s="22"/>
    </row>
    <row r="59" spans="1:9">
      <c r="A59" s="21"/>
      <c r="B59" s="21"/>
      <c r="C59" s="21"/>
      <c r="D59" s="21"/>
      <c r="E59" s="21"/>
      <c r="F59" s="22"/>
      <c r="G59" s="21"/>
      <c r="H59" s="21"/>
      <c r="I59" s="22"/>
    </row>
    <row r="60" spans="1:9">
      <c r="A60" s="21"/>
      <c r="B60" s="21"/>
      <c r="C60" s="21"/>
      <c r="D60" s="21"/>
      <c r="E60" s="21"/>
      <c r="F60" s="22"/>
      <c r="G60" s="21"/>
      <c r="H60" s="21"/>
      <c r="I60" s="22"/>
    </row>
    <row r="61" spans="1:9">
      <c r="A61" s="21"/>
      <c r="B61" s="21"/>
      <c r="C61" s="21"/>
      <c r="D61" s="21"/>
      <c r="E61" s="21"/>
      <c r="F61" s="22"/>
      <c r="G61" s="21"/>
      <c r="H61" s="21"/>
      <c r="I61" s="22"/>
    </row>
    <row r="62" spans="1:9">
      <c r="A62" s="21"/>
      <c r="B62" s="21"/>
      <c r="C62" s="21"/>
      <c r="D62" s="21"/>
      <c r="E62" s="21"/>
      <c r="F62" s="22"/>
      <c r="G62" s="21"/>
      <c r="H62" s="21"/>
      <c r="I62" s="22"/>
    </row>
    <row r="63" spans="1:9">
      <c r="A63" s="21"/>
      <c r="B63" s="21"/>
      <c r="C63" s="21"/>
      <c r="D63" s="21"/>
      <c r="E63" s="21"/>
      <c r="F63" s="22"/>
      <c r="G63" s="21"/>
      <c r="H63" s="21"/>
      <c r="I63" s="22"/>
    </row>
    <row r="64" spans="1:9">
      <c r="A64" s="21"/>
      <c r="B64" s="21"/>
      <c r="C64" s="21"/>
      <c r="D64" s="21"/>
      <c r="E64" s="21"/>
      <c r="F64" s="22"/>
      <c r="G64" s="21"/>
      <c r="H64" s="21"/>
      <c r="I64" s="22"/>
    </row>
    <row r="65" spans="1:9">
      <c r="A65" s="21"/>
      <c r="B65" s="21"/>
      <c r="C65" s="21"/>
      <c r="D65" s="21"/>
      <c r="E65" s="21"/>
      <c r="F65" s="22"/>
      <c r="G65" s="21"/>
      <c r="H65" s="21"/>
      <c r="I65" s="22"/>
    </row>
    <row r="66" spans="1:9">
      <c r="A66" s="21"/>
      <c r="B66" s="21"/>
      <c r="C66" s="21"/>
      <c r="D66" s="21"/>
      <c r="E66" s="21"/>
      <c r="F66" s="22"/>
      <c r="G66" s="21"/>
      <c r="H66" s="21"/>
      <c r="I66" s="22"/>
    </row>
    <row r="67" spans="1:9">
      <c r="A67" s="21"/>
      <c r="B67" s="21"/>
      <c r="C67" s="21"/>
      <c r="D67" s="21"/>
      <c r="E67" s="21"/>
      <c r="F67" s="22"/>
      <c r="G67" s="21"/>
      <c r="H67" s="21"/>
      <c r="I67" s="22"/>
    </row>
    <row r="68" spans="1:9">
      <c r="A68" s="21"/>
      <c r="B68" s="21"/>
      <c r="C68" s="21"/>
      <c r="D68" s="21"/>
      <c r="E68" s="21"/>
      <c r="F68" s="22"/>
      <c r="G68" s="21"/>
      <c r="H68" s="21"/>
      <c r="I68" s="22"/>
    </row>
    <row r="69" spans="1:9">
      <c r="A69" s="21"/>
      <c r="B69" s="21"/>
      <c r="C69" s="21"/>
      <c r="D69" s="21"/>
      <c r="E69" s="21"/>
      <c r="F69" s="22"/>
      <c r="G69" s="21"/>
      <c r="H69" s="21"/>
      <c r="I69" s="22"/>
    </row>
    <row r="70" spans="1:9">
      <c r="A70" s="21"/>
      <c r="B70" s="21"/>
      <c r="C70" s="21"/>
      <c r="D70" s="21"/>
      <c r="E70" s="21"/>
      <c r="F70" s="22"/>
      <c r="G70" s="21"/>
      <c r="H70" s="21"/>
      <c r="I70" s="22"/>
    </row>
    <row r="71" spans="1:9">
      <c r="A71" s="21"/>
      <c r="B71" s="21"/>
      <c r="C71" s="21"/>
      <c r="D71" s="21"/>
      <c r="E71" s="21"/>
      <c r="F71" s="22"/>
      <c r="G71" s="21"/>
      <c r="H71" s="21"/>
      <c r="I71" s="22"/>
    </row>
    <row r="72" spans="1:9">
      <c r="A72" s="21"/>
      <c r="B72" s="21"/>
      <c r="C72" s="21"/>
      <c r="D72" s="21"/>
      <c r="E72" s="21"/>
      <c r="F72" s="22"/>
      <c r="G72" s="21"/>
      <c r="H72" s="21"/>
      <c r="I72" s="22"/>
    </row>
    <row r="73" spans="1:9">
      <c r="A73" s="21"/>
      <c r="B73" s="21"/>
      <c r="C73" s="21"/>
      <c r="D73" s="21"/>
      <c r="E73" s="21"/>
      <c r="F73" s="22"/>
      <c r="G73" s="21"/>
      <c r="H73" s="21"/>
      <c r="I73" s="22"/>
    </row>
    <row r="74" spans="1:9">
      <c r="A74" s="21"/>
      <c r="B74" s="21"/>
      <c r="C74" s="21"/>
      <c r="D74" s="21"/>
      <c r="E74" s="21"/>
      <c r="F74" s="22"/>
      <c r="G74" s="21"/>
      <c r="H74" s="21"/>
      <c r="I74" s="22"/>
    </row>
    <row r="75" spans="1:9">
      <c r="A75" s="21"/>
      <c r="B75" s="21"/>
      <c r="C75" s="21"/>
      <c r="D75" s="21"/>
      <c r="E75" s="21"/>
      <c r="F75" s="22"/>
      <c r="G75" s="21"/>
      <c r="H75" s="21"/>
      <c r="I75" s="22"/>
    </row>
    <row r="76" spans="1:9">
      <c r="A76" s="21"/>
      <c r="B76" s="21"/>
      <c r="C76" s="21"/>
      <c r="D76" s="21"/>
      <c r="E76" s="21"/>
      <c r="F76" s="22"/>
      <c r="G76" s="21"/>
      <c r="H76" s="21"/>
      <c r="I76" s="22"/>
    </row>
    <row r="77" spans="1:9">
      <c r="A77" s="21"/>
      <c r="B77" s="21"/>
      <c r="C77" s="21"/>
      <c r="D77" s="21"/>
      <c r="E77" s="21"/>
      <c r="F77" s="22"/>
      <c r="G77" s="21"/>
      <c r="H77" s="21"/>
      <c r="I77" s="22"/>
    </row>
    <row r="78" spans="1:9">
      <c r="A78" s="21"/>
      <c r="B78" s="21"/>
      <c r="C78" s="21"/>
      <c r="D78" s="21"/>
      <c r="E78" s="21"/>
      <c r="F78" s="22"/>
      <c r="G78" s="21"/>
      <c r="H78" s="21"/>
      <c r="I78" s="22"/>
    </row>
    <row r="79" spans="1:9">
      <c r="A79" s="21"/>
      <c r="B79" s="21"/>
      <c r="C79" s="21"/>
      <c r="D79" s="21"/>
      <c r="E79" s="21"/>
      <c r="F79" s="22"/>
      <c r="G79" s="21"/>
      <c r="H79" s="21"/>
      <c r="I79" s="22"/>
    </row>
    <row r="80" spans="1:9">
      <c r="A80" s="21"/>
      <c r="B80" s="21"/>
      <c r="C80" s="21"/>
      <c r="D80" s="21"/>
      <c r="E80" s="21"/>
      <c r="F80" s="22"/>
      <c r="G80" s="21"/>
      <c r="H80" s="21"/>
      <c r="I80" s="22"/>
    </row>
    <row r="81" spans="1:9">
      <c r="A81" s="21"/>
      <c r="B81" s="21"/>
      <c r="C81" s="21"/>
      <c r="D81" s="21"/>
      <c r="E81" s="21"/>
      <c r="F81" s="22"/>
      <c r="G81" s="21"/>
      <c r="H81" s="21"/>
      <c r="I81" s="22"/>
    </row>
    <row r="82" spans="1:9">
      <c r="A82" s="21"/>
      <c r="B82" s="21"/>
      <c r="C82" s="21"/>
      <c r="D82" s="21"/>
      <c r="E82" s="21"/>
      <c r="F82" s="22"/>
      <c r="G82" s="21"/>
      <c r="H82" s="21"/>
      <c r="I82" s="22"/>
    </row>
    <row r="83" spans="1:9">
      <c r="A83" s="21"/>
      <c r="B83" s="21"/>
      <c r="C83" s="21"/>
      <c r="D83" s="21"/>
      <c r="E83" s="21"/>
      <c r="F83" s="22"/>
      <c r="G83" s="21"/>
      <c r="H83" s="21"/>
      <c r="I83" s="22"/>
    </row>
    <row r="84" spans="1:9">
      <c r="A84" s="21"/>
      <c r="B84" s="21"/>
      <c r="C84" s="21"/>
      <c r="D84" s="21"/>
      <c r="E84" s="21"/>
      <c r="F84" s="22"/>
      <c r="G84" s="21"/>
      <c r="H84" s="21"/>
      <c r="I84" s="22"/>
    </row>
    <row r="85" spans="1:9">
      <c r="A85" s="21"/>
      <c r="B85" s="21"/>
      <c r="C85" s="21"/>
      <c r="D85" s="21"/>
      <c r="E85" s="21"/>
      <c r="F85" s="22"/>
      <c r="G85" s="21"/>
      <c r="H85" s="21"/>
      <c r="I85" s="22"/>
    </row>
    <row r="86" spans="1:9">
      <c r="A86" s="21"/>
      <c r="B86" s="21"/>
      <c r="C86" s="21"/>
      <c r="D86" s="21"/>
      <c r="E86" s="21"/>
      <c r="F86" s="22"/>
      <c r="G86" s="21"/>
      <c r="H86" s="21"/>
      <c r="I86" s="22"/>
    </row>
    <row r="87" spans="1:9">
      <c r="A87" s="21"/>
      <c r="B87" s="21"/>
      <c r="C87" s="21"/>
      <c r="D87" s="21"/>
      <c r="E87" s="21"/>
      <c r="F87" s="22"/>
      <c r="G87" s="21"/>
      <c r="H87" s="21"/>
      <c r="I87" s="22"/>
    </row>
    <row r="88" spans="1:9">
      <c r="A88" s="21"/>
      <c r="B88" s="21"/>
      <c r="C88" s="21"/>
      <c r="D88" s="21"/>
      <c r="E88" s="21"/>
      <c r="F88" s="22"/>
      <c r="G88" s="21"/>
      <c r="H88" s="21"/>
      <c r="I88" s="22"/>
    </row>
    <row r="89" spans="1:9">
      <c r="A89" s="21"/>
      <c r="B89" s="21"/>
      <c r="C89" s="21"/>
      <c r="D89" s="21"/>
      <c r="E89" s="21"/>
      <c r="F89" s="22"/>
      <c r="G89" s="21"/>
      <c r="H89" s="21"/>
      <c r="I89" s="22"/>
    </row>
    <row r="90" spans="1:9">
      <c r="A90" s="21"/>
      <c r="B90" s="21"/>
      <c r="C90" s="21"/>
      <c r="D90" s="21"/>
      <c r="E90" s="21"/>
      <c r="F90" s="22"/>
      <c r="G90" s="21"/>
      <c r="H90" s="21"/>
      <c r="I90" s="22"/>
    </row>
    <row r="91" spans="1:9">
      <c r="A91" s="21"/>
      <c r="B91" s="21"/>
      <c r="C91" s="21"/>
      <c r="D91" s="21"/>
      <c r="E91" s="21"/>
      <c r="F91" s="22"/>
      <c r="G91" s="21"/>
      <c r="H91" s="21"/>
      <c r="I91" s="22"/>
    </row>
    <row r="92" spans="1:9">
      <c r="A92" s="21"/>
      <c r="B92" s="21"/>
      <c r="C92" s="21"/>
      <c r="D92" s="21"/>
      <c r="E92" s="21"/>
      <c r="F92" s="22"/>
      <c r="G92" s="21"/>
      <c r="H92" s="21"/>
      <c r="I92" s="22"/>
    </row>
    <row r="93" spans="1:9">
      <c r="A93" s="21"/>
      <c r="B93" s="21"/>
      <c r="C93" s="21"/>
      <c r="D93" s="21"/>
      <c r="E93" s="21"/>
      <c r="F93" s="22"/>
      <c r="G93" s="21"/>
      <c r="H93" s="21"/>
      <c r="I93" s="22"/>
    </row>
    <row r="94" spans="1:9">
      <c r="A94" s="21"/>
      <c r="B94" s="21"/>
      <c r="C94" s="21"/>
      <c r="D94" s="21"/>
      <c r="E94" s="21"/>
      <c r="F94" s="22"/>
      <c r="G94" s="21"/>
      <c r="H94" s="21"/>
      <c r="I94" s="22"/>
    </row>
    <row r="95" spans="1:9">
      <c r="A95" s="21"/>
      <c r="B95" s="21"/>
      <c r="C95" s="21"/>
      <c r="D95" s="21"/>
      <c r="E95" s="21"/>
      <c r="F95" s="22"/>
      <c r="G95" s="21"/>
      <c r="H95" s="21"/>
      <c r="I95" s="22"/>
    </row>
    <row r="96" spans="1:9">
      <c r="A96" s="21"/>
      <c r="B96" s="21"/>
      <c r="C96" s="21"/>
      <c r="D96" s="21"/>
      <c r="E96" s="21"/>
      <c r="F96" s="22"/>
      <c r="G96" s="21"/>
      <c r="H96" s="21"/>
      <c r="I96" s="22"/>
    </row>
    <row r="97" spans="1:9">
      <c r="A97" s="21"/>
      <c r="B97" s="21"/>
      <c r="C97" s="21"/>
      <c r="D97" s="21"/>
      <c r="E97" s="21"/>
      <c r="F97" s="22"/>
      <c r="G97" s="21"/>
      <c r="H97" s="21"/>
      <c r="I97" s="22"/>
    </row>
    <row r="98" spans="1:9">
      <c r="A98" s="21"/>
      <c r="B98" s="21"/>
      <c r="C98" s="21"/>
      <c r="D98" s="21"/>
      <c r="E98" s="21"/>
      <c r="F98" s="22"/>
      <c r="G98" s="21"/>
      <c r="H98" s="21"/>
      <c r="I98" s="22"/>
    </row>
    <row r="99" spans="1:9">
      <c r="A99" s="21"/>
      <c r="B99" s="21"/>
      <c r="C99" s="21"/>
      <c r="D99" s="21"/>
      <c r="E99" s="21"/>
      <c r="F99" s="22"/>
      <c r="G99" s="21"/>
      <c r="H99" s="21"/>
      <c r="I99" s="22"/>
    </row>
    <row r="100" spans="1: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>
      <c r="A329" s="21"/>
      <c r="B329" s="21"/>
      <c r="C329" s="21"/>
      <c r="D329" s="21"/>
      <c r="E329" s="21"/>
      <c r="F329" s="22"/>
      <c r="G329" s="21"/>
      <c r="H329" s="21"/>
      <c r="I329" s="22"/>
    </row>
    <row r="330" spans="1:9">
      <c r="A330" s="21"/>
      <c r="B330" s="21"/>
      <c r="C330" s="21"/>
      <c r="D330" s="21"/>
      <c r="E330" s="21"/>
      <c r="F330" s="22"/>
      <c r="G330" s="21"/>
      <c r="H330" s="21"/>
      <c r="I330" s="22"/>
    </row>
    <row r="331" spans="1:9">
      <c r="A331" s="21"/>
      <c r="B331" s="21"/>
      <c r="C331" s="21"/>
      <c r="D331" s="21"/>
      <c r="E331" s="21"/>
      <c r="F331" s="22"/>
      <c r="G331" s="21"/>
      <c r="H331" s="21"/>
      <c r="I331" s="22"/>
    </row>
    <row r="332" spans="1:9">
      <c r="A332" s="21"/>
      <c r="B332" s="21"/>
      <c r="C332" s="21"/>
      <c r="D332" s="21"/>
      <c r="E332" s="21"/>
      <c r="F332" s="22"/>
      <c r="G332" s="21"/>
      <c r="H332" s="21"/>
      <c r="I332" s="22"/>
    </row>
    <row r="333" spans="1:9">
      <c r="A333" s="21"/>
      <c r="B333" s="21"/>
      <c r="C333" s="21"/>
      <c r="D333" s="21"/>
      <c r="E333" s="21"/>
      <c r="F333" s="22"/>
      <c r="G333" s="21"/>
      <c r="H333" s="21"/>
      <c r="I333" s="22"/>
    </row>
    <row r="334" spans="1:9">
      <c r="A334" s="21"/>
      <c r="B334" s="21"/>
      <c r="C334" s="21"/>
      <c r="D334" s="21"/>
      <c r="E334" s="21"/>
      <c r="F334" s="22"/>
      <c r="G334" s="21"/>
      <c r="H334" s="21"/>
      <c r="I334" s="22"/>
    </row>
    <row r="335" spans="1:9">
      <c r="A335" s="21"/>
      <c r="B335" s="21"/>
      <c r="C335" s="21"/>
      <c r="D335" s="21"/>
      <c r="E335" s="21"/>
      <c r="F335" s="22"/>
      <c r="G335" s="21"/>
      <c r="H335" s="21"/>
      <c r="I335" s="22"/>
    </row>
    <row r="336" spans="1:9">
      <c r="A336" s="21"/>
      <c r="B336" s="21"/>
      <c r="C336" s="21"/>
      <c r="D336" s="21"/>
      <c r="E336" s="21"/>
      <c r="F336" s="22"/>
      <c r="G336" s="21"/>
      <c r="H336" s="21"/>
      <c r="I336" s="22"/>
    </row>
    <row r="337" spans="1:9">
      <c r="A337" s="21"/>
      <c r="B337" s="21"/>
      <c r="C337" s="21"/>
      <c r="D337" s="21"/>
      <c r="E337" s="21"/>
      <c r="F337" s="22"/>
      <c r="G337" s="21"/>
      <c r="H337" s="21"/>
      <c r="I337" s="22"/>
    </row>
    <row r="338" spans="1:9">
      <c r="A338" s="21"/>
      <c r="B338" s="21"/>
      <c r="C338" s="21"/>
      <c r="D338" s="21"/>
      <c r="E338" s="21"/>
      <c r="F338" s="22"/>
      <c r="G338" s="21"/>
      <c r="H338" s="21"/>
      <c r="I338" s="22"/>
    </row>
    <row r="339" spans="1:9">
      <c r="A339" s="21"/>
      <c r="B339" s="21"/>
      <c r="C339" s="21"/>
      <c r="D339" s="21"/>
      <c r="E339" s="21"/>
      <c r="F339" s="22"/>
      <c r="G339" s="21"/>
      <c r="H339" s="21"/>
      <c r="I339" s="22"/>
    </row>
    <row r="340" spans="1:9">
      <c r="A340" s="21"/>
      <c r="B340" s="21"/>
      <c r="C340" s="21"/>
      <c r="D340" s="21"/>
      <c r="E340" s="21"/>
      <c r="F340" s="22"/>
      <c r="G340" s="21"/>
      <c r="H340" s="21"/>
      <c r="I340" s="22"/>
    </row>
    <row r="341" spans="1:9">
      <c r="A341" s="21"/>
      <c r="B341" s="21"/>
      <c r="C341" s="21"/>
      <c r="D341" s="21"/>
      <c r="E341" s="21"/>
      <c r="F341" s="22"/>
      <c r="G341" s="21"/>
      <c r="H341" s="21"/>
      <c r="I341" s="22"/>
    </row>
    <row r="342" spans="1:9">
      <c r="A342" s="21"/>
      <c r="B342" s="21"/>
      <c r="C342" s="21"/>
      <c r="D342" s="21"/>
      <c r="E342" s="21"/>
      <c r="F342" s="22"/>
      <c r="G342" s="21"/>
      <c r="H342" s="21"/>
      <c r="I342" s="22"/>
    </row>
  </sheetData>
  <mergeCells count="4">
    <mergeCell ref="G1:I1"/>
    <mergeCell ref="A1:C1"/>
    <mergeCell ref="D1:F1"/>
    <mergeCell ref="A2:B2"/>
  </mergeCells>
  <conditionalFormatting sqref="F2 I2 F4:F100 I4:I100">
    <cfRule type="cellIs" dxfId="54" priority="1" stopIfTrue="1" operator="lessThanOrEqual">
      <formula>-0.1</formula>
    </cfRule>
    <cfRule type="expression" dxfId="5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42"/>
  <sheetViews>
    <sheetView workbookViewId="0">
      <pane xSplit="2" ySplit="3" topLeftCell="C4" activePane="bottomRight" state="frozen"/>
      <selection pane="bottomRight" activeCell="A16" sqref="A16:I38"/>
      <selection pane="bottomLeft"/>
      <selection pane="topRight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7" t="str" cm="1">
        <f t="array" ref="A1">portfolio</f>
        <v>Cushman &amp; Wakefield</v>
      </c>
      <c r="B1" s="57"/>
      <c r="C1" s="57"/>
      <c r="D1" s="58" t="s">
        <v>16</v>
      </c>
      <c r="E1" s="58"/>
      <c r="F1" s="58"/>
      <c r="G1" s="56" t="s">
        <v>17</v>
      </c>
      <c r="H1" s="56"/>
      <c r="I1" s="56"/>
    </row>
    <row r="2" spans="1:9" ht="19.5" customHeight="1">
      <c r="A2" s="59" t="s">
        <v>2</v>
      </c>
      <c r="B2" s="59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75">
      <c r="A4" s="12" t="str" cm="1">
        <f t="array" ref="A4:A38">Sites[Site]</f>
        <v xml:space="preserve"> Adelanto - Bank of America</v>
      </c>
      <c r="B4" s="9" t="str" cm="1">
        <f t="array" ref="B4:B38">Sites[State]</f>
        <v>CA</v>
      </c>
      <c r="C4" s="24">
        <f>SUM(Oct!C4, Nov!C4, Dec!C4)</f>
        <v>0</v>
      </c>
      <c r="D4" s="13">
        <f>SUM(Oct!D4, Nov!D4, Dec!D4)</f>
        <v>0</v>
      </c>
      <c r="E4" s="13">
        <f>IF(AND(ISNUMBER(C4),ISNUMBER(D4)), C4-D4, "")</f>
        <v>0</v>
      </c>
      <c r="F4" s="14" t="str">
        <f>IFERROR(E4/D4, "")</f>
        <v/>
      </c>
      <c r="G4" s="15"/>
      <c r="H4" s="15">
        <f>SUM(Oct!H4, Nov!H4, Dec!H4)</f>
        <v>0</v>
      </c>
      <c r="I4" s="16" t="str">
        <f>IFERROR(H4/G4, "")</f>
        <v/>
      </c>
    </row>
    <row r="5" spans="1:9" ht="15.75">
      <c r="A5" s="17" t="str">
        <v xml:space="preserve"> Apple Valley - Bank of America</v>
      </c>
      <c r="B5" s="10" t="str">
        <v>CA</v>
      </c>
      <c r="C5" s="11">
        <f>SUM(Oct!C5, Nov!C5, Dec!C5)</f>
        <v>0</v>
      </c>
      <c r="D5" s="18">
        <f>SUM(Oct!D5, Nov!D5, Dec!D5)</f>
        <v>0</v>
      </c>
      <c r="E5" s="18">
        <f t="shared" ref="E5:E15" si="0">IF(AND(ISNUMBER(C5),ISNUMBER(D5)), C5-D5, "")</f>
        <v>0</v>
      </c>
      <c r="F5" s="19" t="str">
        <f>IFERROR(E5/D5, "")</f>
        <v/>
      </c>
      <c r="G5" s="20"/>
      <c r="H5" s="20">
        <f>SUM(Oct!H5, Nov!H5, Dec!H5)</f>
        <v>0</v>
      </c>
      <c r="I5" s="19" t="str">
        <f>IFERROR(H5/G5, "")</f>
        <v/>
      </c>
    </row>
    <row r="6" spans="1:9" ht="15.75">
      <c r="A6" s="12" t="str">
        <v xml:space="preserve"> Arvin - Bank of America</v>
      </c>
      <c r="B6" s="9" t="str">
        <v>CA</v>
      </c>
      <c r="C6" s="24">
        <f>SUM(Oct!C6, Nov!C6, Dec!C6)</f>
        <v>0</v>
      </c>
      <c r="D6" s="13">
        <f>SUM(Oct!D6, Nov!D6, Dec!D6)</f>
        <v>0</v>
      </c>
      <c r="E6" s="13">
        <f t="shared" si="0"/>
        <v>0</v>
      </c>
      <c r="F6" s="14" t="str">
        <f t="shared" ref="F6:F15" si="1">IFERROR(E6/D6, "")</f>
        <v/>
      </c>
      <c r="G6" s="15"/>
      <c r="H6" s="15">
        <f>SUM(Oct!H6, Nov!H6, Dec!H6)</f>
        <v>0</v>
      </c>
      <c r="I6" s="16" t="str">
        <f t="shared" ref="I6:I15" si="2">IFERROR(H6/G6, "")</f>
        <v/>
      </c>
    </row>
    <row r="7" spans="1:9" ht="15.75">
      <c r="A7" s="17" t="str">
        <v xml:space="preserve"> Bell - Bank of America</v>
      </c>
      <c r="B7" s="10" t="str">
        <v>CA</v>
      </c>
      <c r="C7" s="11">
        <f>SUM(Oct!C7, Nov!C7, Dec!C7)</f>
        <v>0</v>
      </c>
      <c r="D7" s="18">
        <f>SUM(Oct!D7, Nov!D7, Dec!D7)</f>
        <v>0</v>
      </c>
      <c r="E7" s="18">
        <f t="shared" si="0"/>
        <v>0</v>
      </c>
      <c r="F7" s="19" t="str">
        <f t="shared" si="1"/>
        <v/>
      </c>
      <c r="G7" s="20"/>
      <c r="H7" s="20">
        <f>SUM(Oct!H7, Nov!H7, Dec!H7)</f>
        <v>0</v>
      </c>
      <c r="I7" s="19" t="str">
        <f t="shared" si="2"/>
        <v/>
      </c>
    </row>
    <row r="8" spans="1:9" ht="15.75">
      <c r="A8" s="12" t="str">
        <v xml:space="preserve"> Chula Vista - Bank of America</v>
      </c>
      <c r="B8" s="9" t="str">
        <v>CA</v>
      </c>
      <c r="C8" s="24">
        <f>SUM(Oct!C8, Nov!C8, Dec!C8)</f>
        <v>0</v>
      </c>
      <c r="D8" s="13">
        <f>SUM(Oct!D8, Nov!D8, Dec!D8)</f>
        <v>0</v>
      </c>
      <c r="E8" s="13">
        <f t="shared" si="0"/>
        <v>0</v>
      </c>
      <c r="F8" s="14" t="str">
        <f t="shared" si="1"/>
        <v/>
      </c>
      <c r="G8" s="15"/>
      <c r="H8" s="15">
        <f>SUM(Oct!H8, Nov!H8, Dec!H8)</f>
        <v>0</v>
      </c>
      <c r="I8" s="16" t="str">
        <f t="shared" si="2"/>
        <v/>
      </c>
    </row>
    <row r="9" spans="1:9" ht="15.75">
      <c r="A9" s="17" t="str">
        <v xml:space="preserve"> Cupertino - Bank of America</v>
      </c>
      <c r="B9" s="10" t="str">
        <v>CA</v>
      </c>
      <c r="C9" s="11">
        <f>SUM(Oct!C9, Nov!C9, Dec!C9)</f>
        <v>0</v>
      </c>
      <c r="D9" s="18">
        <f>SUM(Oct!D9, Nov!D9, Dec!D9)</f>
        <v>0</v>
      </c>
      <c r="E9" s="18">
        <f t="shared" si="0"/>
        <v>0</v>
      </c>
      <c r="F9" s="19" t="str">
        <f t="shared" si="1"/>
        <v/>
      </c>
      <c r="G9" s="20"/>
      <c r="H9" s="20">
        <f>SUM(Oct!H9, Nov!H9, Dec!H9)</f>
        <v>0</v>
      </c>
      <c r="I9" s="19" t="str">
        <f t="shared" si="2"/>
        <v/>
      </c>
    </row>
    <row r="10" spans="1:9" ht="15.75">
      <c r="A10" s="12" t="str">
        <v xml:space="preserve"> Diamond Bar - Bank of America</v>
      </c>
      <c r="B10" s="9" t="str">
        <v>CA</v>
      </c>
      <c r="C10" s="24">
        <f>SUM(Oct!C10, Nov!C10, Dec!C10)</f>
        <v>0</v>
      </c>
      <c r="D10" s="13">
        <f>SUM(Oct!D10, Nov!D10, Dec!D10)</f>
        <v>0</v>
      </c>
      <c r="E10" s="13">
        <f t="shared" si="0"/>
        <v>0</v>
      </c>
      <c r="F10" s="14" t="str">
        <f t="shared" si="1"/>
        <v/>
      </c>
      <c r="G10" s="15"/>
      <c r="H10" s="15">
        <f>SUM(Oct!H10, Nov!H10, Dec!H10)</f>
        <v>0</v>
      </c>
      <c r="I10" s="16" t="str">
        <f t="shared" si="2"/>
        <v/>
      </c>
    </row>
    <row r="11" spans="1:9" ht="15.75">
      <c r="A11" s="17" t="str">
        <v xml:space="preserve"> El Centro - Bank of America</v>
      </c>
      <c r="B11" s="10" t="str">
        <v>CA</v>
      </c>
      <c r="C11" s="11">
        <f>SUM(Oct!C11, Nov!C11, Dec!C11)</f>
        <v>0</v>
      </c>
      <c r="D11" s="18">
        <f>SUM(Oct!D11, Nov!D11, Dec!D11)</f>
        <v>0</v>
      </c>
      <c r="E11" s="18">
        <f t="shared" si="0"/>
        <v>0</v>
      </c>
      <c r="F11" s="19" t="str">
        <f t="shared" si="1"/>
        <v/>
      </c>
      <c r="G11" s="20"/>
      <c r="H11" s="20">
        <f>SUM(Oct!H11, Nov!H11, Dec!H11)</f>
        <v>0</v>
      </c>
      <c r="I11" s="19" t="str">
        <f t="shared" si="2"/>
        <v/>
      </c>
    </row>
    <row r="12" spans="1:9" ht="15.75">
      <c r="A12" s="12" t="str">
        <v xml:space="preserve"> Moreno Valley - Bank of America</v>
      </c>
      <c r="B12" s="9" t="str">
        <v>CA</v>
      </c>
      <c r="C12" s="24">
        <f>SUM(Oct!C12, Nov!C12, Dec!C12)</f>
        <v>0</v>
      </c>
      <c r="D12" s="13">
        <f>SUM(Oct!D12, Nov!D12, Dec!D12)</f>
        <v>0</v>
      </c>
      <c r="E12" s="13">
        <f t="shared" si="0"/>
        <v>0</v>
      </c>
      <c r="F12" s="14" t="str">
        <f t="shared" si="1"/>
        <v/>
      </c>
      <c r="G12" s="15"/>
      <c r="H12" s="15">
        <f>SUM(Oct!H12, Nov!H12, Dec!H12)</f>
        <v>0</v>
      </c>
      <c r="I12" s="16" t="str">
        <f t="shared" si="2"/>
        <v/>
      </c>
    </row>
    <row r="13" spans="1:9" ht="15.75">
      <c r="A13" s="17" t="str">
        <v xml:space="preserve"> Redlands - Bank of America</v>
      </c>
      <c r="B13" s="10" t="str">
        <v>CA</v>
      </c>
      <c r="C13" s="11">
        <f>SUM(Oct!C13, Nov!C13, Dec!C13)</f>
        <v>0</v>
      </c>
      <c r="D13" s="18">
        <f>SUM(Oct!D13, Nov!D13, Dec!D13)</f>
        <v>0</v>
      </c>
      <c r="E13" s="18">
        <f t="shared" si="0"/>
        <v>0</v>
      </c>
      <c r="F13" s="19" t="str">
        <f t="shared" si="1"/>
        <v/>
      </c>
      <c r="G13" s="20"/>
      <c r="H13" s="20">
        <f>SUM(Oct!H13, Nov!H13, Dec!H13)</f>
        <v>0</v>
      </c>
      <c r="I13" s="19" t="str">
        <f t="shared" si="2"/>
        <v/>
      </c>
    </row>
    <row r="14" spans="1:9" ht="15.75">
      <c r="A14" s="12" t="str">
        <v xml:space="preserve"> Roseville - Bank of America</v>
      </c>
      <c r="B14" s="9" t="str">
        <v>CA</v>
      </c>
      <c r="C14" s="24">
        <f>SUM(Oct!C14, Nov!C14, Dec!C14)</f>
        <v>0</v>
      </c>
      <c r="D14" s="13">
        <f>SUM(Oct!D14, Nov!D14, Dec!D14)</f>
        <v>0</v>
      </c>
      <c r="E14" s="13">
        <f t="shared" si="0"/>
        <v>0</v>
      </c>
      <c r="F14" s="14" t="str">
        <f t="shared" si="1"/>
        <v/>
      </c>
      <c r="G14" s="15"/>
      <c r="H14" s="15">
        <f>SUM(Oct!H14, Nov!H14, Dec!H14)</f>
        <v>0</v>
      </c>
      <c r="I14" s="16" t="str">
        <f t="shared" si="2"/>
        <v/>
      </c>
    </row>
    <row r="15" spans="1:9" ht="15.75">
      <c r="A15" s="17" t="str">
        <v xml:space="preserve"> San Bernardino - Bank of America</v>
      </c>
      <c r="B15" s="10" t="str">
        <v>CA</v>
      </c>
      <c r="C15" s="11">
        <f>SUM(Oct!C15, Nov!C15, Dec!C15)</f>
        <v>0</v>
      </c>
      <c r="D15" s="18">
        <f>SUM(Oct!D15, Nov!D15, Dec!D15)</f>
        <v>0</v>
      </c>
      <c r="E15" s="18">
        <f t="shared" si="0"/>
        <v>0</v>
      </c>
      <c r="F15" s="19" t="str">
        <f t="shared" si="1"/>
        <v/>
      </c>
      <c r="G15" s="20"/>
      <c r="H15" s="20">
        <f>SUM(Oct!H15, Nov!H15, Dec!H15)</f>
        <v>0</v>
      </c>
      <c r="I15" s="19" t="str">
        <f t="shared" si="2"/>
        <v/>
      </c>
    </row>
    <row r="16" spans="1:9" ht="15.75">
      <c r="A16" s="12" t="str">
        <v xml:space="preserve"> San Diego - Bank of America</v>
      </c>
      <c r="B16" s="9" t="str">
        <v>CA</v>
      </c>
      <c r="C16" s="24">
        <f>SUM(Oct!C16, Nov!C16, Dec!C16)</f>
        <v>0</v>
      </c>
      <c r="D16" s="13">
        <f>SUM(Oct!D16, Nov!D16, Dec!D16)</f>
        <v>0</v>
      </c>
      <c r="E16" s="13">
        <f t="shared" ref="E16:E17" si="3">IF(AND(ISNUMBER(C16),ISNUMBER(D16)), C16-D16, "")</f>
        <v>0</v>
      </c>
      <c r="F16" s="14" t="str">
        <f t="shared" ref="F16:F17" si="4">IFERROR(E16/D16, "")</f>
        <v/>
      </c>
      <c r="G16" s="15"/>
      <c r="H16" s="15">
        <f>SUM(Oct!H16, Nov!H16, Dec!H16)</f>
        <v>0</v>
      </c>
      <c r="I16" s="16" t="str">
        <f t="shared" ref="I16:I17" si="5">IFERROR(H16/G16, "")</f>
        <v/>
      </c>
    </row>
    <row r="17" spans="1:9" ht="15.75">
      <c r="A17" s="17" t="str">
        <v xml:space="preserve"> Stockton - Bank of America</v>
      </c>
      <c r="B17" s="10" t="str">
        <v>CA</v>
      </c>
      <c r="C17" s="11">
        <f>SUM(Oct!C17, Nov!C17, Dec!C17)</f>
        <v>0</v>
      </c>
      <c r="D17" s="18">
        <f>SUM(Oct!D17, Nov!D17, Dec!D17)</f>
        <v>0</v>
      </c>
      <c r="E17" s="18">
        <f t="shared" si="3"/>
        <v>0</v>
      </c>
      <c r="F17" s="19" t="str">
        <f t="shared" si="4"/>
        <v/>
      </c>
      <c r="G17" s="20"/>
      <c r="H17" s="20">
        <f>SUM(Oct!H17, Nov!H17, Dec!H17)</f>
        <v>0</v>
      </c>
      <c r="I17" s="19" t="str">
        <f t="shared" si="5"/>
        <v/>
      </c>
    </row>
    <row r="18" spans="1:9" ht="12.75" customHeight="1">
      <c r="A18" s="12" t="str">
        <v xml:space="preserve"> Victorville - Bank of America</v>
      </c>
      <c r="B18" s="9" t="str">
        <v>CA</v>
      </c>
      <c r="C18" s="24">
        <f>SUM(Oct!C18, Nov!C18, Dec!C18)</f>
        <v>0</v>
      </c>
      <c r="D18" s="13">
        <f>SUM(Oct!D18, Nov!D18, Dec!D18)</f>
        <v>0</v>
      </c>
      <c r="E18" s="13">
        <f t="shared" ref="E18:E38" si="6">IF(AND(ISNUMBER(C18),ISNUMBER(D18)), C18-D18, "")</f>
        <v>0</v>
      </c>
      <c r="F18" s="14" t="str">
        <f t="shared" ref="F18:F38" si="7">IFERROR(E18/D18, "")</f>
        <v/>
      </c>
      <c r="G18" s="15"/>
      <c r="H18" s="15">
        <f>SUM(Oct!H18, Nov!H18, Dec!H18)</f>
        <v>0</v>
      </c>
      <c r="I18" s="16" t="str">
        <f t="shared" ref="I18:I38" si="8">IFERROR(H18/G18, "")</f>
        <v/>
      </c>
    </row>
    <row r="19" spans="1:9" ht="15.75">
      <c r="A19" s="17" t="str">
        <v xml:space="preserve"> Aurora - BA - Colfax Ave</v>
      </c>
      <c r="B19" s="10" t="str">
        <v>CO</v>
      </c>
      <c r="C19" s="11">
        <f>SUM(Oct!C19, Nov!C19, Dec!C19)</f>
        <v>0</v>
      </c>
      <c r="D19" s="18">
        <f>SUM(Oct!D19, Nov!D19, Dec!D19)</f>
        <v>0</v>
      </c>
      <c r="E19" s="18">
        <f t="shared" si="6"/>
        <v>0</v>
      </c>
      <c r="F19" s="19" t="str">
        <f t="shared" si="7"/>
        <v/>
      </c>
      <c r="G19" s="20"/>
      <c r="H19" s="20">
        <f>SUM(Oct!H19, Nov!H19, Dec!H19)</f>
        <v>0</v>
      </c>
      <c r="I19" s="19" t="str">
        <f t="shared" si="8"/>
        <v/>
      </c>
    </row>
    <row r="20" spans="1:9" ht="15.75">
      <c r="A20" s="12" t="str">
        <v xml:space="preserve"> Aurora - BA - Parker Rd</v>
      </c>
      <c r="B20" s="9" t="str">
        <v>CO</v>
      </c>
      <c r="C20" s="24">
        <f>SUM(Oct!C20, Nov!C20, Dec!C20)</f>
        <v>0</v>
      </c>
      <c r="D20" s="13">
        <f>SUM(Oct!D20, Nov!D20, Dec!D20)</f>
        <v>0</v>
      </c>
      <c r="E20" s="13">
        <f t="shared" si="6"/>
        <v>0</v>
      </c>
      <c r="F20" s="14" t="str">
        <f t="shared" si="7"/>
        <v/>
      </c>
      <c r="G20" s="15"/>
      <c r="H20" s="15">
        <f>SUM(Oct!H20, Nov!H20, Dec!H20)</f>
        <v>0</v>
      </c>
      <c r="I20" s="16" t="str">
        <f t="shared" si="8"/>
        <v/>
      </c>
    </row>
    <row r="21" spans="1:9" ht="15.75">
      <c r="A21" s="17" t="str">
        <v xml:space="preserve"> Broomfield - Bank of America</v>
      </c>
      <c r="B21" s="10" t="str">
        <v>CO</v>
      </c>
      <c r="C21" s="11">
        <f>SUM(Oct!C21, Nov!C21, Dec!C21)</f>
        <v>0</v>
      </c>
      <c r="D21" s="18">
        <f>SUM(Oct!D21, Nov!D21, Dec!D21)</f>
        <v>0</v>
      </c>
      <c r="E21" s="18">
        <f t="shared" si="6"/>
        <v>0</v>
      </c>
      <c r="F21" s="19" t="str">
        <f t="shared" si="7"/>
        <v/>
      </c>
      <c r="G21" s="20"/>
      <c r="H21" s="20">
        <f>SUM(Oct!H21, Nov!H21, Dec!H21)</f>
        <v>0</v>
      </c>
      <c r="I21" s="19" t="str">
        <f t="shared" si="8"/>
        <v/>
      </c>
    </row>
    <row r="22" spans="1:9" ht="15.75">
      <c r="A22" s="12" t="str">
        <v xml:space="preserve"> Colorado Springs - Bank of America</v>
      </c>
      <c r="B22" s="9" t="str">
        <v>CO</v>
      </c>
      <c r="C22" s="24">
        <f>SUM(Oct!C22, Nov!C22, Dec!C22)</f>
        <v>0</v>
      </c>
      <c r="D22" s="13">
        <f>SUM(Oct!D22, Nov!D22, Dec!D22)</f>
        <v>0</v>
      </c>
      <c r="E22" s="13">
        <f t="shared" si="6"/>
        <v>0</v>
      </c>
      <c r="F22" s="14" t="str">
        <f t="shared" si="7"/>
        <v/>
      </c>
      <c r="G22" s="15"/>
      <c r="H22" s="15">
        <f>SUM(Oct!H22, Nov!H22, Dec!H22)</f>
        <v>0</v>
      </c>
      <c r="I22" s="16" t="str">
        <f t="shared" si="8"/>
        <v/>
      </c>
    </row>
    <row r="23" spans="1:9" ht="15.75">
      <c r="A23" s="17" t="str">
        <v xml:space="preserve"> Denver - BA - 49th Ave</v>
      </c>
      <c r="B23" s="10" t="str">
        <v>CO</v>
      </c>
      <c r="C23" s="11">
        <f>SUM(Oct!C23, Nov!C23, Dec!C23)</f>
        <v>0</v>
      </c>
      <c r="D23" s="18">
        <f>SUM(Oct!D23, Nov!D23, Dec!D23)</f>
        <v>0</v>
      </c>
      <c r="E23" s="18">
        <f t="shared" si="6"/>
        <v>0</v>
      </c>
      <c r="F23" s="19" t="str">
        <f t="shared" si="7"/>
        <v/>
      </c>
      <c r="G23" s="20"/>
      <c r="H23" s="20">
        <f>SUM(Oct!H23, Nov!H23, Dec!H23)</f>
        <v>0</v>
      </c>
      <c r="I23" s="19" t="str">
        <f t="shared" si="8"/>
        <v/>
      </c>
    </row>
    <row r="24" spans="1:9" ht="15.75">
      <c r="A24" s="12" t="str">
        <v xml:space="preserve"> Denver - BA Wadsworth Blvd</v>
      </c>
      <c r="B24" s="9" t="str">
        <v>CO</v>
      </c>
      <c r="C24" s="24">
        <f>SUM(Oct!C24, Nov!C24, Dec!C24)</f>
        <v>0</v>
      </c>
      <c r="D24" s="13">
        <f>SUM(Oct!D24, Nov!D24, Dec!D24)</f>
        <v>0</v>
      </c>
      <c r="E24" s="13">
        <f t="shared" si="6"/>
        <v>0</v>
      </c>
      <c r="F24" s="14" t="str">
        <f t="shared" si="7"/>
        <v/>
      </c>
      <c r="G24" s="15"/>
      <c r="H24" s="15">
        <f>SUM(Oct!H24, Nov!H24, Dec!H24)</f>
        <v>0</v>
      </c>
      <c r="I24" s="16" t="str">
        <f t="shared" si="8"/>
        <v/>
      </c>
    </row>
    <row r="25" spans="1:9" ht="15.75">
      <c r="A25" s="17" t="str">
        <v xml:space="preserve"> Fort Collins - Bank of America</v>
      </c>
      <c r="B25" s="10" t="str">
        <v>CO</v>
      </c>
      <c r="C25" s="11">
        <f>SUM(Oct!C25, Nov!C25, Dec!C25)</f>
        <v>0</v>
      </c>
      <c r="D25" s="18">
        <f>SUM(Oct!D25, Nov!D25, Dec!D25)</f>
        <v>0</v>
      </c>
      <c r="E25" s="18">
        <f t="shared" si="6"/>
        <v>0</v>
      </c>
      <c r="F25" s="19" t="str">
        <f t="shared" si="7"/>
        <v/>
      </c>
      <c r="G25" s="20"/>
      <c r="H25" s="20">
        <f>SUM(Oct!H25, Nov!H25, Dec!H25)</f>
        <v>0</v>
      </c>
      <c r="I25" s="19" t="str">
        <f t="shared" si="8"/>
        <v/>
      </c>
    </row>
    <row r="26" spans="1:9" ht="15.75">
      <c r="A26" s="12" t="str">
        <v xml:space="preserve"> Lafayette - Bank of America</v>
      </c>
      <c r="B26" s="9" t="str">
        <v>CO</v>
      </c>
      <c r="C26" s="24">
        <f>SUM(Oct!C26, Nov!C26, Dec!C26)</f>
        <v>0</v>
      </c>
      <c r="D26" s="13">
        <f>SUM(Oct!D26, Nov!D26, Dec!D26)</f>
        <v>0</v>
      </c>
      <c r="E26" s="13">
        <f t="shared" si="6"/>
        <v>0</v>
      </c>
      <c r="F26" s="14" t="str">
        <f t="shared" si="7"/>
        <v/>
      </c>
      <c r="G26" s="15"/>
      <c r="H26" s="15">
        <f>SUM(Oct!H26, Nov!H26, Dec!H26)</f>
        <v>0</v>
      </c>
      <c r="I26" s="16" t="str">
        <f t="shared" si="8"/>
        <v/>
      </c>
    </row>
    <row r="27" spans="1:9" ht="15.75">
      <c r="A27" s="17" t="str">
        <v xml:space="preserve"> Lakewood - Bank of America</v>
      </c>
      <c r="B27" s="10" t="str">
        <v>CO</v>
      </c>
      <c r="C27" s="11">
        <f>SUM(Oct!C27, Nov!C27, Dec!C27)</f>
        <v>0</v>
      </c>
      <c r="D27" s="18">
        <f>SUM(Oct!D27, Nov!D27, Dec!D27)</f>
        <v>0</v>
      </c>
      <c r="E27" s="18">
        <f t="shared" si="6"/>
        <v>0</v>
      </c>
      <c r="F27" s="19" t="str">
        <f t="shared" si="7"/>
        <v/>
      </c>
      <c r="G27" s="20"/>
      <c r="H27" s="20">
        <f>SUM(Oct!H27, Nov!H27, Dec!H27)</f>
        <v>0</v>
      </c>
      <c r="I27" s="19" t="str">
        <f t="shared" si="8"/>
        <v/>
      </c>
    </row>
    <row r="28" spans="1:9" ht="15.75">
      <c r="A28" s="12" t="str">
        <v xml:space="preserve"> Longmont - Bank of America</v>
      </c>
      <c r="B28" s="9" t="str">
        <v>CO</v>
      </c>
      <c r="C28" s="24">
        <f>SUM(Oct!C28, Nov!C28, Dec!C28)</f>
        <v>0</v>
      </c>
      <c r="D28" s="13">
        <f>SUM(Oct!D28, Nov!D28, Dec!D28)</f>
        <v>0</v>
      </c>
      <c r="E28" s="13">
        <f t="shared" si="6"/>
        <v>0</v>
      </c>
      <c r="F28" s="14" t="str">
        <f t="shared" si="7"/>
        <v/>
      </c>
      <c r="G28" s="15"/>
      <c r="H28" s="15">
        <f>SUM(Oct!H28, Nov!H28, Dec!H28)</f>
        <v>0</v>
      </c>
      <c r="I28" s="16" t="str">
        <f t="shared" si="8"/>
        <v/>
      </c>
    </row>
    <row r="29" spans="1:9" ht="15.75">
      <c r="A29" s="17" t="str">
        <v xml:space="preserve"> Thornton - Bank of America</v>
      </c>
      <c r="B29" s="10" t="str">
        <v>CO</v>
      </c>
      <c r="C29" s="11">
        <f>SUM(Oct!C29, Nov!C29, Dec!C29)</f>
        <v>0</v>
      </c>
      <c r="D29" s="18">
        <f>SUM(Oct!D29, Nov!D29, Dec!D29)</f>
        <v>0</v>
      </c>
      <c r="E29" s="18">
        <f t="shared" si="6"/>
        <v>0</v>
      </c>
      <c r="F29" s="19" t="str">
        <f t="shared" si="7"/>
        <v/>
      </c>
      <c r="G29" s="20"/>
      <c r="H29" s="20">
        <f>SUM(Oct!H29, Nov!H29, Dec!H29)</f>
        <v>0</v>
      </c>
      <c r="I29" s="19" t="str">
        <f t="shared" si="8"/>
        <v/>
      </c>
    </row>
    <row r="30" spans="1:9" ht="15.75">
      <c r="A30" s="12" t="str">
        <v xml:space="preserve"> Calumet City - Bank of America</v>
      </c>
      <c r="B30" s="9" t="str">
        <v>IL</v>
      </c>
      <c r="C30" s="24">
        <f>SUM(Oct!C30, Nov!C30, Dec!C30)</f>
        <v>0</v>
      </c>
      <c r="D30" s="13">
        <f>SUM(Oct!D30, Nov!D30, Dec!D30)</f>
        <v>0</v>
      </c>
      <c r="E30" s="13">
        <f t="shared" si="6"/>
        <v>0</v>
      </c>
      <c r="F30" s="14" t="str">
        <f t="shared" si="7"/>
        <v/>
      </c>
      <c r="G30" s="15"/>
      <c r="H30" s="15">
        <f>SUM(Oct!H30, Nov!H30, Dec!H30)</f>
        <v>0</v>
      </c>
      <c r="I30" s="16" t="str">
        <f t="shared" si="8"/>
        <v/>
      </c>
    </row>
    <row r="31" spans="1:9" ht="15.75">
      <c r="A31" s="17" t="str">
        <v xml:space="preserve"> Downers Grove - Bank of America</v>
      </c>
      <c r="B31" s="10" t="str">
        <v>IL</v>
      </c>
      <c r="C31" s="11">
        <f>SUM(Oct!C31, Nov!C31, Dec!C31)</f>
        <v>0</v>
      </c>
      <c r="D31" s="18">
        <f>SUM(Oct!D31, Nov!D31, Dec!D31)</f>
        <v>0</v>
      </c>
      <c r="E31" s="18">
        <f t="shared" si="6"/>
        <v>0</v>
      </c>
      <c r="F31" s="19" t="str">
        <f t="shared" si="7"/>
        <v/>
      </c>
      <c r="G31" s="20"/>
      <c r="H31" s="20">
        <f>SUM(Oct!H31, Nov!H31, Dec!H31)</f>
        <v>0</v>
      </c>
      <c r="I31" s="19" t="str">
        <f t="shared" si="8"/>
        <v/>
      </c>
    </row>
    <row r="32" spans="1:9" ht="15.75">
      <c r="A32" s="12" t="str">
        <v xml:space="preserve"> Bloomington - Bank of America</v>
      </c>
      <c r="B32" s="9" t="str">
        <v>MN</v>
      </c>
      <c r="C32" s="24">
        <f>SUM(Oct!C32, Nov!C32, Dec!C32)</f>
        <v>0</v>
      </c>
      <c r="D32" s="13">
        <f>SUM(Oct!D32, Nov!D32, Dec!D32)</f>
        <v>0</v>
      </c>
      <c r="E32" s="13">
        <f t="shared" si="6"/>
        <v>0</v>
      </c>
      <c r="F32" s="14" t="str">
        <f t="shared" si="7"/>
        <v/>
      </c>
      <c r="G32" s="15"/>
      <c r="H32" s="15">
        <f>SUM(Oct!H32, Nov!H32, Dec!H32)</f>
        <v>0</v>
      </c>
      <c r="I32" s="16" t="str">
        <f t="shared" si="8"/>
        <v/>
      </c>
    </row>
    <row r="33" spans="1:9" ht="15.75">
      <c r="A33" s="17" t="str">
        <v xml:space="preserve"> Clayton - Bank of America</v>
      </c>
      <c r="B33" s="10" t="str">
        <v>MO</v>
      </c>
      <c r="C33" s="11">
        <f>SUM(Oct!C33, Nov!C33, Dec!C33)</f>
        <v>0</v>
      </c>
      <c r="D33" s="18">
        <f>SUM(Oct!D33, Nov!D33, Dec!D33)</f>
        <v>0</v>
      </c>
      <c r="E33" s="18">
        <f t="shared" si="6"/>
        <v>0</v>
      </c>
      <c r="F33" s="19" t="str">
        <f t="shared" si="7"/>
        <v/>
      </c>
      <c r="G33" s="20"/>
      <c r="H33" s="20">
        <f>SUM(Oct!H33, Nov!H33, Dec!H33)</f>
        <v>0</v>
      </c>
      <c r="I33" s="19" t="str">
        <f t="shared" si="8"/>
        <v/>
      </c>
    </row>
    <row r="34" spans="1:9" ht="15.75">
      <c r="A34" s="12" t="str">
        <v xml:space="preserve"> Manchester - Bank of America</v>
      </c>
      <c r="B34" s="9" t="str">
        <v>MO</v>
      </c>
      <c r="C34" s="24">
        <f>SUM(Oct!C34, Nov!C34, Dec!C34)</f>
        <v>0</v>
      </c>
      <c r="D34" s="13">
        <f>SUM(Oct!D34, Nov!D34, Dec!D34)</f>
        <v>0</v>
      </c>
      <c r="E34" s="13">
        <f t="shared" si="6"/>
        <v>0</v>
      </c>
      <c r="F34" s="14" t="str">
        <f t="shared" si="7"/>
        <v/>
      </c>
      <c r="G34" s="15"/>
      <c r="H34" s="15">
        <f>SUM(Oct!H34, Nov!H34, Dec!H34)</f>
        <v>0</v>
      </c>
      <c r="I34" s="16" t="str">
        <f t="shared" si="8"/>
        <v/>
      </c>
    </row>
    <row r="35" spans="1:9" ht="15.75">
      <c r="A35" s="17" t="str">
        <v xml:space="preserve"> Las Vegas - BA - Eastern Ave</v>
      </c>
      <c r="B35" s="10" t="str">
        <v>NV</v>
      </c>
      <c r="C35" s="11">
        <f>SUM(Oct!C35, Nov!C35, Dec!C35)</f>
        <v>0</v>
      </c>
      <c r="D35" s="18">
        <f>SUM(Oct!D35, Nov!D35, Dec!D35)</f>
        <v>0</v>
      </c>
      <c r="E35" s="18">
        <f t="shared" si="6"/>
        <v>0</v>
      </c>
      <c r="F35" s="19" t="str">
        <f t="shared" si="7"/>
        <v/>
      </c>
      <c r="G35" s="20"/>
      <c r="H35" s="20">
        <f>SUM(Oct!H35, Nov!H35, Dec!H35)</f>
        <v>0</v>
      </c>
      <c r="I35" s="19" t="str">
        <f t="shared" si="8"/>
        <v/>
      </c>
    </row>
    <row r="36" spans="1:9" ht="15.75">
      <c r="A36" s="12" t="str">
        <v xml:space="preserve"> Las Vegas - BA - Town Ctr Dr</v>
      </c>
      <c r="B36" s="9" t="str">
        <v>NV</v>
      </c>
      <c r="C36" s="24">
        <f>SUM(Oct!C36, Nov!C36, Dec!C36)</f>
        <v>0</v>
      </c>
      <c r="D36" s="13">
        <f>SUM(Oct!D36, Nov!D36, Dec!D36)</f>
        <v>0</v>
      </c>
      <c r="E36" s="13">
        <f t="shared" si="6"/>
        <v>0</v>
      </c>
      <c r="F36" s="14" t="str">
        <f t="shared" si="7"/>
        <v/>
      </c>
      <c r="G36" s="15"/>
      <c r="H36" s="15">
        <f>SUM(Oct!H36, Nov!H36, Dec!H36)</f>
        <v>0</v>
      </c>
      <c r="I36" s="16" t="str">
        <f t="shared" si="8"/>
        <v/>
      </c>
    </row>
    <row r="37" spans="1:9" ht="15.75">
      <c r="A37" s="17" t="str">
        <v xml:space="preserve"> Riverton - Bank of America</v>
      </c>
      <c r="B37" s="10" t="str">
        <v>UT</v>
      </c>
      <c r="C37" s="11">
        <f>SUM(Oct!C37, Nov!C37, Dec!C37)</f>
        <v>0</v>
      </c>
      <c r="D37" s="18">
        <f>SUM(Oct!D37, Nov!D37, Dec!D37)</f>
        <v>0</v>
      </c>
      <c r="E37" s="18">
        <f t="shared" si="6"/>
        <v>0</v>
      </c>
      <c r="F37" s="19" t="str">
        <f t="shared" si="7"/>
        <v/>
      </c>
      <c r="G37" s="20"/>
      <c r="H37" s="20">
        <f>SUM(Oct!H37, Nov!H37, Dec!H37)</f>
        <v>0</v>
      </c>
      <c r="I37" s="19" t="str">
        <f t="shared" si="8"/>
        <v/>
      </c>
    </row>
    <row r="38" spans="1:9" ht="15.75">
      <c r="A38" s="12" t="str">
        <v xml:space="preserve"> Salt Lake City - Bank of America</v>
      </c>
      <c r="B38" s="9" t="str">
        <v>UT</v>
      </c>
      <c r="C38" s="24">
        <f>SUM(Oct!C38, Nov!C38, Dec!C38)</f>
        <v>0</v>
      </c>
      <c r="D38" s="13">
        <f>SUM(Oct!D38, Nov!D38, Dec!D38)</f>
        <v>0</v>
      </c>
      <c r="E38" s="13">
        <f t="shared" si="6"/>
        <v>0</v>
      </c>
      <c r="F38" s="14" t="str">
        <f t="shared" si="7"/>
        <v/>
      </c>
      <c r="G38" s="15"/>
      <c r="H38" s="15">
        <f>SUM(Oct!H38, Nov!H38, Dec!H38)</f>
        <v>0</v>
      </c>
      <c r="I38" s="16" t="str">
        <f t="shared" si="8"/>
        <v/>
      </c>
    </row>
    <row r="39" spans="1:9">
      <c r="A39" s="21"/>
      <c r="B39" s="21"/>
      <c r="C39" s="21"/>
      <c r="D39" s="21"/>
      <c r="E39" s="21"/>
      <c r="F39" s="22"/>
      <c r="G39" s="21"/>
      <c r="H39" s="21"/>
      <c r="I39" s="22"/>
    </row>
    <row r="40" spans="1:9">
      <c r="A40" s="21"/>
      <c r="B40" s="21"/>
      <c r="C40" s="21"/>
      <c r="D40" s="21"/>
      <c r="E40" s="21"/>
      <c r="F40" s="22"/>
      <c r="G40" s="21"/>
      <c r="H40" s="21"/>
      <c r="I40" s="22"/>
    </row>
    <row r="41" spans="1:9">
      <c r="A41" s="21"/>
      <c r="B41" s="21"/>
      <c r="C41" s="21"/>
      <c r="D41" s="21"/>
      <c r="E41" s="21"/>
      <c r="F41" s="22"/>
      <c r="G41" s="21"/>
      <c r="H41" s="21"/>
      <c r="I41" s="22"/>
    </row>
    <row r="42" spans="1:9">
      <c r="A42" s="21"/>
      <c r="B42" s="21"/>
      <c r="C42" s="21"/>
      <c r="D42" s="21"/>
      <c r="E42" s="21"/>
      <c r="F42" s="22"/>
      <c r="G42" s="21"/>
      <c r="H42" s="21"/>
      <c r="I42" s="22"/>
    </row>
    <row r="43" spans="1:9">
      <c r="A43" s="21"/>
      <c r="B43" s="21"/>
      <c r="C43" s="21"/>
      <c r="D43" s="21"/>
      <c r="E43" s="21"/>
      <c r="F43" s="22"/>
      <c r="G43" s="21"/>
      <c r="H43" s="21"/>
      <c r="I43" s="22"/>
    </row>
    <row r="44" spans="1:9">
      <c r="A44" s="21"/>
      <c r="B44" s="21"/>
      <c r="C44" s="21"/>
      <c r="D44" s="21"/>
      <c r="E44" s="21"/>
      <c r="F44" s="22"/>
      <c r="G44" s="21"/>
      <c r="H44" s="21"/>
      <c r="I44" s="22"/>
    </row>
    <row r="45" spans="1:9">
      <c r="A45" s="21"/>
      <c r="B45" s="21"/>
      <c r="C45" s="21"/>
      <c r="D45" s="21"/>
      <c r="E45" s="21"/>
      <c r="F45" s="22"/>
      <c r="G45" s="21"/>
      <c r="H45" s="21"/>
      <c r="I45" s="22"/>
    </row>
    <row r="46" spans="1:9">
      <c r="A46" s="21"/>
      <c r="B46" s="21"/>
      <c r="C46" s="21"/>
      <c r="D46" s="21"/>
      <c r="E46" s="21"/>
      <c r="F46" s="22"/>
      <c r="G46" s="21"/>
      <c r="H46" s="21"/>
      <c r="I46" s="22"/>
    </row>
    <row r="47" spans="1:9">
      <c r="A47" s="21"/>
      <c r="B47" s="21"/>
      <c r="C47" s="21"/>
      <c r="D47" s="21"/>
      <c r="E47" s="21"/>
      <c r="F47" s="22"/>
      <c r="G47" s="21"/>
      <c r="H47" s="21"/>
      <c r="I47" s="22"/>
    </row>
    <row r="48" spans="1:9">
      <c r="A48" s="21"/>
      <c r="B48" s="21"/>
      <c r="C48" s="21"/>
      <c r="D48" s="21"/>
      <c r="E48" s="21"/>
      <c r="F48" s="22"/>
      <c r="G48" s="21"/>
      <c r="H48" s="21"/>
      <c r="I48" s="22"/>
    </row>
    <row r="49" spans="1:9">
      <c r="A49" s="21"/>
      <c r="B49" s="21"/>
      <c r="C49" s="21"/>
      <c r="D49" s="21"/>
      <c r="E49" s="21"/>
      <c r="F49" s="22"/>
      <c r="G49" s="21"/>
      <c r="H49" s="21"/>
      <c r="I49" s="22"/>
    </row>
    <row r="50" spans="1:9">
      <c r="A50" s="21"/>
      <c r="B50" s="21"/>
      <c r="C50" s="21"/>
      <c r="D50" s="21"/>
      <c r="E50" s="21"/>
      <c r="F50" s="22"/>
      <c r="G50" s="21"/>
      <c r="H50" s="21"/>
      <c r="I50" s="22"/>
    </row>
    <row r="51" spans="1:9">
      <c r="A51" s="21"/>
      <c r="B51" s="21"/>
      <c r="C51" s="21"/>
      <c r="D51" s="21"/>
      <c r="E51" s="21"/>
      <c r="F51" s="22"/>
      <c r="G51" s="21"/>
      <c r="H51" s="21"/>
      <c r="I51" s="22"/>
    </row>
    <row r="52" spans="1:9">
      <c r="A52" s="21"/>
      <c r="B52" s="21"/>
      <c r="C52" s="21"/>
      <c r="D52" s="21"/>
      <c r="E52" s="21"/>
      <c r="F52" s="22"/>
      <c r="G52" s="21"/>
      <c r="H52" s="21"/>
      <c r="I52" s="22"/>
    </row>
    <row r="53" spans="1:9">
      <c r="A53" s="21"/>
      <c r="B53" s="21"/>
      <c r="C53" s="21"/>
      <c r="D53" s="21"/>
      <c r="E53" s="21"/>
      <c r="F53" s="22"/>
      <c r="G53" s="21"/>
      <c r="H53" s="21"/>
      <c r="I53" s="22"/>
    </row>
    <row r="54" spans="1:9">
      <c r="A54" s="21"/>
      <c r="B54" s="21"/>
      <c r="C54" s="21"/>
      <c r="D54" s="21"/>
      <c r="E54" s="21"/>
      <c r="F54" s="22"/>
      <c r="G54" s="21"/>
      <c r="H54" s="21"/>
      <c r="I54" s="22"/>
    </row>
    <row r="55" spans="1:9">
      <c r="A55" s="21"/>
      <c r="B55" s="21"/>
      <c r="C55" s="21"/>
      <c r="D55" s="21"/>
      <c r="E55" s="21"/>
      <c r="F55" s="22"/>
      <c r="G55" s="21"/>
      <c r="H55" s="21"/>
      <c r="I55" s="22"/>
    </row>
    <row r="56" spans="1:9">
      <c r="A56" s="21"/>
      <c r="B56" s="21"/>
      <c r="C56" s="21"/>
      <c r="D56" s="21"/>
      <c r="E56" s="21"/>
      <c r="F56" s="22"/>
      <c r="G56" s="21"/>
      <c r="H56" s="21"/>
      <c r="I56" s="22"/>
    </row>
    <row r="57" spans="1:9">
      <c r="A57" s="21"/>
      <c r="B57" s="21"/>
      <c r="C57" s="21"/>
      <c r="D57" s="21"/>
      <c r="E57" s="21"/>
      <c r="F57" s="22"/>
      <c r="G57" s="21"/>
      <c r="H57" s="21"/>
      <c r="I57" s="22"/>
    </row>
    <row r="58" spans="1:9">
      <c r="A58" s="21"/>
      <c r="B58" s="21"/>
      <c r="C58" s="21"/>
      <c r="D58" s="21"/>
      <c r="E58" s="21"/>
      <c r="F58" s="22"/>
      <c r="G58" s="21"/>
      <c r="H58" s="21"/>
      <c r="I58" s="22"/>
    </row>
    <row r="59" spans="1:9">
      <c r="A59" s="21"/>
      <c r="B59" s="21"/>
      <c r="C59" s="21"/>
      <c r="D59" s="21"/>
      <c r="E59" s="21"/>
      <c r="F59" s="22"/>
      <c r="G59" s="21"/>
      <c r="H59" s="21"/>
      <c r="I59" s="22"/>
    </row>
    <row r="60" spans="1:9">
      <c r="A60" s="21"/>
      <c r="B60" s="21"/>
      <c r="C60" s="21"/>
      <c r="D60" s="21"/>
      <c r="E60" s="21"/>
      <c r="F60" s="22"/>
      <c r="G60" s="21"/>
      <c r="H60" s="21"/>
      <c r="I60" s="22"/>
    </row>
    <row r="61" spans="1:9">
      <c r="A61" s="21"/>
      <c r="B61" s="21"/>
      <c r="C61" s="21"/>
      <c r="D61" s="21"/>
      <c r="E61" s="21"/>
      <c r="F61" s="22"/>
      <c r="G61" s="21"/>
      <c r="H61" s="21"/>
      <c r="I61" s="22"/>
    </row>
    <row r="62" spans="1:9">
      <c r="A62" s="21"/>
      <c r="B62" s="21"/>
      <c r="C62" s="21"/>
      <c r="D62" s="21"/>
      <c r="E62" s="21"/>
      <c r="F62" s="22"/>
      <c r="G62" s="21"/>
      <c r="H62" s="21"/>
      <c r="I62" s="22"/>
    </row>
    <row r="63" spans="1:9">
      <c r="A63" s="21"/>
      <c r="B63" s="21"/>
      <c r="C63" s="21"/>
      <c r="D63" s="21"/>
      <c r="E63" s="21"/>
      <c r="F63" s="22"/>
      <c r="G63" s="21"/>
      <c r="H63" s="21"/>
      <c r="I63" s="22"/>
    </row>
    <row r="64" spans="1:9">
      <c r="A64" s="21"/>
      <c r="B64" s="21"/>
      <c r="C64" s="21"/>
      <c r="D64" s="21"/>
      <c r="E64" s="21"/>
      <c r="F64" s="22"/>
      <c r="G64" s="21"/>
      <c r="H64" s="21"/>
      <c r="I64" s="22"/>
    </row>
    <row r="65" spans="1:9">
      <c r="A65" s="21"/>
      <c r="B65" s="21"/>
      <c r="C65" s="21"/>
      <c r="D65" s="21"/>
      <c r="E65" s="21"/>
      <c r="F65" s="22"/>
      <c r="G65" s="21"/>
      <c r="H65" s="21"/>
      <c r="I65" s="22"/>
    </row>
    <row r="66" spans="1:9">
      <c r="A66" s="21"/>
      <c r="B66" s="21"/>
      <c r="C66" s="21"/>
      <c r="D66" s="21"/>
      <c r="E66" s="21"/>
      <c r="F66" s="22"/>
      <c r="G66" s="21"/>
      <c r="H66" s="21"/>
      <c r="I66" s="22"/>
    </row>
    <row r="67" spans="1:9">
      <c r="A67" s="21"/>
      <c r="B67" s="21"/>
      <c r="C67" s="21"/>
      <c r="D67" s="21"/>
      <c r="E67" s="21"/>
      <c r="F67" s="22"/>
      <c r="G67" s="21"/>
      <c r="H67" s="21"/>
      <c r="I67" s="22"/>
    </row>
    <row r="68" spans="1:9">
      <c r="A68" s="21"/>
      <c r="B68" s="21"/>
      <c r="C68" s="21"/>
      <c r="D68" s="21"/>
      <c r="E68" s="21"/>
      <c r="F68" s="22"/>
      <c r="G68" s="21"/>
      <c r="H68" s="21"/>
      <c r="I68" s="22"/>
    </row>
    <row r="69" spans="1:9">
      <c r="A69" s="21"/>
      <c r="B69" s="21"/>
      <c r="C69" s="21"/>
      <c r="D69" s="21"/>
      <c r="E69" s="21"/>
      <c r="F69" s="22"/>
      <c r="G69" s="21"/>
      <c r="H69" s="21"/>
      <c r="I69" s="22"/>
    </row>
    <row r="70" spans="1:9">
      <c r="A70" s="21"/>
      <c r="B70" s="21"/>
      <c r="C70" s="21"/>
      <c r="D70" s="21"/>
      <c r="E70" s="21"/>
      <c r="F70" s="22"/>
      <c r="G70" s="21"/>
      <c r="H70" s="21"/>
      <c r="I70" s="22"/>
    </row>
    <row r="71" spans="1:9">
      <c r="A71" s="21"/>
      <c r="B71" s="21"/>
      <c r="C71" s="21"/>
      <c r="D71" s="21"/>
      <c r="E71" s="21"/>
      <c r="F71" s="22"/>
      <c r="G71" s="21"/>
      <c r="H71" s="21"/>
      <c r="I71" s="22"/>
    </row>
    <row r="72" spans="1:9">
      <c r="A72" s="21"/>
      <c r="B72" s="21"/>
      <c r="C72" s="21"/>
      <c r="D72" s="21"/>
      <c r="E72" s="21"/>
      <c r="F72" s="22"/>
      <c r="G72" s="21"/>
      <c r="H72" s="21"/>
      <c r="I72" s="22"/>
    </row>
    <row r="73" spans="1:9">
      <c r="A73" s="21"/>
      <c r="B73" s="21"/>
      <c r="C73" s="21"/>
      <c r="D73" s="21"/>
      <c r="E73" s="21"/>
      <c r="F73" s="22"/>
      <c r="G73" s="21"/>
      <c r="H73" s="21"/>
      <c r="I73" s="22"/>
    </row>
    <row r="74" spans="1:9">
      <c r="A74" s="21"/>
      <c r="B74" s="21"/>
      <c r="C74" s="21"/>
      <c r="D74" s="21"/>
      <c r="E74" s="21"/>
      <c r="F74" s="22"/>
      <c r="G74" s="21"/>
      <c r="H74" s="21"/>
      <c r="I74" s="22"/>
    </row>
    <row r="75" spans="1:9">
      <c r="A75" s="21"/>
      <c r="B75" s="21"/>
      <c r="C75" s="21"/>
      <c r="D75" s="21"/>
      <c r="E75" s="21"/>
      <c r="F75" s="22"/>
      <c r="G75" s="21"/>
      <c r="H75" s="21"/>
      <c r="I75" s="22"/>
    </row>
    <row r="76" spans="1:9">
      <c r="A76" s="21"/>
      <c r="B76" s="21"/>
      <c r="C76" s="21"/>
      <c r="D76" s="21"/>
      <c r="E76" s="21"/>
      <c r="F76" s="22"/>
      <c r="G76" s="21"/>
      <c r="H76" s="21"/>
      <c r="I76" s="22"/>
    </row>
    <row r="77" spans="1:9">
      <c r="A77" s="21"/>
      <c r="B77" s="21"/>
      <c r="C77" s="21"/>
      <c r="D77" s="21"/>
      <c r="E77" s="21"/>
      <c r="F77" s="22"/>
      <c r="G77" s="21"/>
      <c r="H77" s="21"/>
      <c r="I77" s="22"/>
    </row>
    <row r="78" spans="1:9">
      <c r="A78" s="21"/>
      <c r="B78" s="21"/>
      <c r="C78" s="21"/>
      <c r="D78" s="21"/>
      <c r="E78" s="21"/>
      <c r="F78" s="22"/>
      <c r="G78" s="21"/>
      <c r="H78" s="21"/>
      <c r="I78" s="22"/>
    </row>
    <row r="79" spans="1:9">
      <c r="A79" s="21"/>
      <c r="B79" s="21"/>
      <c r="C79" s="21"/>
      <c r="D79" s="21"/>
      <c r="E79" s="21"/>
      <c r="F79" s="22"/>
      <c r="G79" s="21"/>
      <c r="H79" s="21"/>
      <c r="I79" s="22"/>
    </row>
    <row r="80" spans="1:9">
      <c r="A80" s="21"/>
      <c r="B80" s="21"/>
      <c r="C80" s="21"/>
      <c r="D80" s="21"/>
      <c r="E80" s="21"/>
      <c r="F80" s="22"/>
      <c r="G80" s="21"/>
      <c r="H80" s="21"/>
      <c r="I80" s="22"/>
    </row>
    <row r="81" spans="1:9">
      <c r="A81" s="21"/>
      <c r="B81" s="21"/>
      <c r="C81" s="21"/>
      <c r="D81" s="21"/>
      <c r="E81" s="21"/>
      <c r="F81" s="22"/>
      <c r="G81" s="21"/>
      <c r="H81" s="21"/>
      <c r="I81" s="22"/>
    </row>
    <row r="82" spans="1:9">
      <c r="A82" s="21"/>
      <c r="B82" s="21"/>
      <c r="C82" s="21"/>
      <c r="D82" s="21"/>
      <c r="E82" s="21"/>
      <c r="F82" s="22"/>
      <c r="G82" s="21"/>
      <c r="H82" s="21"/>
      <c r="I82" s="22"/>
    </row>
    <row r="83" spans="1:9">
      <c r="A83" s="21"/>
      <c r="B83" s="21"/>
      <c r="C83" s="21"/>
      <c r="D83" s="21"/>
      <c r="E83" s="21"/>
      <c r="F83" s="22"/>
      <c r="G83" s="21"/>
      <c r="H83" s="21"/>
      <c r="I83" s="22"/>
    </row>
    <row r="84" spans="1:9">
      <c r="A84" s="21"/>
      <c r="B84" s="21"/>
      <c r="C84" s="21"/>
      <c r="D84" s="21"/>
      <c r="E84" s="21"/>
      <c r="F84" s="22"/>
      <c r="G84" s="21"/>
      <c r="H84" s="21"/>
      <c r="I84" s="22"/>
    </row>
    <row r="85" spans="1:9">
      <c r="A85" s="21"/>
      <c r="B85" s="21"/>
      <c r="C85" s="21"/>
      <c r="D85" s="21"/>
      <c r="E85" s="21"/>
      <c r="F85" s="22"/>
      <c r="G85" s="21"/>
      <c r="H85" s="21"/>
      <c r="I85" s="22"/>
    </row>
    <row r="86" spans="1:9">
      <c r="A86" s="21"/>
      <c r="B86" s="21"/>
      <c r="C86" s="21"/>
      <c r="D86" s="21"/>
      <c r="E86" s="21"/>
      <c r="F86" s="22"/>
      <c r="G86" s="21"/>
      <c r="H86" s="21"/>
      <c r="I86" s="22"/>
    </row>
    <row r="87" spans="1:9">
      <c r="A87" s="21"/>
      <c r="B87" s="21"/>
      <c r="C87" s="21"/>
      <c r="D87" s="21"/>
      <c r="E87" s="21"/>
      <c r="F87" s="22"/>
      <c r="G87" s="21"/>
      <c r="H87" s="21"/>
      <c r="I87" s="22"/>
    </row>
    <row r="88" spans="1:9">
      <c r="A88" s="21"/>
      <c r="B88" s="21"/>
      <c r="C88" s="21"/>
      <c r="D88" s="21"/>
      <c r="E88" s="21"/>
      <c r="F88" s="22"/>
      <c r="G88" s="21"/>
      <c r="H88" s="21"/>
      <c r="I88" s="22"/>
    </row>
    <row r="89" spans="1:9">
      <c r="A89" s="21"/>
      <c r="B89" s="21"/>
      <c r="C89" s="21"/>
      <c r="D89" s="21"/>
      <c r="E89" s="21"/>
      <c r="F89" s="22"/>
      <c r="G89" s="21"/>
      <c r="H89" s="21"/>
      <c r="I89" s="22"/>
    </row>
    <row r="90" spans="1:9">
      <c r="A90" s="21"/>
      <c r="B90" s="21"/>
      <c r="C90" s="21"/>
      <c r="D90" s="21"/>
      <c r="E90" s="21"/>
      <c r="F90" s="22"/>
      <c r="G90" s="21"/>
      <c r="H90" s="21"/>
      <c r="I90" s="22"/>
    </row>
    <row r="91" spans="1:9">
      <c r="A91" s="21"/>
      <c r="B91" s="21"/>
      <c r="C91" s="21"/>
      <c r="D91" s="21"/>
      <c r="E91" s="21"/>
      <c r="F91" s="22"/>
      <c r="G91" s="21"/>
      <c r="H91" s="21"/>
      <c r="I91" s="22"/>
    </row>
    <row r="92" spans="1:9">
      <c r="A92" s="21"/>
      <c r="B92" s="21"/>
      <c r="C92" s="21"/>
      <c r="D92" s="21"/>
      <c r="E92" s="21"/>
      <c r="F92" s="22"/>
      <c r="G92" s="21"/>
      <c r="H92" s="21"/>
      <c r="I92" s="22"/>
    </row>
    <row r="93" spans="1:9">
      <c r="A93" s="21"/>
      <c r="B93" s="21"/>
      <c r="C93" s="21"/>
      <c r="D93" s="21"/>
      <c r="E93" s="21"/>
      <c r="F93" s="22"/>
      <c r="G93" s="21"/>
      <c r="H93" s="21"/>
      <c r="I93" s="22"/>
    </row>
    <row r="94" spans="1:9">
      <c r="A94" s="21"/>
      <c r="B94" s="21"/>
      <c r="C94" s="21"/>
      <c r="D94" s="21"/>
      <c r="E94" s="21"/>
      <c r="F94" s="22"/>
      <c r="G94" s="21"/>
      <c r="H94" s="21"/>
      <c r="I94" s="22"/>
    </row>
    <row r="95" spans="1:9">
      <c r="A95" s="21"/>
      <c r="B95" s="21"/>
      <c r="C95" s="21"/>
      <c r="D95" s="21"/>
      <c r="E95" s="21"/>
      <c r="F95" s="22"/>
      <c r="G95" s="21"/>
      <c r="H95" s="21"/>
      <c r="I95" s="22"/>
    </row>
    <row r="96" spans="1:9">
      <c r="A96" s="21"/>
      <c r="B96" s="21"/>
      <c r="C96" s="21"/>
      <c r="D96" s="21"/>
      <c r="E96" s="21"/>
      <c r="F96" s="22"/>
      <c r="G96" s="21"/>
      <c r="H96" s="21"/>
      <c r="I96" s="22"/>
    </row>
    <row r="97" spans="1:9">
      <c r="A97" s="21"/>
      <c r="B97" s="21"/>
      <c r="C97" s="21"/>
      <c r="D97" s="21"/>
      <c r="E97" s="21"/>
      <c r="F97" s="22"/>
      <c r="G97" s="21"/>
      <c r="H97" s="21"/>
      <c r="I97" s="22"/>
    </row>
    <row r="98" spans="1:9">
      <c r="A98" s="21"/>
      <c r="B98" s="21"/>
      <c r="C98" s="21"/>
      <c r="D98" s="21"/>
      <c r="E98" s="21"/>
      <c r="F98" s="22"/>
      <c r="G98" s="21"/>
      <c r="H98" s="21"/>
      <c r="I98" s="22"/>
    </row>
    <row r="99" spans="1:9">
      <c r="A99" s="21"/>
      <c r="B99" s="21"/>
      <c r="C99" s="21"/>
      <c r="D99" s="21"/>
      <c r="E99" s="21"/>
      <c r="F99" s="22"/>
      <c r="G99" s="21"/>
      <c r="H99" s="21"/>
      <c r="I99" s="22"/>
    </row>
    <row r="100" spans="1: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>
      <c r="A329" s="21"/>
      <c r="B329" s="21"/>
      <c r="C329" s="21"/>
      <c r="D329" s="21"/>
      <c r="E329" s="21"/>
      <c r="F329" s="22"/>
      <c r="G329" s="21"/>
      <c r="H329" s="21"/>
      <c r="I329" s="22"/>
    </row>
    <row r="330" spans="1:9">
      <c r="A330" s="21"/>
      <c r="B330" s="21"/>
      <c r="C330" s="21"/>
      <c r="D330" s="21"/>
      <c r="E330" s="21"/>
      <c r="F330" s="22"/>
      <c r="G330" s="21"/>
      <c r="H330" s="21"/>
      <c r="I330" s="22"/>
    </row>
    <row r="331" spans="1:9">
      <c r="A331" s="21"/>
      <c r="B331" s="21"/>
      <c r="C331" s="21"/>
      <c r="D331" s="21"/>
      <c r="E331" s="21"/>
      <c r="F331" s="22"/>
      <c r="G331" s="21"/>
      <c r="H331" s="21"/>
      <c r="I331" s="22"/>
    </row>
    <row r="332" spans="1:9">
      <c r="A332" s="21"/>
      <c r="B332" s="21"/>
      <c r="C332" s="21"/>
      <c r="D332" s="21"/>
      <c r="E332" s="21"/>
      <c r="F332" s="22"/>
      <c r="G332" s="21"/>
      <c r="H332" s="21"/>
      <c r="I332" s="22"/>
    </row>
    <row r="333" spans="1:9">
      <c r="A333" s="21"/>
      <c r="B333" s="21"/>
      <c r="C333" s="21"/>
      <c r="D333" s="21"/>
      <c r="E333" s="21"/>
      <c r="F333" s="22"/>
      <c r="G333" s="21"/>
      <c r="H333" s="21"/>
      <c r="I333" s="22"/>
    </row>
    <row r="334" spans="1:9">
      <c r="A334" s="21"/>
      <c r="B334" s="21"/>
      <c r="C334" s="21"/>
      <c r="D334" s="21"/>
      <c r="E334" s="21"/>
      <c r="F334" s="22"/>
      <c r="G334" s="21"/>
      <c r="H334" s="21"/>
      <c r="I334" s="22"/>
    </row>
    <row r="335" spans="1:9">
      <c r="A335" s="21"/>
      <c r="B335" s="21"/>
      <c r="C335" s="21"/>
      <c r="D335" s="21"/>
      <c r="E335" s="21"/>
      <c r="F335" s="22"/>
      <c r="G335" s="21"/>
      <c r="H335" s="21"/>
      <c r="I335" s="22"/>
    </row>
    <row r="336" spans="1:9">
      <c r="A336" s="21"/>
      <c r="B336" s="21"/>
      <c r="C336" s="21"/>
      <c r="D336" s="21"/>
      <c r="E336" s="21"/>
      <c r="F336" s="22"/>
      <c r="G336" s="21"/>
      <c r="H336" s="21"/>
      <c r="I336" s="22"/>
    </row>
    <row r="337" spans="1:9">
      <c r="A337" s="21"/>
      <c r="B337" s="21"/>
      <c r="C337" s="21"/>
      <c r="D337" s="21"/>
      <c r="E337" s="21"/>
      <c r="F337" s="22"/>
      <c r="G337" s="21"/>
      <c r="H337" s="21"/>
      <c r="I337" s="22"/>
    </row>
    <row r="338" spans="1:9">
      <c r="A338" s="21"/>
      <c r="B338" s="21"/>
      <c r="C338" s="21"/>
      <c r="D338" s="21"/>
      <c r="E338" s="21"/>
      <c r="F338" s="22"/>
      <c r="G338" s="21"/>
      <c r="H338" s="21"/>
      <c r="I338" s="22"/>
    </row>
    <row r="339" spans="1:9">
      <c r="A339" s="21"/>
      <c r="B339" s="21"/>
      <c r="C339" s="21"/>
      <c r="D339" s="21"/>
      <c r="E339" s="21"/>
      <c r="F339" s="22"/>
      <c r="G339" s="21"/>
      <c r="H339" s="21"/>
      <c r="I339" s="22"/>
    </row>
    <row r="340" spans="1:9">
      <c r="A340" s="21"/>
      <c r="B340" s="21"/>
      <c r="C340" s="21"/>
      <c r="D340" s="21"/>
      <c r="E340" s="21"/>
      <c r="F340" s="22"/>
      <c r="G340" s="21"/>
      <c r="H340" s="21"/>
      <c r="I340" s="22"/>
    </row>
    <row r="341" spans="1:9">
      <c r="A341" s="21"/>
      <c r="B341" s="21"/>
      <c r="C341" s="21"/>
      <c r="D341" s="21"/>
      <c r="E341" s="21"/>
      <c r="F341" s="22"/>
      <c r="G341" s="21"/>
      <c r="H341" s="21"/>
      <c r="I341" s="22"/>
    </row>
    <row r="342" spans="1:9">
      <c r="A342" s="21"/>
      <c r="B342" s="21"/>
      <c r="C342" s="21"/>
      <c r="D342" s="21"/>
      <c r="E342" s="21"/>
      <c r="F342" s="22"/>
      <c r="G342" s="21"/>
      <c r="H342" s="21"/>
      <c r="I342" s="22"/>
    </row>
  </sheetData>
  <mergeCells count="4">
    <mergeCell ref="G1:I1"/>
    <mergeCell ref="A1:C1"/>
    <mergeCell ref="D1:F1"/>
    <mergeCell ref="A2:B2"/>
  </mergeCells>
  <conditionalFormatting sqref="F2 I2 F4:F100 I4:I100">
    <cfRule type="cellIs" dxfId="52" priority="1" stopIfTrue="1" operator="lessThanOrEqual">
      <formula>-0.1</formula>
    </cfRule>
    <cfRule type="expression" dxfId="5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41"/>
  <sheetViews>
    <sheetView workbookViewId="0">
      <pane xSplit="2" ySplit="3" topLeftCell="C4" activePane="bottomRight" state="frozen"/>
      <selection pane="bottomRight" activeCell="A16" sqref="A16:K38"/>
      <selection pane="bottomLeft"/>
      <selection pane="topRight"/>
    </sheetView>
  </sheetViews>
  <sheetFormatPr defaultRowHeight="14.2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7" t="str" cm="1">
        <f t="array" ref="A1">portfolio</f>
        <v>Cushman &amp; Wakefield</v>
      </c>
      <c r="B1" s="57"/>
      <c r="C1" s="57"/>
      <c r="D1" s="58" t="s">
        <v>18</v>
      </c>
      <c r="E1" s="58"/>
      <c r="F1" s="58"/>
      <c r="G1" s="56" t="s">
        <v>19</v>
      </c>
      <c r="H1" s="56"/>
      <c r="I1" s="56"/>
      <c r="J1" s="4"/>
      <c r="K1" s="4"/>
    </row>
    <row r="2" spans="1:11" ht="19.5" customHeight="1">
      <c r="A2" s="59" t="s">
        <v>2</v>
      </c>
      <c r="B2" s="59"/>
      <c r="C2" s="5">
        <f>SUM(C4:C99)</f>
        <v>0</v>
      </c>
      <c r="D2" s="5">
        <f>SUM(D4:D99)</f>
        <v>0</v>
      </c>
      <c r="E2" s="5">
        <f>C2-D2</f>
        <v>0</v>
      </c>
      <c r="F2" s="6">
        <f>IFERROR(E2/D2, 0)</f>
        <v>0</v>
      </c>
      <c r="G2" s="5">
        <f>SUM(G4:G99)</f>
        <v>0</v>
      </c>
      <c r="H2" s="7">
        <f>C2-G2</f>
        <v>0</v>
      </c>
      <c r="I2" s="6">
        <f>IFERROR(H2/G2, 0)</f>
        <v>0</v>
      </c>
      <c r="J2" s="26" t="str">
        <f ca="1">IF(AND(TODAY()&gt;DATE(2024, 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27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40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38">Sites[Site]</f>
        <v xml:space="preserve"> Adelanto - Bank of America</v>
      </c>
      <c r="B4" s="29" t="str" cm="1">
        <f t="array" ref="B4:B38">Sites[State]</f>
        <v>CA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75">
      <c r="A5" s="30" t="str">
        <v xml:space="preserve"> Apple Valley - Bank of America</v>
      </c>
      <c r="B5" s="31" t="str">
        <v>CA</v>
      </c>
      <c r="C5" s="11"/>
      <c r="D5" s="18"/>
      <c r="E5" s="18" t="str">
        <f t="shared" ref="E5:E15" si="0">IF(AND(ISNUMBER(C5),ISNUMBER(D5)), C5-D5, "")</f>
        <v/>
      </c>
      <c r="F5" s="19" t="str">
        <f>IFERROR(E5/D5, "")</f>
        <v/>
      </c>
      <c r="G5" s="20"/>
      <c r="H5" s="20" t="str">
        <f t="shared" ref="H5:H6" si="1">IF(AND(ISNUMBER(C5),ISNUMBER(G5)), C5-G5, "")</f>
        <v/>
      </c>
      <c r="I5" s="19" t="str">
        <f t="shared" ref="I5:I6" si="2">IFERROR(H5/G5, "")</f>
        <v/>
      </c>
      <c r="J5" s="42"/>
      <c r="K5" s="42"/>
    </row>
    <row r="6" spans="1:11" ht="15.75">
      <c r="A6" s="28" t="str">
        <v xml:space="preserve"> Arvin - Bank of America</v>
      </c>
      <c r="B6" s="29" t="str">
        <v>CA</v>
      </c>
      <c r="C6" s="24"/>
      <c r="D6" s="13"/>
      <c r="E6" s="13" t="str">
        <f t="shared" si="0"/>
        <v/>
      </c>
      <c r="F6" s="14" t="str">
        <f t="shared" ref="F6:F15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5.75">
      <c r="A7" s="30" t="str">
        <v xml:space="preserve"> Bell - Bank of America</v>
      </c>
      <c r="B7" s="31" t="str">
        <v>CA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ref="H7:H15" si="4">IF(AND(ISNUMBER(C7),ISNUMBER(G7)), C7-G7, "")</f>
        <v/>
      </c>
      <c r="I7" s="19" t="str">
        <f t="shared" ref="I7:I15" si="5">IFERROR(H7/G7, "")</f>
        <v/>
      </c>
      <c r="J7" s="42"/>
      <c r="K7" s="43"/>
    </row>
    <row r="8" spans="1:11" ht="15.75">
      <c r="A8" s="28" t="str">
        <v xml:space="preserve"> Chula Vista - Bank of America</v>
      </c>
      <c r="B8" s="29" t="str">
        <v>CA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4"/>
        <v/>
      </c>
      <c r="I8" s="16" t="str">
        <f t="shared" si="5"/>
        <v/>
      </c>
      <c r="J8" s="41"/>
      <c r="K8" s="41"/>
    </row>
    <row r="9" spans="1:11" ht="15.75">
      <c r="A9" s="30" t="str">
        <v xml:space="preserve"> Cupertino - Bank of America</v>
      </c>
      <c r="B9" s="31" t="str">
        <v>CA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4"/>
        <v/>
      </c>
      <c r="I9" s="19" t="str">
        <f t="shared" si="5"/>
        <v/>
      </c>
      <c r="J9" s="42"/>
      <c r="K9" s="43"/>
    </row>
    <row r="10" spans="1:11" ht="15.75">
      <c r="A10" s="28" t="str">
        <v xml:space="preserve"> Diamond Bar - Bank of America</v>
      </c>
      <c r="B10" s="29" t="str">
        <v>CA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4"/>
        <v/>
      </c>
      <c r="I10" s="16" t="str">
        <f t="shared" si="5"/>
        <v/>
      </c>
      <c r="J10" s="41"/>
      <c r="K10" s="41"/>
    </row>
    <row r="11" spans="1:11" ht="15.75">
      <c r="A11" s="30" t="str">
        <v xml:space="preserve"> El Centro - Bank of America</v>
      </c>
      <c r="B11" s="31" t="str">
        <v>CA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4"/>
        <v/>
      </c>
      <c r="I11" s="19" t="str">
        <f t="shared" si="5"/>
        <v/>
      </c>
      <c r="J11" s="42"/>
      <c r="K11" s="43"/>
    </row>
    <row r="12" spans="1:11" ht="15.75">
      <c r="A12" s="28" t="str">
        <v xml:space="preserve"> Moreno Valley - Bank of America</v>
      </c>
      <c r="B12" s="29" t="str">
        <v>CA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4"/>
        <v/>
      </c>
      <c r="I12" s="16" t="str">
        <f t="shared" si="5"/>
        <v/>
      </c>
      <c r="J12" s="41"/>
      <c r="K12" s="41"/>
    </row>
    <row r="13" spans="1:11" ht="15.75">
      <c r="A13" s="30" t="str">
        <v xml:space="preserve"> Redlands - Bank of America</v>
      </c>
      <c r="B13" s="31" t="str">
        <v>CA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4"/>
        <v/>
      </c>
      <c r="I13" s="19" t="str">
        <f t="shared" si="5"/>
        <v/>
      </c>
      <c r="J13" s="42"/>
      <c r="K13" s="43"/>
    </row>
    <row r="14" spans="1:11" ht="15.75">
      <c r="A14" s="28" t="str">
        <v xml:space="preserve"> Roseville - Bank of America</v>
      </c>
      <c r="B14" s="29" t="str">
        <v>CA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4"/>
        <v/>
      </c>
      <c r="I14" s="16" t="str">
        <f t="shared" si="5"/>
        <v/>
      </c>
      <c r="J14" s="41"/>
      <c r="K14" s="41"/>
    </row>
    <row r="15" spans="1:11" ht="15.75">
      <c r="A15" s="30" t="str">
        <v xml:space="preserve"> San Bernardino - Bank of America</v>
      </c>
      <c r="B15" s="31" t="str">
        <v>CA</v>
      </c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4"/>
        <v/>
      </c>
      <c r="I15" s="19" t="str">
        <f t="shared" si="5"/>
        <v/>
      </c>
      <c r="J15" s="42"/>
      <c r="K15" s="43"/>
    </row>
    <row r="16" spans="1:11" ht="15.75">
      <c r="A16" s="28" t="str">
        <v xml:space="preserve"> San Diego - Bank of America</v>
      </c>
      <c r="B16" s="29" t="str">
        <v>CA</v>
      </c>
      <c r="C16" s="24"/>
      <c r="D16" s="13"/>
      <c r="E16" s="13" t="str">
        <f t="shared" ref="E16:E17" si="6">IF(AND(ISNUMBER(C16),ISNUMBER(D16)), C16-D16, "")</f>
        <v/>
      </c>
      <c r="F16" s="14" t="str">
        <f t="shared" ref="F16:F17" si="7">IFERROR(E16/D16, "")</f>
        <v/>
      </c>
      <c r="G16" s="15"/>
      <c r="H16" s="15" t="str">
        <f t="shared" ref="H16:H17" si="8">IF(AND(ISNUMBER(C16),ISNUMBER(G16)), C16-G16, "")</f>
        <v/>
      </c>
      <c r="I16" s="16" t="str">
        <f t="shared" ref="I16:I17" si="9">IFERROR(H16/G16, "")</f>
        <v/>
      </c>
      <c r="J16" s="41"/>
      <c r="K16" s="41"/>
    </row>
    <row r="17" spans="1:11" ht="15.75">
      <c r="A17" s="30" t="str">
        <v xml:space="preserve"> Stockton - Bank of America</v>
      </c>
      <c r="B17" s="31" t="str">
        <v>CA</v>
      </c>
      <c r="C17" s="11"/>
      <c r="D17" s="18"/>
      <c r="E17" s="18" t="str">
        <f t="shared" si="6"/>
        <v/>
      </c>
      <c r="F17" s="19" t="str">
        <f t="shared" si="7"/>
        <v/>
      </c>
      <c r="G17" s="20"/>
      <c r="H17" s="20" t="str">
        <f t="shared" si="8"/>
        <v/>
      </c>
      <c r="I17" s="19" t="str">
        <f t="shared" si="9"/>
        <v/>
      </c>
      <c r="J17" s="42"/>
      <c r="K17" s="43"/>
    </row>
    <row r="18" spans="1:11" ht="15.75">
      <c r="A18" s="28" t="str">
        <v xml:space="preserve"> Victorville - Bank of America</v>
      </c>
      <c r="B18" s="29" t="str">
        <v>CA</v>
      </c>
      <c r="C18" s="24"/>
      <c r="D18" s="13"/>
      <c r="E18" s="13" t="str">
        <f t="shared" ref="E18:E38" si="10">IF(AND(ISNUMBER(C18),ISNUMBER(D18)), C18-D18, "")</f>
        <v/>
      </c>
      <c r="F18" s="14" t="str">
        <f t="shared" ref="F18:F38" si="11">IFERROR(E18/D18, "")</f>
        <v/>
      </c>
      <c r="G18" s="15"/>
      <c r="H18" s="15" t="str">
        <f t="shared" ref="H18:H38" si="12">IF(AND(ISNUMBER(C18),ISNUMBER(G18)), C18-G18, "")</f>
        <v/>
      </c>
      <c r="I18" s="16" t="str">
        <f t="shared" ref="I18:I38" si="13">IFERROR(H18/G18, "")</f>
        <v/>
      </c>
      <c r="J18" s="41"/>
      <c r="K18" s="41"/>
    </row>
    <row r="19" spans="1:11" ht="15.75">
      <c r="A19" s="30" t="str">
        <v xml:space="preserve"> Aurora - BA - Colfax Ave</v>
      </c>
      <c r="B19" s="31" t="str">
        <v>CO</v>
      </c>
      <c r="C19" s="11"/>
      <c r="D19" s="18"/>
      <c r="E19" s="18" t="str">
        <f t="shared" si="10"/>
        <v/>
      </c>
      <c r="F19" s="19" t="str">
        <f t="shared" si="11"/>
        <v/>
      </c>
      <c r="G19" s="20"/>
      <c r="H19" s="20" t="str">
        <f t="shared" si="12"/>
        <v/>
      </c>
      <c r="I19" s="19" t="str">
        <f t="shared" si="13"/>
        <v/>
      </c>
      <c r="J19" s="42"/>
      <c r="K19" s="43"/>
    </row>
    <row r="20" spans="1:11" ht="15.75">
      <c r="A20" s="28" t="str">
        <v xml:space="preserve"> Aurora - BA - Parker Rd</v>
      </c>
      <c r="B20" s="29" t="str">
        <v>CO</v>
      </c>
      <c r="C20" s="24"/>
      <c r="D20" s="13"/>
      <c r="E20" s="13" t="str">
        <f t="shared" si="10"/>
        <v/>
      </c>
      <c r="F20" s="14" t="str">
        <f t="shared" si="11"/>
        <v/>
      </c>
      <c r="G20" s="15"/>
      <c r="H20" s="15" t="str">
        <f t="shared" si="12"/>
        <v/>
      </c>
      <c r="I20" s="16" t="str">
        <f t="shared" si="13"/>
        <v/>
      </c>
      <c r="J20" s="41"/>
      <c r="K20" s="41"/>
    </row>
    <row r="21" spans="1:11" ht="15.75">
      <c r="A21" s="30" t="str">
        <v xml:space="preserve"> Broomfield - Bank of America</v>
      </c>
      <c r="B21" s="31" t="str">
        <v>CO</v>
      </c>
      <c r="C21" s="11"/>
      <c r="D21" s="18"/>
      <c r="E21" s="18" t="str">
        <f t="shared" si="10"/>
        <v/>
      </c>
      <c r="F21" s="19" t="str">
        <f t="shared" si="11"/>
        <v/>
      </c>
      <c r="G21" s="20"/>
      <c r="H21" s="20" t="str">
        <f t="shared" si="12"/>
        <v/>
      </c>
      <c r="I21" s="19" t="str">
        <f t="shared" si="13"/>
        <v/>
      </c>
      <c r="J21" s="42"/>
      <c r="K21" s="43"/>
    </row>
    <row r="22" spans="1:11" ht="15.75">
      <c r="A22" s="28" t="str">
        <v xml:space="preserve"> Colorado Springs - Bank of America</v>
      </c>
      <c r="B22" s="29" t="str">
        <v>CO</v>
      </c>
      <c r="C22" s="24"/>
      <c r="D22" s="13"/>
      <c r="E22" s="13" t="str">
        <f t="shared" si="10"/>
        <v/>
      </c>
      <c r="F22" s="14" t="str">
        <f t="shared" si="11"/>
        <v/>
      </c>
      <c r="G22" s="15"/>
      <c r="H22" s="15" t="str">
        <f t="shared" si="12"/>
        <v/>
      </c>
      <c r="I22" s="16" t="str">
        <f t="shared" si="13"/>
        <v/>
      </c>
      <c r="J22" s="41"/>
      <c r="K22" s="41"/>
    </row>
    <row r="23" spans="1:11" ht="15.75">
      <c r="A23" s="30" t="str">
        <v xml:space="preserve"> Denver - BA - 49th Ave</v>
      </c>
      <c r="B23" s="31" t="str">
        <v>CO</v>
      </c>
      <c r="C23" s="11"/>
      <c r="D23" s="18"/>
      <c r="E23" s="18" t="str">
        <f t="shared" si="10"/>
        <v/>
      </c>
      <c r="F23" s="19" t="str">
        <f t="shared" si="11"/>
        <v/>
      </c>
      <c r="G23" s="20"/>
      <c r="H23" s="20" t="str">
        <f t="shared" si="12"/>
        <v/>
      </c>
      <c r="I23" s="19" t="str">
        <f t="shared" si="13"/>
        <v/>
      </c>
      <c r="J23" s="42"/>
      <c r="K23" s="43"/>
    </row>
    <row r="24" spans="1:11" ht="15.75">
      <c r="A24" s="28" t="str">
        <v xml:space="preserve"> Denver - BA Wadsworth Blvd</v>
      </c>
      <c r="B24" s="29" t="str">
        <v>CO</v>
      </c>
      <c r="C24" s="24"/>
      <c r="D24" s="13"/>
      <c r="E24" s="13" t="str">
        <f t="shared" si="10"/>
        <v/>
      </c>
      <c r="F24" s="14" t="str">
        <f t="shared" si="11"/>
        <v/>
      </c>
      <c r="G24" s="15"/>
      <c r="H24" s="15" t="str">
        <f t="shared" si="12"/>
        <v/>
      </c>
      <c r="I24" s="16" t="str">
        <f t="shared" si="13"/>
        <v/>
      </c>
      <c r="J24" s="41"/>
      <c r="K24" s="41"/>
    </row>
    <row r="25" spans="1:11" ht="15.75">
      <c r="A25" s="30" t="str">
        <v xml:space="preserve"> Fort Collins - Bank of America</v>
      </c>
      <c r="B25" s="31" t="str">
        <v>CO</v>
      </c>
      <c r="C25" s="11"/>
      <c r="D25" s="18"/>
      <c r="E25" s="18" t="str">
        <f t="shared" si="10"/>
        <v/>
      </c>
      <c r="F25" s="19" t="str">
        <f t="shared" si="11"/>
        <v/>
      </c>
      <c r="G25" s="20"/>
      <c r="H25" s="20" t="str">
        <f t="shared" si="12"/>
        <v/>
      </c>
      <c r="I25" s="19" t="str">
        <f t="shared" si="13"/>
        <v/>
      </c>
      <c r="J25" s="42"/>
      <c r="K25" s="43"/>
    </row>
    <row r="26" spans="1:11" ht="15.75">
      <c r="A26" s="28" t="str">
        <v xml:space="preserve"> Lafayette - Bank of America</v>
      </c>
      <c r="B26" s="29" t="str">
        <v>CO</v>
      </c>
      <c r="C26" s="24"/>
      <c r="D26" s="13"/>
      <c r="E26" s="13" t="str">
        <f t="shared" si="10"/>
        <v/>
      </c>
      <c r="F26" s="14" t="str">
        <f t="shared" si="11"/>
        <v/>
      </c>
      <c r="G26" s="15"/>
      <c r="H26" s="15" t="str">
        <f t="shared" si="12"/>
        <v/>
      </c>
      <c r="I26" s="16" t="str">
        <f t="shared" si="13"/>
        <v/>
      </c>
      <c r="J26" s="41"/>
      <c r="K26" s="41"/>
    </row>
    <row r="27" spans="1:11" ht="15.75">
      <c r="A27" s="30" t="str">
        <v xml:space="preserve"> Lakewood - Bank of America</v>
      </c>
      <c r="B27" s="31" t="str">
        <v>CO</v>
      </c>
      <c r="C27" s="11"/>
      <c r="D27" s="18"/>
      <c r="E27" s="18" t="str">
        <f t="shared" si="10"/>
        <v/>
      </c>
      <c r="F27" s="19" t="str">
        <f t="shared" si="11"/>
        <v/>
      </c>
      <c r="G27" s="20"/>
      <c r="H27" s="20" t="str">
        <f t="shared" si="12"/>
        <v/>
      </c>
      <c r="I27" s="19" t="str">
        <f t="shared" si="13"/>
        <v/>
      </c>
      <c r="J27" s="42"/>
      <c r="K27" s="43"/>
    </row>
    <row r="28" spans="1:11" ht="15.75">
      <c r="A28" s="28" t="str">
        <v xml:space="preserve"> Longmont - Bank of America</v>
      </c>
      <c r="B28" s="29" t="str">
        <v>CO</v>
      </c>
      <c r="C28" s="24"/>
      <c r="D28" s="13"/>
      <c r="E28" s="13" t="str">
        <f t="shared" si="10"/>
        <v/>
      </c>
      <c r="F28" s="14" t="str">
        <f t="shared" si="11"/>
        <v/>
      </c>
      <c r="G28" s="15"/>
      <c r="H28" s="15" t="str">
        <f t="shared" si="12"/>
        <v/>
      </c>
      <c r="I28" s="16" t="str">
        <f t="shared" si="13"/>
        <v/>
      </c>
      <c r="J28" s="41"/>
      <c r="K28" s="41"/>
    </row>
    <row r="29" spans="1:11" ht="15.75">
      <c r="A29" s="30" t="str">
        <v xml:space="preserve"> Thornton - Bank of America</v>
      </c>
      <c r="B29" s="31" t="str">
        <v>CO</v>
      </c>
      <c r="C29" s="11"/>
      <c r="D29" s="18"/>
      <c r="E29" s="18" t="str">
        <f t="shared" si="10"/>
        <v/>
      </c>
      <c r="F29" s="19" t="str">
        <f t="shared" si="11"/>
        <v/>
      </c>
      <c r="G29" s="20"/>
      <c r="H29" s="20" t="str">
        <f t="shared" si="12"/>
        <v/>
      </c>
      <c r="I29" s="19" t="str">
        <f t="shared" si="13"/>
        <v/>
      </c>
      <c r="J29" s="42"/>
      <c r="K29" s="43"/>
    </row>
    <row r="30" spans="1:11" ht="15.75">
      <c r="A30" s="28" t="str">
        <v xml:space="preserve"> Calumet City - Bank of America</v>
      </c>
      <c r="B30" s="29" t="str">
        <v>IL</v>
      </c>
      <c r="C30" s="24"/>
      <c r="D30" s="13"/>
      <c r="E30" s="13" t="str">
        <f t="shared" si="10"/>
        <v/>
      </c>
      <c r="F30" s="14" t="str">
        <f t="shared" si="11"/>
        <v/>
      </c>
      <c r="G30" s="15"/>
      <c r="H30" s="15" t="str">
        <f t="shared" si="12"/>
        <v/>
      </c>
      <c r="I30" s="16" t="str">
        <f t="shared" si="13"/>
        <v/>
      </c>
      <c r="J30" s="41"/>
      <c r="K30" s="41"/>
    </row>
    <row r="31" spans="1:11" ht="15.75">
      <c r="A31" s="30" t="str">
        <v xml:space="preserve"> Downers Grove - Bank of America</v>
      </c>
      <c r="B31" s="31" t="str">
        <v>IL</v>
      </c>
      <c r="C31" s="11"/>
      <c r="D31" s="18"/>
      <c r="E31" s="18" t="str">
        <f t="shared" si="10"/>
        <v/>
      </c>
      <c r="F31" s="19" t="str">
        <f t="shared" si="11"/>
        <v/>
      </c>
      <c r="G31" s="20"/>
      <c r="H31" s="20" t="str">
        <f t="shared" si="12"/>
        <v/>
      </c>
      <c r="I31" s="19" t="str">
        <f t="shared" si="13"/>
        <v/>
      </c>
      <c r="J31" s="42"/>
      <c r="K31" s="43"/>
    </row>
    <row r="32" spans="1:11" ht="15.75">
      <c r="A32" s="28" t="str">
        <v xml:space="preserve"> Bloomington - Bank of America</v>
      </c>
      <c r="B32" s="29" t="str">
        <v>MN</v>
      </c>
      <c r="C32" s="24"/>
      <c r="D32" s="13"/>
      <c r="E32" s="13" t="str">
        <f t="shared" si="10"/>
        <v/>
      </c>
      <c r="F32" s="14" t="str">
        <f t="shared" si="11"/>
        <v/>
      </c>
      <c r="G32" s="15"/>
      <c r="H32" s="15" t="str">
        <f t="shared" si="12"/>
        <v/>
      </c>
      <c r="I32" s="16" t="str">
        <f t="shared" si="13"/>
        <v/>
      </c>
      <c r="J32" s="41"/>
      <c r="K32" s="41"/>
    </row>
    <row r="33" spans="1:11" ht="15.75">
      <c r="A33" s="30" t="str">
        <v xml:space="preserve"> Clayton - Bank of America</v>
      </c>
      <c r="B33" s="31" t="str">
        <v>MO</v>
      </c>
      <c r="C33" s="11"/>
      <c r="D33" s="18"/>
      <c r="E33" s="18" t="str">
        <f t="shared" si="10"/>
        <v/>
      </c>
      <c r="F33" s="19" t="str">
        <f t="shared" si="11"/>
        <v/>
      </c>
      <c r="G33" s="20"/>
      <c r="H33" s="20" t="str">
        <f t="shared" si="12"/>
        <v/>
      </c>
      <c r="I33" s="19" t="str">
        <f t="shared" si="13"/>
        <v/>
      </c>
      <c r="J33" s="42"/>
      <c r="K33" s="43"/>
    </row>
    <row r="34" spans="1:11" ht="15.75">
      <c r="A34" s="28" t="str">
        <v xml:space="preserve"> Manchester - Bank of America</v>
      </c>
      <c r="B34" s="29" t="str">
        <v>MO</v>
      </c>
      <c r="C34" s="24"/>
      <c r="D34" s="13"/>
      <c r="E34" s="13" t="str">
        <f t="shared" si="10"/>
        <v/>
      </c>
      <c r="F34" s="14" t="str">
        <f t="shared" si="11"/>
        <v/>
      </c>
      <c r="G34" s="15"/>
      <c r="H34" s="15" t="str">
        <f t="shared" si="12"/>
        <v/>
      </c>
      <c r="I34" s="16" t="str">
        <f t="shared" si="13"/>
        <v/>
      </c>
      <c r="J34" s="41"/>
      <c r="K34" s="41"/>
    </row>
    <row r="35" spans="1:11" ht="15.75">
      <c r="A35" s="30" t="str">
        <v xml:space="preserve"> Las Vegas - BA - Eastern Ave</v>
      </c>
      <c r="B35" s="31" t="str">
        <v>NV</v>
      </c>
      <c r="C35" s="11"/>
      <c r="D35" s="18"/>
      <c r="E35" s="18" t="str">
        <f t="shared" si="10"/>
        <v/>
      </c>
      <c r="F35" s="19" t="str">
        <f t="shared" si="11"/>
        <v/>
      </c>
      <c r="G35" s="20"/>
      <c r="H35" s="20" t="str">
        <f t="shared" si="12"/>
        <v/>
      </c>
      <c r="I35" s="19" t="str">
        <f t="shared" si="13"/>
        <v/>
      </c>
      <c r="J35" s="42"/>
      <c r="K35" s="43"/>
    </row>
    <row r="36" spans="1:11" ht="15.75">
      <c r="A36" s="28" t="str">
        <v xml:space="preserve"> Las Vegas - BA - Town Ctr Dr</v>
      </c>
      <c r="B36" s="29" t="str">
        <v>NV</v>
      </c>
      <c r="C36" s="24"/>
      <c r="D36" s="13"/>
      <c r="E36" s="13" t="str">
        <f t="shared" si="10"/>
        <v/>
      </c>
      <c r="F36" s="14" t="str">
        <f t="shared" si="11"/>
        <v/>
      </c>
      <c r="G36" s="15"/>
      <c r="H36" s="15" t="str">
        <f t="shared" si="12"/>
        <v/>
      </c>
      <c r="I36" s="16" t="str">
        <f t="shared" si="13"/>
        <v/>
      </c>
      <c r="J36" s="41"/>
      <c r="K36" s="41"/>
    </row>
    <row r="37" spans="1:11" ht="15.75">
      <c r="A37" s="30" t="str">
        <v xml:space="preserve"> Riverton - Bank of America</v>
      </c>
      <c r="B37" s="31" t="str">
        <v>UT</v>
      </c>
      <c r="C37" s="11"/>
      <c r="D37" s="18"/>
      <c r="E37" s="18" t="str">
        <f t="shared" si="10"/>
        <v/>
      </c>
      <c r="F37" s="19" t="str">
        <f t="shared" si="11"/>
        <v/>
      </c>
      <c r="G37" s="20"/>
      <c r="H37" s="20" t="str">
        <f t="shared" si="12"/>
        <v/>
      </c>
      <c r="I37" s="19" t="str">
        <f t="shared" si="13"/>
        <v/>
      </c>
      <c r="J37" s="42"/>
      <c r="K37" s="43"/>
    </row>
    <row r="38" spans="1:11" ht="15.75">
      <c r="A38" s="28" t="str">
        <v xml:space="preserve"> Salt Lake City - Bank of America</v>
      </c>
      <c r="B38" s="29" t="str">
        <v>UT</v>
      </c>
      <c r="C38" s="24"/>
      <c r="D38" s="13"/>
      <c r="E38" s="13" t="str">
        <f t="shared" si="10"/>
        <v/>
      </c>
      <c r="F38" s="14" t="str">
        <f t="shared" si="11"/>
        <v/>
      </c>
      <c r="G38" s="15"/>
      <c r="H38" s="15" t="str">
        <f t="shared" si="12"/>
        <v/>
      </c>
      <c r="I38" s="16" t="str">
        <f t="shared" si="13"/>
        <v/>
      </c>
      <c r="J38" s="41"/>
      <c r="K38" s="41"/>
    </row>
    <row r="39" spans="1:11" ht="1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</sheetData>
  <mergeCells count="4">
    <mergeCell ref="D1:F1"/>
    <mergeCell ref="A1:C1"/>
    <mergeCell ref="G1:I1"/>
    <mergeCell ref="A2:B2"/>
  </mergeCells>
  <conditionalFormatting sqref="F2 I2 F39:F99 I4:I99">
    <cfRule type="cellIs" dxfId="50" priority="4" stopIfTrue="1" operator="lessThanOrEqual">
      <formula>-0.1</formula>
    </cfRule>
    <cfRule type="expression" dxfId="49" priority="5">
      <formula>AND(ISNUMBER(F2), F2&gt;=0.1)</formula>
    </cfRule>
  </conditionalFormatting>
  <conditionalFormatting sqref="F4:F38">
    <cfRule type="cellIs" dxfId="48" priority="1" stopIfTrue="1" operator="lessThanOrEqual">
      <formula>-0.1</formula>
    </cfRule>
    <cfRule type="expression" dxfId="47" priority="2">
      <formula>AND(ISNUMBER(F4), F4&gt;=0.1)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42"/>
  <sheetViews>
    <sheetView workbookViewId="0">
      <pane xSplit="2" ySplit="3" topLeftCell="C4" activePane="bottomRight" state="frozen"/>
      <selection pane="bottomRight" activeCell="A16" sqref="A16:K38"/>
      <selection pane="bottomLeft"/>
      <selection pane="topRight"/>
    </sheetView>
  </sheetViews>
  <sheetFormatPr defaultRowHeight="14.2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7" t="str" cm="1">
        <f t="array" ref="A1">portfolio</f>
        <v>Cushman &amp; Wakefield</v>
      </c>
      <c r="B1" s="57"/>
      <c r="C1" s="57"/>
      <c r="D1" s="58" t="s">
        <v>22</v>
      </c>
      <c r="E1" s="58"/>
      <c r="F1" s="58"/>
      <c r="G1" s="56" t="s">
        <v>23</v>
      </c>
      <c r="H1" s="56"/>
      <c r="I1" s="56"/>
      <c r="J1" s="4"/>
      <c r="K1" s="4"/>
    </row>
    <row r="2" spans="1:11" ht="19.5" customHeight="1">
      <c r="A2" s="59" t="s">
        <v>2</v>
      </c>
      <c r="B2" s="59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  <c r="J2" s="26" t="str">
        <f ca="1">IF(AND(TODAY()&gt;DATE(2024, 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38">Sites[Site]</f>
        <v xml:space="preserve"> Adelanto - Bank of America</v>
      </c>
      <c r="B4" s="29" t="str" cm="1">
        <f t="array" ref="B4:B38">Sites[State]</f>
        <v>CA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75">
      <c r="A5" s="30" t="str">
        <v xml:space="preserve"> Apple Valley - Bank of America</v>
      </c>
      <c r="B5" s="31" t="str">
        <v>CA</v>
      </c>
      <c r="C5" s="11"/>
      <c r="D5" s="18"/>
      <c r="E5" s="18" t="str">
        <f t="shared" ref="E5:E15" si="0">IF(AND(ISNUMBER(C5),ISNUMBER(D5)), C5-D5, "")</f>
        <v/>
      </c>
      <c r="F5" s="19" t="str">
        <f>IFERROR(E5/D5, "")</f>
        <v/>
      </c>
      <c r="G5" s="20"/>
      <c r="H5" s="20" t="str">
        <f t="shared" ref="H5:H15" si="1">IF(AND(ISNUMBER(C5),ISNUMBER(G5)), C5-G5, "")</f>
        <v/>
      </c>
      <c r="I5" s="19" t="str">
        <f t="shared" ref="I5:I15" si="2">IFERROR(H5/G5, "")</f>
        <v/>
      </c>
      <c r="J5" s="42"/>
      <c r="K5" s="42"/>
    </row>
    <row r="6" spans="1:11" ht="15.75">
      <c r="A6" s="28" t="str">
        <v xml:space="preserve"> Arvin - Bank of America</v>
      </c>
      <c r="B6" s="29" t="str">
        <v>CA</v>
      </c>
      <c r="C6" s="24"/>
      <c r="D6" s="13"/>
      <c r="E6" s="13" t="str">
        <f t="shared" si="0"/>
        <v/>
      </c>
      <c r="F6" s="14" t="str">
        <f t="shared" ref="F6:F15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5.75">
      <c r="A7" s="30" t="str">
        <v xml:space="preserve"> Bell - Bank of America</v>
      </c>
      <c r="B7" s="31" t="str">
        <v>CA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42"/>
      <c r="K7" s="43"/>
    </row>
    <row r="8" spans="1:11" ht="15.75">
      <c r="A8" s="28" t="str">
        <v xml:space="preserve"> Chula Vista - Bank of America</v>
      </c>
      <c r="B8" s="29" t="str">
        <v>CA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1"/>
      <c r="K8" s="41"/>
    </row>
    <row r="9" spans="1:11" ht="15.75">
      <c r="A9" s="30" t="str">
        <v xml:space="preserve"> Cupertino - Bank of America</v>
      </c>
      <c r="B9" s="31" t="str">
        <v>CA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42"/>
      <c r="K9" s="43"/>
    </row>
    <row r="10" spans="1:11" ht="15.75">
      <c r="A10" s="28" t="str">
        <v xml:space="preserve"> Diamond Bar - Bank of America</v>
      </c>
      <c r="B10" s="29" t="str">
        <v>CA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1"/>
      <c r="K10" s="41"/>
    </row>
    <row r="11" spans="1:11" ht="15.75">
      <c r="A11" s="30" t="str">
        <v xml:space="preserve"> El Centro - Bank of America</v>
      </c>
      <c r="B11" s="31" t="str">
        <v>CA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42"/>
      <c r="K11" s="43"/>
    </row>
    <row r="12" spans="1:11" ht="15.75">
      <c r="A12" s="28" t="str">
        <v xml:space="preserve"> Moreno Valley - Bank of America</v>
      </c>
      <c r="B12" s="29" t="str">
        <v>CA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1"/>
      <c r="K12" s="41"/>
    </row>
    <row r="13" spans="1:11" ht="15.75">
      <c r="A13" s="30" t="str">
        <v xml:space="preserve"> Redlands - Bank of America</v>
      </c>
      <c r="B13" s="31" t="str">
        <v>CA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42"/>
      <c r="K13" s="43"/>
    </row>
    <row r="14" spans="1:11" ht="15.75">
      <c r="A14" s="28" t="str">
        <v xml:space="preserve"> Roseville - Bank of America</v>
      </c>
      <c r="B14" s="29" t="str">
        <v>CA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1"/>
      <c r="K14" s="41"/>
    </row>
    <row r="15" spans="1:11" ht="15.75">
      <c r="A15" s="30" t="str">
        <v xml:space="preserve"> San Bernardino - Bank of America</v>
      </c>
      <c r="B15" s="31" t="str">
        <v>CA</v>
      </c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42"/>
      <c r="K15" s="43"/>
    </row>
    <row r="16" spans="1:11" ht="15.75">
      <c r="A16" s="28" t="str">
        <v xml:space="preserve"> San Diego - Bank of America</v>
      </c>
      <c r="B16" s="29" t="str">
        <v>CA</v>
      </c>
      <c r="C16" s="24"/>
      <c r="D16" s="13"/>
      <c r="E16" s="13" t="str">
        <f t="shared" ref="E16:E17" si="4">IF(AND(ISNUMBER(C16),ISNUMBER(D16)), C16-D16, "")</f>
        <v/>
      </c>
      <c r="F16" s="14" t="str">
        <f t="shared" ref="F16:F17" si="5">IFERROR(E16/D16, "")</f>
        <v/>
      </c>
      <c r="G16" s="15"/>
      <c r="H16" s="15" t="str">
        <f t="shared" ref="H16:H17" si="6">IF(AND(ISNUMBER(C16),ISNUMBER(G16)), C16-G16, "")</f>
        <v/>
      </c>
      <c r="I16" s="16" t="str">
        <f t="shared" ref="I16:I17" si="7">IFERROR(H16/G16, "")</f>
        <v/>
      </c>
      <c r="J16" s="41"/>
      <c r="K16" s="41"/>
    </row>
    <row r="17" spans="1:11" ht="15.75">
      <c r="A17" s="30" t="str">
        <v xml:space="preserve"> Stockton - Bank of America</v>
      </c>
      <c r="B17" s="31" t="str">
        <v>CA</v>
      </c>
      <c r="C17" s="11"/>
      <c r="D17" s="18"/>
      <c r="E17" s="18" t="str">
        <f t="shared" si="4"/>
        <v/>
      </c>
      <c r="F17" s="19" t="str">
        <f t="shared" si="5"/>
        <v/>
      </c>
      <c r="G17" s="20"/>
      <c r="H17" s="20" t="str">
        <f t="shared" si="6"/>
        <v/>
      </c>
      <c r="I17" s="19" t="str">
        <f t="shared" si="7"/>
        <v/>
      </c>
      <c r="J17" s="42"/>
      <c r="K17" s="43"/>
    </row>
    <row r="18" spans="1:11" ht="12.75" customHeight="1">
      <c r="A18" s="28" t="str">
        <v xml:space="preserve"> Victorville - Bank of America</v>
      </c>
      <c r="B18" s="29" t="str">
        <v>CA</v>
      </c>
      <c r="C18" s="24"/>
      <c r="D18" s="13"/>
      <c r="E18" s="13" t="str">
        <f t="shared" ref="E18:E38" si="8">IF(AND(ISNUMBER(C18),ISNUMBER(D18)), C18-D18, "")</f>
        <v/>
      </c>
      <c r="F18" s="14" t="str">
        <f t="shared" ref="F18:F38" si="9">IFERROR(E18/D18, "")</f>
        <v/>
      </c>
      <c r="G18" s="15"/>
      <c r="H18" s="15" t="str">
        <f t="shared" ref="H18:H38" si="10">IF(AND(ISNUMBER(C18),ISNUMBER(G18)), C18-G18, "")</f>
        <v/>
      </c>
      <c r="I18" s="16" t="str">
        <f t="shared" ref="I18:I38" si="11">IFERROR(H18/G18, "")</f>
        <v/>
      </c>
      <c r="J18" s="41"/>
      <c r="K18" s="41"/>
    </row>
    <row r="19" spans="1:11" ht="15.75">
      <c r="A19" s="30" t="str">
        <v xml:space="preserve"> Aurora - BA - Colfax Ave</v>
      </c>
      <c r="B19" s="31" t="str">
        <v>CO</v>
      </c>
      <c r="C19" s="11"/>
      <c r="D19" s="18"/>
      <c r="E19" s="18" t="str">
        <f t="shared" si="8"/>
        <v/>
      </c>
      <c r="F19" s="19" t="str">
        <f t="shared" si="9"/>
        <v/>
      </c>
      <c r="G19" s="20"/>
      <c r="H19" s="20" t="str">
        <f t="shared" si="10"/>
        <v/>
      </c>
      <c r="I19" s="19" t="str">
        <f t="shared" si="11"/>
        <v/>
      </c>
      <c r="J19" s="42"/>
      <c r="K19" s="43"/>
    </row>
    <row r="20" spans="1:11" ht="15.75">
      <c r="A20" s="28" t="str">
        <v xml:space="preserve"> Aurora - BA - Parker Rd</v>
      </c>
      <c r="B20" s="29" t="str">
        <v>CO</v>
      </c>
      <c r="C20" s="24"/>
      <c r="D20" s="13"/>
      <c r="E20" s="13" t="str">
        <f t="shared" si="8"/>
        <v/>
      </c>
      <c r="F20" s="14" t="str">
        <f t="shared" si="9"/>
        <v/>
      </c>
      <c r="G20" s="15"/>
      <c r="H20" s="15" t="str">
        <f t="shared" si="10"/>
        <v/>
      </c>
      <c r="I20" s="16" t="str">
        <f t="shared" si="11"/>
        <v/>
      </c>
      <c r="J20" s="41"/>
      <c r="K20" s="41"/>
    </row>
    <row r="21" spans="1:11" ht="15.75">
      <c r="A21" s="30" t="str">
        <v xml:space="preserve"> Broomfield - Bank of America</v>
      </c>
      <c r="B21" s="31" t="str">
        <v>CO</v>
      </c>
      <c r="C21" s="11"/>
      <c r="D21" s="18"/>
      <c r="E21" s="18" t="str">
        <f t="shared" si="8"/>
        <v/>
      </c>
      <c r="F21" s="19" t="str">
        <f t="shared" si="9"/>
        <v/>
      </c>
      <c r="G21" s="20"/>
      <c r="H21" s="20" t="str">
        <f t="shared" si="10"/>
        <v/>
      </c>
      <c r="I21" s="19" t="str">
        <f t="shared" si="11"/>
        <v/>
      </c>
      <c r="J21" s="42"/>
      <c r="K21" s="43"/>
    </row>
    <row r="22" spans="1:11" ht="15.75">
      <c r="A22" s="28" t="str">
        <v xml:space="preserve"> Colorado Springs - Bank of America</v>
      </c>
      <c r="B22" s="29" t="str">
        <v>CO</v>
      </c>
      <c r="C22" s="24"/>
      <c r="D22" s="13"/>
      <c r="E22" s="13" t="str">
        <f t="shared" si="8"/>
        <v/>
      </c>
      <c r="F22" s="14" t="str">
        <f t="shared" si="9"/>
        <v/>
      </c>
      <c r="G22" s="15"/>
      <c r="H22" s="15" t="str">
        <f t="shared" si="10"/>
        <v/>
      </c>
      <c r="I22" s="16" t="str">
        <f t="shared" si="11"/>
        <v/>
      </c>
      <c r="J22" s="41"/>
      <c r="K22" s="41"/>
    </row>
    <row r="23" spans="1:11" ht="15.75">
      <c r="A23" s="30" t="str">
        <v xml:space="preserve"> Denver - BA - 49th Ave</v>
      </c>
      <c r="B23" s="31" t="str">
        <v>CO</v>
      </c>
      <c r="C23" s="11"/>
      <c r="D23" s="18"/>
      <c r="E23" s="18" t="str">
        <f t="shared" si="8"/>
        <v/>
      </c>
      <c r="F23" s="19" t="str">
        <f t="shared" si="9"/>
        <v/>
      </c>
      <c r="G23" s="20"/>
      <c r="H23" s="20" t="str">
        <f t="shared" si="10"/>
        <v/>
      </c>
      <c r="I23" s="19" t="str">
        <f t="shared" si="11"/>
        <v/>
      </c>
      <c r="J23" s="42"/>
      <c r="K23" s="43"/>
    </row>
    <row r="24" spans="1:11" ht="15.75">
      <c r="A24" s="28" t="str">
        <v xml:space="preserve"> Denver - BA Wadsworth Blvd</v>
      </c>
      <c r="B24" s="29" t="str">
        <v>CO</v>
      </c>
      <c r="C24" s="24"/>
      <c r="D24" s="13"/>
      <c r="E24" s="13" t="str">
        <f t="shared" si="8"/>
        <v/>
      </c>
      <c r="F24" s="14" t="str">
        <f t="shared" si="9"/>
        <v/>
      </c>
      <c r="G24" s="15"/>
      <c r="H24" s="15" t="str">
        <f t="shared" si="10"/>
        <v/>
      </c>
      <c r="I24" s="16" t="str">
        <f t="shared" si="11"/>
        <v/>
      </c>
      <c r="J24" s="41"/>
      <c r="K24" s="41"/>
    </row>
    <row r="25" spans="1:11" ht="15.75">
      <c r="A25" s="30" t="str">
        <v xml:space="preserve"> Fort Collins - Bank of America</v>
      </c>
      <c r="B25" s="31" t="str">
        <v>CO</v>
      </c>
      <c r="C25" s="11"/>
      <c r="D25" s="18"/>
      <c r="E25" s="18" t="str">
        <f t="shared" si="8"/>
        <v/>
      </c>
      <c r="F25" s="19" t="str">
        <f t="shared" si="9"/>
        <v/>
      </c>
      <c r="G25" s="20"/>
      <c r="H25" s="20" t="str">
        <f t="shared" si="10"/>
        <v/>
      </c>
      <c r="I25" s="19" t="str">
        <f t="shared" si="11"/>
        <v/>
      </c>
      <c r="J25" s="42"/>
      <c r="K25" s="43"/>
    </row>
    <row r="26" spans="1:11" ht="15.75">
      <c r="A26" s="28" t="str">
        <v xml:space="preserve"> Lafayette - Bank of America</v>
      </c>
      <c r="B26" s="29" t="str">
        <v>CO</v>
      </c>
      <c r="C26" s="24"/>
      <c r="D26" s="13"/>
      <c r="E26" s="13" t="str">
        <f t="shared" si="8"/>
        <v/>
      </c>
      <c r="F26" s="14" t="str">
        <f t="shared" si="9"/>
        <v/>
      </c>
      <c r="G26" s="15"/>
      <c r="H26" s="15" t="str">
        <f t="shared" si="10"/>
        <v/>
      </c>
      <c r="I26" s="16" t="str">
        <f t="shared" si="11"/>
        <v/>
      </c>
      <c r="J26" s="41"/>
      <c r="K26" s="41"/>
    </row>
    <row r="27" spans="1:11" ht="15.75">
      <c r="A27" s="30" t="str">
        <v xml:space="preserve"> Lakewood - Bank of America</v>
      </c>
      <c r="B27" s="31" t="str">
        <v>CO</v>
      </c>
      <c r="C27" s="11"/>
      <c r="D27" s="18"/>
      <c r="E27" s="18" t="str">
        <f t="shared" si="8"/>
        <v/>
      </c>
      <c r="F27" s="19" t="str">
        <f t="shared" si="9"/>
        <v/>
      </c>
      <c r="G27" s="20"/>
      <c r="H27" s="20" t="str">
        <f t="shared" si="10"/>
        <v/>
      </c>
      <c r="I27" s="19" t="str">
        <f t="shared" si="11"/>
        <v/>
      </c>
      <c r="J27" s="42"/>
      <c r="K27" s="43"/>
    </row>
    <row r="28" spans="1:11" ht="15.75">
      <c r="A28" s="28" t="str">
        <v xml:space="preserve"> Longmont - Bank of America</v>
      </c>
      <c r="B28" s="29" t="str">
        <v>CO</v>
      </c>
      <c r="C28" s="24"/>
      <c r="D28" s="13"/>
      <c r="E28" s="13" t="str">
        <f t="shared" si="8"/>
        <v/>
      </c>
      <c r="F28" s="14" t="str">
        <f t="shared" si="9"/>
        <v/>
      </c>
      <c r="G28" s="15"/>
      <c r="H28" s="15" t="str">
        <f t="shared" si="10"/>
        <v/>
      </c>
      <c r="I28" s="16" t="str">
        <f t="shared" si="11"/>
        <v/>
      </c>
      <c r="J28" s="41"/>
      <c r="K28" s="41"/>
    </row>
    <row r="29" spans="1:11" ht="15.75">
      <c r="A29" s="30" t="str">
        <v xml:space="preserve"> Thornton - Bank of America</v>
      </c>
      <c r="B29" s="31" t="str">
        <v>CO</v>
      </c>
      <c r="C29" s="11"/>
      <c r="D29" s="18"/>
      <c r="E29" s="18" t="str">
        <f t="shared" si="8"/>
        <v/>
      </c>
      <c r="F29" s="19" t="str">
        <f t="shared" si="9"/>
        <v/>
      </c>
      <c r="G29" s="20"/>
      <c r="H29" s="20" t="str">
        <f t="shared" si="10"/>
        <v/>
      </c>
      <c r="I29" s="19" t="str">
        <f t="shared" si="11"/>
        <v/>
      </c>
      <c r="J29" s="42"/>
      <c r="K29" s="43"/>
    </row>
    <row r="30" spans="1:11" ht="15.75">
      <c r="A30" s="28" t="str">
        <v xml:space="preserve"> Calumet City - Bank of America</v>
      </c>
      <c r="B30" s="29" t="str">
        <v>IL</v>
      </c>
      <c r="C30" s="24"/>
      <c r="D30" s="13"/>
      <c r="E30" s="13" t="str">
        <f t="shared" si="8"/>
        <v/>
      </c>
      <c r="F30" s="14" t="str">
        <f t="shared" si="9"/>
        <v/>
      </c>
      <c r="G30" s="15"/>
      <c r="H30" s="15" t="str">
        <f t="shared" si="10"/>
        <v/>
      </c>
      <c r="I30" s="16" t="str">
        <f t="shared" si="11"/>
        <v/>
      </c>
      <c r="J30" s="41"/>
      <c r="K30" s="41"/>
    </row>
    <row r="31" spans="1:11" ht="15.75">
      <c r="A31" s="30" t="str">
        <v xml:space="preserve"> Downers Grove - Bank of America</v>
      </c>
      <c r="B31" s="31" t="str">
        <v>IL</v>
      </c>
      <c r="C31" s="11"/>
      <c r="D31" s="18"/>
      <c r="E31" s="18" t="str">
        <f t="shared" si="8"/>
        <v/>
      </c>
      <c r="F31" s="19" t="str">
        <f t="shared" si="9"/>
        <v/>
      </c>
      <c r="G31" s="20"/>
      <c r="H31" s="20" t="str">
        <f t="shared" si="10"/>
        <v/>
      </c>
      <c r="I31" s="19" t="str">
        <f t="shared" si="11"/>
        <v/>
      </c>
      <c r="J31" s="42"/>
      <c r="K31" s="43"/>
    </row>
    <row r="32" spans="1:11" ht="15.75">
      <c r="A32" s="28" t="str">
        <v xml:space="preserve"> Bloomington - Bank of America</v>
      </c>
      <c r="B32" s="29" t="str">
        <v>MN</v>
      </c>
      <c r="C32" s="24"/>
      <c r="D32" s="13"/>
      <c r="E32" s="13" t="str">
        <f t="shared" si="8"/>
        <v/>
      </c>
      <c r="F32" s="14" t="str">
        <f t="shared" si="9"/>
        <v/>
      </c>
      <c r="G32" s="15"/>
      <c r="H32" s="15" t="str">
        <f t="shared" si="10"/>
        <v/>
      </c>
      <c r="I32" s="16" t="str">
        <f t="shared" si="11"/>
        <v/>
      </c>
      <c r="J32" s="41"/>
      <c r="K32" s="41"/>
    </row>
    <row r="33" spans="1:11" ht="15.75">
      <c r="A33" s="30" t="str">
        <v xml:space="preserve"> Clayton - Bank of America</v>
      </c>
      <c r="B33" s="31" t="str">
        <v>MO</v>
      </c>
      <c r="C33" s="11"/>
      <c r="D33" s="18"/>
      <c r="E33" s="18" t="str">
        <f t="shared" si="8"/>
        <v/>
      </c>
      <c r="F33" s="19" t="str">
        <f t="shared" si="9"/>
        <v/>
      </c>
      <c r="G33" s="20"/>
      <c r="H33" s="20" t="str">
        <f t="shared" si="10"/>
        <v/>
      </c>
      <c r="I33" s="19" t="str">
        <f t="shared" si="11"/>
        <v/>
      </c>
      <c r="J33" s="42"/>
      <c r="K33" s="43"/>
    </row>
    <row r="34" spans="1:11" ht="15.75">
      <c r="A34" s="28" t="str">
        <v xml:space="preserve"> Manchester - Bank of America</v>
      </c>
      <c r="B34" s="29" t="str">
        <v>MO</v>
      </c>
      <c r="C34" s="24"/>
      <c r="D34" s="13"/>
      <c r="E34" s="13" t="str">
        <f t="shared" si="8"/>
        <v/>
      </c>
      <c r="F34" s="14" t="str">
        <f t="shared" si="9"/>
        <v/>
      </c>
      <c r="G34" s="15"/>
      <c r="H34" s="15" t="str">
        <f t="shared" si="10"/>
        <v/>
      </c>
      <c r="I34" s="16" t="str">
        <f t="shared" si="11"/>
        <v/>
      </c>
      <c r="J34" s="41"/>
      <c r="K34" s="41"/>
    </row>
    <row r="35" spans="1:11" ht="15.75">
      <c r="A35" s="30" t="str">
        <v xml:space="preserve"> Las Vegas - BA - Eastern Ave</v>
      </c>
      <c r="B35" s="31" t="str">
        <v>NV</v>
      </c>
      <c r="C35" s="11"/>
      <c r="D35" s="18"/>
      <c r="E35" s="18" t="str">
        <f t="shared" si="8"/>
        <v/>
      </c>
      <c r="F35" s="19" t="str">
        <f t="shared" si="9"/>
        <v/>
      </c>
      <c r="G35" s="20"/>
      <c r="H35" s="20" t="str">
        <f t="shared" si="10"/>
        <v/>
      </c>
      <c r="I35" s="19" t="str">
        <f t="shared" si="11"/>
        <v/>
      </c>
      <c r="J35" s="42"/>
      <c r="K35" s="43"/>
    </row>
    <row r="36" spans="1:11" ht="15.75">
      <c r="A36" s="28" t="str">
        <v xml:space="preserve"> Las Vegas - BA - Town Ctr Dr</v>
      </c>
      <c r="B36" s="29" t="str">
        <v>NV</v>
      </c>
      <c r="C36" s="24"/>
      <c r="D36" s="13"/>
      <c r="E36" s="13" t="str">
        <f t="shared" si="8"/>
        <v/>
      </c>
      <c r="F36" s="14" t="str">
        <f t="shared" si="9"/>
        <v/>
      </c>
      <c r="G36" s="15"/>
      <c r="H36" s="15" t="str">
        <f t="shared" si="10"/>
        <v/>
      </c>
      <c r="I36" s="16" t="str">
        <f t="shared" si="11"/>
        <v/>
      </c>
      <c r="J36" s="41"/>
      <c r="K36" s="41"/>
    </row>
    <row r="37" spans="1:11" ht="15.75">
      <c r="A37" s="30" t="str">
        <v xml:space="preserve"> Riverton - Bank of America</v>
      </c>
      <c r="B37" s="31" t="str">
        <v>UT</v>
      </c>
      <c r="C37" s="11"/>
      <c r="D37" s="18"/>
      <c r="E37" s="18" t="str">
        <f t="shared" si="8"/>
        <v/>
      </c>
      <c r="F37" s="19" t="str">
        <f t="shared" si="9"/>
        <v/>
      </c>
      <c r="G37" s="20"/>
      <c r="H37" s="20" t="str">
        <f t="shared" si="10"/>
        <v/>
      </c>
      <c r="I37" s="19" t="str">
        <f t="shared" si="11"/>
        <v/>
      </c>
      <c r="J37" s="42"/>
      <c r="K37" s="43"/>
    </row>
    <row r="38" spans="1:11" ht="15.75">
      <c r="A38" s="28" t="str">
        <v xml:space="preserve"> Salt Lake City - Bank of America</v>
      </c>
      <c r="B38" s="29" t="str">
        <v>UT</v>
      </c>
      <c r="C38" s="24"/>
      <c r="D38" s="13"/>
      <c r="E38" s="13" t="str">
        <f t="shared" si="8"/>
        <v/>
      </c>
      <c r="F38" s="14" t="str">
        <f t="shared" si="9"/>
        <v/>
      </c>
      <c r="G38" s="15"/>
      <c r="H38" s="15" t="str">
        <f t="shared" si="10"/>
        <v/>
      </c>
      <c r="I38" s="16" t="str">
        <f t="shared" si="11"/>
        <v/>
      </c>
      <c r="J38" s="41"/>
      <c r="K38" s="41"/>
    </row>
    <row r="39" spans="1:11" ht="1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 F4:F100 I4:I100">
    <cfRule type="cellIs" dxfId="46" priority="1" stopIfTrue="1" operator="lessThanOrEqual">
      <formula>-0.1</formula>
    </cfRule>
    <cfRule type="expression" dxfId="4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42"/>
  <sheetViews>
    <sheetView workbookViewId="0">
      <pane xSplit="2" ySplit="3" topLeftCell="C4" activePane="bottomRight" state="frozen"/>
      <selection pane="bottomRight" activeCell="A16" sqref="A16:K38"/>
      <selection pane="bottomLeft"/>
      <selection pane="topRight"/>
    </sheetView>
  </sheetViews>
  <sheetFormatPr defaultRowHeight="14.2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7" t="str" cm="1">
        <f t="array" ref="A1">portfolio</f>
        <v>Cushman &amp; Wakefield</v>
      </c>
      <c r="B1" s="57"/>
      <c r="C1" s="57"/>
      <c r="D1" s="58" t="s">
        <v>24</v>
      </c>
      <c r="E1" s="58"/>
      <c r="F1" s="58"/>
      <c r="G1" s="56" t="s">
        <v>25</v>
      </c>
      <c r="H1" s="56"/>
      <c r="I1" s="56"/>
      <c r="J1" s="4"/>
      <c r="K1" s="4"/>
    </row>
    <row r="2" spans="1:11" ht="19.5" customHeight="1">
      <c r="A2" s="59" t="s">
        <v>2</v>
      </c>
      <c r="B2" s="59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  <c r="J2" s="26" t="str">
        <f ca="1">IF(AND(TODAY()&gt;DATE(2024, 3,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38">Sites[Site]</f>
        <v xml:space="preserve"> Adelanto - Bank of America</v>
      </c>
      <c r="B4" s="29" t="str" cm="1">
        <f t="array" ref="B4:B38">Sites[State]</f>
        <v>CA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75">
      <c r="A5" s="30" t="str">
        <v xml:space="preserve"> Apple Valley - Bank of America</v>
      </c>
      <c r="B5" s="31" t="str">
        <v>CA</v>
      </c>
      <c r="C5" s="11"/>
      <c r="D5" s="18"/>
      <c r="E5" s="18" t="str">
        <f t="shared" ref="E5:E17" si="0">IF(AND(ISNUMBER(C5),ISNUMBER(D5)), C5-D5, "")</f>
        <v/>
      </c>
      <c r="F5" s="19" t="str">
        <f>IFERROR(E5/D5, "")</f>
        <v/>
      </c>
      <c r="G5" s="20"/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/>
      <c r="K5" s="42"/>
    </row>
    <row r="6" spans="1:11" ht="15.75">
      <c r="A6" s="28" t="str">
        <v xml:space="preserve"> Arvin - Bank of America</v>
      </c>
      <c r="B6" s="29" t="str">
        <v>CA</v>
      </c>
      <c r="C6" s="24"/>
      <c r="D6" s="13"/>
      <c r="E6" s="13" t="str">
        <f t="shared" si="0"/>
        <v/>
      </c>
      <c r="F6" s="14" t="str">
        <f t="shared" ref="F6:F17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5.75">
      <c r="A7" s="30" t="str">
        <v xml:space="preserve"> Bell - Bank of America</v>
      </c>
      <c r="B7" s="31" t="str">
        <v>CA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42"/>
      <c r="K7" s="43"/>
    </row>
    <row r="8" spans="1:11" ht="15.75">
      <c r="A8" s="28" t="str">
        <v xml:space="preserve"> Chula Vista - Bank of America</v>
      </c>
      <c r="B8" s="29" t="str">
        <v>CA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1"/>
      <c r="K8" s="41"/>
    </row>
    <row r="9" spans="1:11" ht="15.75">
      <c r="A9" s="30" t="str">
        <v xml:space="preserve"> Cupertino - Bank of America</v>
      </c>
      <c r="B9" s="31" t="str">
        <v>CA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42"/>
      <c r="K9" s="43"/>
    </row>
    <row r="10" spans="1:11" ht="15.75">
      <c r="A10" s="28" t="str">
        <v xml:space="preserve"> Diamond Bar - Bank of America</v>
      </c>
      <c r="B10" s="29" t="str">
        <v>CA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1"/>
      <c r="K10" s="41"/>
    </row>
    <row r="11" spans="1:11" ht="15.75">
      <c r="A11" s="30" t="str">
        <v xml:space="preserve"> El Centro - Bank of America</v>
      </c>
      <c r="B11" s="31" t="str">
        <v>CA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42"/>
      <c r="K11" s="43"/>
    </row>
    <row r="12" spans="1:11" ht="15.75">
      <c r="A12" s="28" t="str">
        <v xml:space="preserve"> Moreno Valley - Bank of America</v>
      </c>
      <c r="B12" s="29" t="str">
        <v>CA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1"/>
      <c r="K12" s="41"/>
    </row>
    <row r="13" spans="1:11" ht="15.75">
      <c r="A13" s="30" t="str">
        <v xml:space="preserve"> Redlands - Bank of America</v>
      </c>
      <c r="B13" s="31" t="str">
        <v>CA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42"/>
      <c r="K13" s="43"/>
    </row>
    <row r="14" spans="1:11" ht="15.75">
      <c r="A14" s="28" t="str">
        <v xml:space="preserve"> Roseville - Bank of America</v>
      </c>
      <c r="B14" s="29" t="str">
        <v>CA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1"/>
      <c r="K14" s="41"/>
    </row>
    <row r="15" spans="1:11" ht="15.75">
      <c r="A15" s="30" t="str">
        <v xml:space="preserve"> San Bernardino - Bank of America</v>
      </c>
      <c r="B15" s="31" t="str">
        <v>CA</v>
      </c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42"/>
      <c r="K15" s="43"/>
    </row>
    <row r="16" spans="1:11" ht="15.75">
      <c r="A16" s="28" t="str">
        <v xml:space="preserve"> San Diego - Bank of America</v>
      </c>
      <c r="B16" s="29" t="str">
        <v>CA</v>
      </c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41"/>
      <c r="K16" s="41"/>
    </row>
    <row r="17" spans="1:11" ht="15.75">
      <c r="A17" s="30" t="str">
        <v xml:space="preserve"> Stockton - Bank of America</v>
      </c>
      <c r="B17" s="31" t="str">
        <v>CA</v>
      </c>
      <c r="C17" s="11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J17" s="42"/>
      <c r="K17" s="43"/>
    </row>
    <row r="18" spans="1:11" ht="12.75" customHeight="1">
      <c r="A18" s="28" t="str">
        <v xml:space="preserve"> Victorville - Bank of America</v>
      </c>
      <c r="B18" s="29" t="str">
        <v>CA</v>
      </c>
      <c r="C18" s="24"/>
      <c r="D18" s="13"/>
      <c r="E18" s="13" t="str">
        <f t="shared" ref="E18:E38" si="4">IF(AND(ISNUMBER(C18),ISNUMBER(D18)), C18-D18, "")</f>
        <v/>
      </c>
      <c r="F18" s="14" t="str">
        <f t="shared" ref="F18:F38" si="5">IFERROR(E18/D18, "")</f>
        <v/>
      </c>
      <c r="G18" s="15"/>
      <c r="H18" s="15" t="str">
        <f t="shared" ref="H18:H38" si="6">IF(AND(ISNUMBER(C18),ISNUMBER(G18)), C18-G18, "")</f>
        <v/>
      </c>
      <c r="I18" s="16" t="str">
        <f t="shared" ref="I18:I38" si="7">IFERROR(H18/G18, "")</f>
        <v/>
      </c>
      <c r="J18" s="41"/>
      <c r="K18" s="41"/>
    </row>
    <row r="19" spans="1:11" ht="15.75">
      <c r="A19" s="30" t="str">
        <v xml:space="preserve"> Aurora - BA - Colfax Ave</v>
      </c>
      <c r="B19" s="31" t="str">
        <v>CO</v>
      </c>
      <c r="C19" s="11"/>
      <c r="D19" s="18"/>
      <c r="E19" s="18" t="str">
        <f t="shared" si="4"/>
        <v/>
      </c>
      <c r="F19" s="19" t="str">
        <f t="shared" si="5"/>
        <v/>
      </c>
      <c r="G19" s="20"/>
      <c r="H19" s="20" t="str">
        <f t="shared" si="6"/>
        <v/>
      </c>
      <c r="I19" s="19" t="str">
        <f t="shared" si="7"/>
        <v/>
      </c>
      <c r="J19" s="42"/>
      <c r="K19" s="43"/>
    </row>
    <row r="20" spans="1:11" ht="15.75">
      <c r="A20" s="28" t="str">
        <v xml:space="preserve"> Aurora - BA - Parker Rd</v>
      </c>
      <c r="B20" s="29" t="str">
        <v>CO</v>
      </c>
      <c r="C20" s="24"/>
      <c r="D20" s="13"/>
      <c r="E20" s="13" t="str">
        <f t="shared" si="4"/>
        <v/>
      </c>
      <c r="F20" s="14" t="str">
        <f t="shared" si="5"/>
        <v/>
      </c>
      <c r="G20" s="15"/>
      <c r="H20" s="15" t="str">
        <f t="shared" si="6"/>
        <v/>
      </c>
      <c r="I20" s="16" t="str">
        <f t="shared" si="7"/>
        <v/>
      </c>
      <c r="J20" s="41"/>
      <c r="K20" s="41"/>
    </row>
    <row r="21" spans="1:11" ht="15.75">
      <c r="A21" s="30" t="str">
        <v xml:space="preserve"> Broomfield - Bank of America</v>
      </c>
      <c r="B21" s="31" t="str">
        <v>CO</v>
      </c>
      <c r="C21" s="11"/>
      <c r="D21" s="18"/>
      <c r="E21" s="18" t="str">
        <f t="shared" si="4"/>
        <v/>
      </c>
      <c r="F21" s="19" t="str">
        <f t="shared" si="5"/>
        <v/>
      </c>
      <c r="G21" s="20"/>
      <c r="H21" s="20" t="str">
        <f t="shared" si="6"/>
        <v/>
      </c>
      <c r="I21" s="19" t="str">
        <f t="shared" si="7"/>
        <v/>
      </c>
      <c r="J21" s="42"/>
      <c r="K21" s="43"/>
    </row>
    <row r="22" spans="1:11" ht="15.75">
      <c r="A22" s="28" t="str">
        <v xml:space="preserve"> Colorado Springs - Bank of America</v>
      </c>
      <c r="B22" s="29" t="str">
        <v>CO</v>
      </c>
      <c r="C22" s="24"/>
      <c r="D22" s="13"/>
      <c r="E22" s="13" t="str">
        <f t="shared" si="4"/>
        <v/>
      </c>
      <c r="F22" s="14" t="str">
        <f t="shared" si="5"/>
        <v/>
      </c>
      <c r="G22" s="15"/>
      <c r="H22" s="15" t="str">
        <f t="shared" si="6"/>
        <v/>
      </c>
      <c r="I22" s="16" t="str">
        <f t="shared" si="7"/>
        <v/>
      </c>
      <c r="J22" s="41"/>
      <c r="K22" s="41"/>
    </row>
    <row r="23" spans="1:11" ht="15.75">
      <c r="A23" s="30" t="str">
        <v xml:space="preserve"> Denver - BA - 49th Ave</v>
      </c>
      <c r="B23" s="31" t="str">
        <v>CO</v>
      </c>
      <c r="C23" s="11"/>
      <c r="D23" s="18"/>
      <c r="E23" s="18" t="str">
        <f t="shared" si="4"/>
        <v/>
      </c>
      <c r="F23" s="19" t="str">
        <f t="shared" si="5"/>
        <v/>
      </c>
      <c r="G23" s="20"/>
      <c r="H23" s="20" t="str">
        <f t="shared" si="6"/>
        <v/>
      </c>
      <c r="I23" s="19" t="str">
        <f t="shared" si="7"/>
        <v/>
      </c>
      <c r="J23" s="42"/>
      <c r="K23" s="43"/>
    </row>
    <row r="24" spans="1:11" ht="15.75">
      <c r="A24" s="28" t="str">
        <v xml:space="preserve"> Denver - BA Wadsworth Blvd</v>
      </c>
      <c r="B24" s="29" t="str">
        <v>CO</v>
      </c>
      <c r="C24" s="24"/>
      <c r="D24" s="13"/>
      <c r="E24" s="13" t="str">
        <f t="shared" si="4"/>
        <v/>
      </c>
      <c r="F24" s="14" t="str">
        <f t="shared" si="5"/>
        <v/>
      </c>
      <c r="G24" s="15"/>
      <c r="H24" s="15" t="str">
        <f t="shared" si="6"/>
        <v/>
      </c>
      <c r="I24" s="16" t="str">
        <f t="shared" si="7"/>
        <v/>
      </c>
      <c r="J24" s="41"/>
      <c r="K24" s="41"/>
    </row>
    <row r="25" spans="1:11" ht="15.75">
      <c r="A25" s="30" t="str">
        <v xml:space="preserve"> Fort Collins - Bank of America</v>
      </c>
      <c r="B25" s="31" t="str">
        <v>CO</v>
      </c>
      <c r="C25" s="11"/>
      <c r="D25" s="18"/>
      <c r="E25" s="18" t="str">
        <f t="shared" si="4"/>
        <v/>
      </c>
      <c r="F25" s="19" t="str">
        <f t="shared" si="5"/>
        <v/>
      </c>
      <c r="G25" s="20"/>
      <c r="H25" s="20" t="str">
        <f t="shared" si="6"/>
        <v/>
      </c>
      <c r="I25" s="19" t="str">
        <f t="shared" si="7"/>
        <v/>
      </c>
      <c r="J25" s="42"/>
      <c r="K25" s="43"/>
    </row>
    <row r="26" spans="1:11" ht="15.75">
      <c r="A26" s="28" t="str">
        <v xml:space="preserve"> Lafayette - Bank of America</v>
      </c>
      <c r="B26" s="29" t="str">
        <v>CO</v>
      </c>
      <c r="C26" s="24"/>
      <c r="D26" s="13"/>
      <c r="E26" s="13" t="str">
        <f t="shared" si="4"/>
        <v/>
      </c>
      <c r="F26" s="14" t="str">
        <f t="shared" si="5"/>
        <v/>
      </c>
      <c r="G26" s="15"/>
      <c r="H26" s="15" t="str">
        <f t="shared" si="6"/>
        <v/>
      </c>
      <c r="I26" s="16" t="str">
        <f t="shared" si="7"/>
        <v/>
      </c>
      <c r="J26" s="41"/>
      <c r="K26" s="41"/>
    </row>
    <row r="27" spans="1:11" ht="15.75">
      <c r="A27" s="30" t="str">
        <v xml:space="preserve"> Lakewood - Bank of America</v>
      </c>
      <c r="B27" s="31" t="str">
        <v>CO</v>
      </c>
      <c r="C27" s="11"/>
      <c r="D27" s="18"/>
      <c r="E27" s="18" t="str">
        <f t="shared" si="4"/>
        <v/>
      </c>
      <c r="F27" s="19" t="str">
        <f t="shared" si="5"/>
        <v/>
      </c>
      <c r="G27" s="20"/>
      <c r="H27" s="20" t="str">
        <f t="shared" si="6"/>
        <v/>
      </c>
      <c r="I27" s="19" t="str">
        <f t="shared" si="7"/>
        <v/>
      </c>
      <c r="J27" s="42"/>
      <c r="K27" s="43"/>
    </row>
    <row r="28" spans="1:11" ht="15.75">
      <c r="A28" s="28" t="str">
        <v xml:space="preserve"> Longmont - Bank of America</v>
      </c>
      <c r="B28" s="29" t="str">
        <v>CO</v>
      </c>
      <c r="C28" s="24"/>
      <c r="D28" s="13"/>
      <c r="E28" s="13" t="str">
        <f t="shared" si="4"/>
        <v/>
      </c>
      <c r="F28" s="14" t="str">
        <f t="shared" si="5"/>
        <v/>
      </c>
      <c r="G28" s="15"/>
      <c r="H28" s="15" t="str">
        <f t="shared" si="6"/>
        <v/>
      </c>
      <c r="I28" s="16" t="str">
        <f t="shared" si="7"/>
        <v/>
      </c>
      <c r="J28" s="41"/>
      <c r="K28" s="41"/>
    </row>
    <row r="29" spans="1:11" ht="15.75">
      <c r="A29" s="30" t="str">
        <v xml:space="preserve"> Thornton - Bank of America</v>
      </c>
      <c r="B29" s="31" t="str">
        <v>CO</v>
      </c>
      <c r="C29" s="11"/>
      <c r="D29" s="18"/>
      <c r="E29" s="18" t="str">
        <f t="shared" si="4"/>
        <v/>
      </c>
      <c r="F29" s="19" t="str">
        <f t="shared" si="5"/>
        <v/>
      </c>
      <c r="G29" s="20"/>
      <c r="H29" s="20" t="str">
        <f t="shared" si="6"/>
        <v/>
      </c>
      <c r="I29" s="19" t="str">
        <f t="shared" si="7"/>
        <v/>
      </c>
      <c r="J29" s="42"/>
      <c r="K29" s="43"/>
    </row>
    <row r="30" spans="1:11" ht="15.75">
      <c r="A30" s="28" t="str">
        <v xml:space="preserve"> Calumet City - Bank of America</v>
      </c>
      <c r="B30" s="29" t="str">
        <v>IL</v>
      </c>
      <c r="C30" s="24"/>
      <c r="D30" s="13"/>
      <c r="E30" s="13" t="str">
        <f t="shared" si="4"/>
        <v/>
      </c>
      <c r="F30" s="14" t="str">
        <f t="shared" si="5"/>
        <v/>
      </c>
      <c r="G30" s="15"/>
      <c r="H30" s="15" t="str">
        <f t="shared" si="6"/>
        <v/>
      </c>
      <c r="I30" s="16" t="str">
        <f t="shared" si="7"/>
        <v/>
      </c>
      <c r="J30" s="41"/>
      <c r="K30" s="41"/>
    </row>
    <row r="31" spans="1:11" ht="15.75">
      <c r="A31" s="30" t="str">
        <v xml:space="preserve"> Downers Grove - Bank of America</v>
      </c>
      <c r="B31" s="31" t="str">
        <v>IL</v>
      </c>
      <c r="C31" s="11"/>
      <c r="D31" s="18"/>
      <c r="E31" s="18" t="str">
        <f t="shared" si="4"/>
        <v/>
      </c>
      <c r="F31" s="19" t="str">
        <f t="shared" si="5"/>
        <v/>
      </c>
      <c r="G31" s="20"/>
      <c r="H31" s="20" t="str">
        <f t="shared" si="6"/>
        <v/>
      </c>
      <c r="I31" s="19" t="str">
        <f t="shared" si="7"/>
        <v/>
      </c>
      <c r="J31" s="42"/>
      <c r="K31" s="43"/>
    </row>
    <row r="32" spans="1:11" ht="15.75">
      <c r="A32" s="28" t="str">
        <v xml:space="preserve"> Bloomington - Bank of America</v>
      </c>
      <c r="B32" s="29" t="str">
        <v>MN</v>
      </c>
      <c r="C32" s="24"/>
      <c r="D32" s="13"/>
      <c r="E32" s="13" t="str">
        <f t="shared" si="4"/>
        <v/>
      </c>
      <c r="F32" s="14" t="str">
        <f t="shared" si="5"/>
        <v/>
      </c>
      <c r="G32" s="15"/>
      <c r="H32" s="15" t="str">
        <f t="shared" si="6"/>
        <v/>
      </c>
      <c r="I32" s="16" t="str">
        <f t="shared" si="7"/>
        <v/>
      </c>
      <c r="J32" s="41"/>
      <c r="K32" s="41"/>
    </row>
    <row r="33" spans="1:11" ht="15.75">
      <c r="A33" s="30" t="str">
        <v xml:space="preserve"> Clayton - Bank of America</v>
      </c>
      <c r="B33" s="31" t="str">
        <v>MO</v>
      </c>
      <c r="C33" s="11"/>
      <c r="D33" s="18"/>
      <c r="E33" s="18" t="str">
        <f t="shared" si="4"/>
        <v/>
      </c>
      <c r="F33" s="19" t="str">
        <f t="shared" si="5"/>
        <v/>
      </c>
      <c r="G33" s="20"/>
      <c r="H33" s="20" t="str">
        <f t="shared" si="6"/>
        <v/>
      </c>
      <c r="I33" s="19" t="str">
        <f t="shared" si="7"/>
        <v/>
      </c>
      <c r="J33" s="42"/>
      <c r="K33" s="43"/>
    </row>
    <row r="34" spans="1:11" ht="15.75">
      <c r="A34" s="28" t="str">
        <v xml:space="preserve"> Manchester - Bank of America</v>
      </c>
      <c r="B34" s="29" t="str">
        <v>MO</v>
      </c>
      <c r="C34" s="24"/>
      <c r="D34" s="13"/>
      <c r="E34" s="13" t="str">
        <f t="shared" si="4"/>
        <v/>
      </c>
      <c r="F34" s="14" t="str">
        <f t="shared" si="5"/>
        <v/>
      </c>
      <c r="G34" s="15"/>
      <c r="H34" s="15" t="str">
        <f t="shared" si="6"/>
        <v/>
      </c>
      <c r="I34" s="16" t="str">
        <f t="shared" si="7"/>
        <v/>
      </c>
      <c r="J34" s="41"/>
      <c r="K34" s="41"/>
    </row>
    <row r="35" spans="1:11" ht="15.75">
      <c r="A35" s="30" t="str">
        <v xml:space="preserve"> Las Vegas - BA - Eastern Ave</v>
      </c>
      <c r="B35" s="31" t="str">
        <v>NV</v>
      </c>
      <c r="C35" s="11"/>
      <c r="D35" s="18"/>
      <c r="E35" s="18" t="str">
        <f t="shared" si="4"/>
        <v/>
      </c>
      <c r="F35" s="19" t="str">
        <f t="shared" si="5"/>
        <v/>
      </c>
      <c r="G35" s="20"/>
      <c r="H35" s="20" t="str">
        <f t="shared" si="6"/>
        <v/>
      </c>
      <c r="I35" s="19" t="str">
        <f t="shared" si="7"/>
        <v/>
      </c>
      <c r="J35" s="42"/>
      <c r="K35" s="43"/>
    </row>
    <row r="36" spans="1:11" ht="15.75">
      <c r="A36" s="28" t="str">
        <v xml:space="preserve"> Las Vegas - BA - Town Ctr Dr</v>
      </c>
      <c r="B36" s="29" t="str">
        <v>NV</v>
      </c>
      <c r="C36" s="24"/>
      <c r="D36" s="13"/>
      <c r="E36" s="13" t="str">
        <f t="shared" si="4"/>
        <v/>
      </c>
      <c r="F36" s="14" t="str">
        <f t="shared" si="5"/>
        <v/>
      </c>
      <c r="G36" s="15"/>
      <c r="H36" s="15" t="str">
        <f t="shared" si="6"/>
        <v/>
      </c>
      <c r="I36" s="16" t="str">
        <f t="shared" si="7"/>
        <v/>
      </c>
      <c r="J36" s="41"/>
      <c r="K36" s="41"/>
    </row>
    <row r="37" spans="1:11" ht="15.75">
      <c r="A37" s="30" t="str">
        <v xml:space="preserve"> Riverton - Bank of America</v>
      </c>
      <c r="B37" s="31" t="str">
        <v>UT</v>
      </c>
      <c r="C37" s="11"/>
      <c r="D37" s="18"/>
      <c r="E37" s="18" t="str">
        <f t="shared" si="4"/>
        <v/>
      </c>
      <c r="F37" s="19" t="str">
        <f t="shared" si="5"/>
        <v/>
      </c>
      <c r="G37" s="20"/>
      <c r="H37" s="20" t="str">
        <f t="shared" si="6"/>
        <v/>
      </c>
      <c r="I37" s="19" t="str">
        <f t="shared" si="7"/>
        <v/>
      </c>
      <c r="J37" s="42"/>
      <c r="K37" s="43"/>
    </row>
    <row r="38" spans="1:11" ht="15.75">
      <c r="A38" s="28" t="str">
        <v xml:space="preserve"> Salt Lake City - Bank of America</v>
      </c>
      <c r="B38" s="29" t="str">
        <v>UT</v>
      </c>
      <c r="C38" s="24"/>
      <c r="D38" s="13"/>
      <c r="E38" s="13" t="str">
        <f t="shared" si="4"/>
        <v/>
      </c>
      <c r="F38" s="14" t="str">
        <f t="shared" si="5"/>
        <v/>
      </c>
      <c r="G38" s="15"/>
      <c r="H38" s="15" t="str">
        <f t="shared" si="6"/>
        <v/>
      </c>
      <c r="I38" s="16" t="str">
        <f t="shared" si="7"/>
        <v/>
      </c>
      <c r="J38" s="41"/>
      <c r="K38" s="41"/>
    </row>
    <row r="39" spans="1:11" ht="1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 F4:F15 I4:I15 I39:I100 F39:F100">
    <cfRule type="cellIs" dxfId="44" priority="3" stopIfTrue="1" operator="lessThanOrEqual">
      <formula>-0.1</formula>
    </cfRule>
    <cfRule type="expression" dxfId="43" priority="4">
      <formula>AND(ISNUMBER(F2), F2&gt;=0.1)</formula>
    </cfRule>
  </conditionalFormatting>
  <conditionalFormatting sqref="F16:F38 I16:I38">
    <cfRule type="cellIs" dxfId="42" priority="1" stopIfTrue="1" operator="lessThanOrEqual">
      <formula>-0.1</formula>
    </cfRule>
    <cfRule type="expression" dxfId="41" priority="2">
      <formula>AND(ISNUMBER(F16), F16&gt;=0.1)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42"/>
  <sheetViews>
    <sheetView workbookViewId="0">
      <pane xSplit="2" ySplit="3" topLeftCell="C4" activePane="bottomRight" state="frozen"/>
      <selection pane="bottomRight" activeCell="A16" sqref="A16:K38"/>
      <selection pane="bottomLeft"/>
      <selection pane="topRight"/>
    </sheetView>
  </sheetViews>
  <sheetFormatPr defaultRowHeight="14.2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7" t="str" cm="1">
        <f t="array" ref="A1">portfolio</f>
        <v>Cushman &amp; Wakefield</v>
      </c>
      <c r="B1" s="57"/>
      <c r="C1" s="57"/>
      <c r="D1" s="58" t="s">
        <v>26</v>
      </c>
      <c r="E1" s="58"/>
      <c r="F1" s="58"/>
      <c r="G1" s="56" t="s">
        <v>27</v>
      </c>
      <c r="H1" s="56"/>
      <c r="I1" s="56"/>
      <c r="J1" s="4"/>
      <c r="K1" s="4"/>
    </row>
    <row r="2" spans="1:11" ht="19.5" customHeight="1">
      <c r="A2" s="59" t="s">
        <v>2</v>
      </c>
      <c r="B2" s="59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  <c r="J2" s="26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38">Sites[Site]</f>
        <v xml:space="preserve"> Adelanto - Bank of America</v>
      </c>
      <c r="B4" s="29" t="str" cm="1">
        <f t="array" ref="B4:B38">Sites[State]</f>
        <v>CA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75">
      <c r="A5" s="30" t="str">
        <v xml:space="preserve"> Apple Valley - Bank of America</v>
      </c>
      <c r="B5" s="31" t="str">
        <v>CA</v>
      </c>
      <c r="C5" s="11"/>
      <c r="D5" s="18"/>
      <c r="E5" s="18" t="str">
        <f t="shared" ref="E5:E17" si="0">IF(AND(ISNUMBER(C5),ISNUMBER(D5)), C5-D5, "")</f>
        <v/>
      </c>
      <c r="F5" s="19" t="str">
        <f>IFERROR(E5/D5, "")</f>
        <v/>
      </c>
      <c r="G5" s="20"/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/>
      <c r="K5" s="42"/>
    </row>
    <row r="6" spans="1:11" ht="15.75">
      <c r="A6" s="28" t="str">
        <v xml:space="preserve"> Arvin - Bank of America</v>
      </c>
      <c r="B6" s="29" t="str">
        <v>CA</v>
      </c>
      <c r="C6" s="24"/>
      <c r="D6" s="13"/>
      <c r="E6" s="13" t="str">
        <f t="shared" si="0"/>
        <v/>
      </c>
      <c r="F6" s="14" t="str">
        <f t="shared" ref="F6:F17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5.75">
      <c r="A7" s="30" t="str">
        <v xml:space="preserve"> Bell - Bank of America</v>
      </c>
      <c r="B7" s="31" t="str">
        <v>CA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42"/>
      <c r="K7" s="43"/>
    </row>
    <row r="8" spans="1:11" ht="15.75">
      <c r="A8" s="28" t="str">
        <v xml:space="preserve"> Chula Vista - Bank of America</v>
      </c>
      <c r="B8" s="29" t="str">
        <v>CA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1"/>
      <c r="K8" s="41"/>
    </row>
    <row r="9" spans="1:11" ht="15.75">
      <c r="A9" s="30" t="str">
        <v xml:space="preserve"> Cupertino - Bank of America</v>
      </c>
      <c r="B9" s="31" t="str">
        <v>CA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42"/>
      <c r="K9" s="43"/>
    </row>
    <row r="10" spans="1:11" ht="15.75">
      <c r="A10" s="28" t="str">
        <v xml:space="preserve"> Diamond Bar - Bank of America</v>
      </c>
      <c r="B10" s="29" t="str">
        <v>CA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1"/>
      <c r="K10" s="41"/>
    </row>
    <row r="11" spans="1:11" ht="15.75">
      <c r="A11" s="30" t="str">
        <v xml:space="preserve"> El Centro - Bank of America</v>
      </c>
      <c r="B11" s="31" t="str">
        <v>CA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42"/>
      <c r="K11" s="43"/>
    </row>
    <row r="12" spans="1:11" ht="15.75">
      <c r="A12" s="28" t="str">
        <v xml:space="preserve"> Moreno Valley - Bank of America</v>
      </c>
      <c r="B12" s="29" t="str">
        <v>CA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1"/>
      <c r="K12" s="41"/>
    </row>
    <row r="13" spans="1:11" ht="15.75">
      <c r="A13" s="30" t="str">
        <v xml:space="preserve"> Redlands - Bank of America</v>
      </c>
      <c r="B13" s="31" t="str">
        <v>CA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42"/>
      <c r="K13" s="43"/>
    </row>
    <row r="14" spans="1:11" ht="15.75">
      <c r="A14" s="28" t="str">
        <v xml:space="preserve"> Roseville - Bank of America</v>
      </c>
      <c r="B14" s="29" t="str">
        <v>CA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1"/>
      <c r="K14" s="41"/>
    </row>
    <row r="15" spans="1:11" ht="15.75">
      <c r="A15" s="30" t="str">
        <v xml:space="preserve"> San Bernardino - Bank of America</v>
      </c>
      <c r="B15" s="31" t="str">
        <v>CA</v>
      </c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42"/>
      <c r="K15" s="43"/>
    </row>
    <row r="16" spans="1:11" ht="15.75">
      <c r="A16" s="28" t="str">
        <v xml:space="preserve"> San Diego - Bank of America</v>
      </c>
      <c r="B16" s="29" t="str">
        <v>CA</v>
      </c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41"/>
      <c r="K16" s="41"/>
    </row>
    <row r="17" spans="1:11" ht="15.75">
      <c r="A17" s="30" t="str">
        <v xml:space="preserve"> Stockton - Bank of America</v>
      </c>
      <c r="B17" s="31" t="str">
        <v>CA</v>
      </c>
      <c r="C17" s="11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J17" s="42"/>
      <c r="K17" s="43"/>
    </row>
    <row r="18" spans="1:11" ht="12.75" customHeight="1">
      <c r="A18" s="28" t="str">
        <v xml:space="preserve"> Victorville - Bank of America</v>
      </c>
      <c r="B18" s="29" t="str">
        <v>CA</v>
      </c>
      <c r="C18" s="24"/>
      <c r="D18" s="13"/>
      <c r="E18" s="13" t="str">
        <f t="shared" ref="E18:E38" si="4">IF(AND(ISNUMBER(C18),ISNUMBER(D18)), C18-D18, "")</f>
        <v/>
      </c>
      <c r="F18" s="14" t="str">
        <f t="shared" ref="F18:F38" si="5">IFERROR(E18/D18, "")</f>
        <v/>
      </c>
      <c r="G18" s="15"/>
      <c r="H18" s="15" t="str">
        <f t="shared" ref="H18:H38" si="6">IF(AND(ISNUMBER(C18),ISNUMBER(G18)), C18-G18, "")</f>
        <v/>
      </c>
      <c r="I18" s="16" t="str">
        <f t="shared" ref="I18:I38" si="7">IFERROR(H18/G18, "")</f>
        <v/>
      </c>
      <c r="J18" s="41"/>
      <c r="K18" s="41"/>
    </row>
    <row r="19" spans="1:11" ht="15.75">
      <c r="A19" s="30" t="str">
        <v xml:space="preserve"> Aurora - BA - Colfax Ave</v>
      </c>
      <c r="B19" s="31" t="str">
        <v>CO</v>
      </c>
      <c r="C19" s="11"/>
      <c r="D19" s="18"/>
      <c r="E19" s="18" t="str">
        <f t="shared" si="4"/>
        <v/>
      </c>
      <c r="F19" s="19" t="str">
        <f t="shared" si="5"/>
        <v/>
      </c>
      <c r="G19" s="20"/>
      <c r="H19" s="20" t="str">
        <f t="shared" si="6"/>
        <v/>
      </c>
      <c r="I19" s="19" t="str">
        <f t="shared" si="7"/>
        <v/>
      </c>
      <c r="J19" s="42"/>
      <c r="K19" s="43"/>
    </row>
    <row r="20" spans="1:11" ht="15.75">
      <c r="A20" s="28" t="str">
        <v xml:space="preserve"> Aurora - BA - Parker Rd</v>
      </c>
      <c r="B20" s="29" t="str">
        <v>CO</v>
      </c>
      <c r="C20" s="24"/>
      <c r="D20" s="13"/>
      <c r="E20" s="13" t="str">
        <f t="shared" si="4"/>
        <v/>
      </c>
      <c r="F20" s="14" t="str">
        <f t="shared" si="5"/>
        <v/>
      </c>
      <c r="G20" s="15"/>
      <c r="H20" s="15" t="str">
        <f t="shared" si="6"/>
        <v/>
      </c>
      <c r="I20" s="16" t="str">
        <f t="shared" si="7"/>
        <v/>
      </c>
      <c r="J20" s="41"/>
      <c r="K20" s="41"/>
    </row>
    <row r="21" spans="1:11" ht="15.75">
      <c r="A21" s="30" t="str">
        <v xml:space="preserve"> Broomfield - Bank of America</v>
      </c>
      <c r="B21" s="31" t="str">
        <v>CO</v>
      </c>
      <c r="C21" s="11"/>
      <c r="D21" s="18"/>
      <c r="E21" s="18" t="str">
        <f t="shared" si="4"/>
        <v/>
      </c>
      <c r="F21" s="19" t="str">
        <f t="shared" si="5"/>
        <v/>
      </c>
      <c r="G21" s="20"/>
      <c r="H21" s="20" t="str">
        <f t="shared" si="6"/>
        <v/>
      </c>
      <c r="I21" s="19" t="str">
        <f t="shared" si="7"/>
        <v/>
      </c>
      <c r="J21" s="42"/>
      <c r="K21" s="43"/>
    </row>
    <row r="22" spans="1:11" ht="15.75">
      <c r="A22" s="28" t="str">
        <v xml:space="preserve"> Colorado Springs - Bank of America</v>
      </c>
      <c r="B22" s="29" t="str">
        <v>CO</v>
      </c>
      <c r="C22" s="24"/>
      <c r="D22" s="13"/>
      <c r="E22" s="13" t="str">
        <f t="shared" si="4"/>
        <v/>
      </c>
      <c r="F22" s="14" t="str">
        <f t="shared" si="5"/>
        <v/>
      </c>
      <c r="G22" s="15"/>
      <c r="H22" s="15" t="str">
        <f t="shared" si="6"/>
        <v/>
      </c>
      <c r="I22" s="16" t="str">
        <f t="shared" si="7"/>
        <v/>
      </c>
      <c r="J22" s="41"/>
      <c r="K22" s="41"/>
    </row>
    <row r="23" spans="1:11" ht="15.75">
      <c r="A23" s="30" t="str">
        <v xml:space="preserve"> Denver - BA - 49th Ave</v>
      </c>
      <c r="B23" s="31" t="str">
        <v>CO</v>
      </c>
      <c r="C23" s="11"/>
      <c r="D23" s="18"/>
      <c r="E23" s="18" t="str">
        <f t="shared" si="4"/>
        <v/>
      </c>
      <c r="F23" s="19" t="str">
        <f t="shared" si="5"/>
        <v/>
      </c>
      <c r="G23" s="20"/>
      <c r="H23" s="20" t="str">
        <f t="shared" si="6"/>
        <v/>
      </c>
      <c r="I23" s="19" t="str">
        <f t="shared" si="7"/>
        <v/>
      </c>
      <c r="J23" s="42"/>
      <c r="K23" s="43"/>
    </row>
    <row r="24" spans="1:11" ht="15.75">
      <c r="A24" s="28" t="str">
        <v xml:space="preserve"> Denver - BA Wadsworth Blvd</v>
      </c>
      <c r="B24" s="29" t="str">
        <v>CO</v>
      </c>
      <c r="C24" s="24"/>
      <c r="D24" s="13"/>
      <c r="E24" s="13" t="str">
        <f t="shared" si="4"/>
        <v/>
      </c>
      <c r="F24" s="14" t="str">
        <f t="shared" si="5"/>
        <v/>
      </c>
      <c r="G24" s="15"/>
      <c r="H24" s="15" t="str">
        <f t="shared" si="6"/>
        <v/>
      </c>
      <c r="I24" s="16" t="str">
        <f t="shared" si="7"/>
        <v/>
      </c>
      <c r="J24" s="41"/>
      <c r="K24" s="41"/>
    </row>
    <row r="25" spans="1:11" ht="15.75">
      <c r="A25" s="30" t="str">
        <v xml:space="preserve"> Fort Collins - Bank of America</v>
      </c>
      <c r="B25" s="31" t="str">
        <v>CO</v>
      </c>
      <c r="C25" s="11"/>
      <c r="D25" s="18"/>
      <c r="E25" s="18" t="str">
        <f t="shared" si="4"/>
        <v/>
      </c>
      <c r="F25" s="19" t="str">
        <f t="shared" si="5"/>
        <v/>
      </c>
      <c r="G25" s="20"/>
      <c r="H25" s="20" t="str">
        <f t="shared" si="6"/>
        <v/>
      </c>
      <c r="I25" s="19" t="str">
        <f t="shared" si="7"/>
        <v/>
      </c>
      <c r="J25" s="42"/>
      <c r="K25" s="43"/>
    </row>
    <row r="26" spans="1:11" ht="15.75">
      <c r="A26" s="28" t="str">
        <v xml:space="preserve"> Lafayette - Bank of America</v>
      </c>
      <c r="B26" s="29" t="str">
        <v>CO</v>
      </c>
      <c r="C26" s="24"/>
      <c r="D26" s="13"/>
      <c r="E26" s="13" t="str">
        <f t="shared" si="4"/>
        <v/>
      </c>
      <c r="F26" s="14" t="str">
        <f t="shared" si="5"/>
        <v/>
      </c>
      <c r="G26" s="15"/>
      <c r="H26" s="15" t="str">
        <f t="shared" si="6"/>
        <v/>
      </c>
      <c r="I26" s="16" t="str">
        <f t="shared" si="7"/>
        <v/>
      </c>
      <c r="J26" s="41"/>
      <c r="K26" s="41"/>
    </row>
    <row r="27" spans="1:11" ht="15.75">
      <c r="A27" s="30" t="str">
        <v xml:space="preserve"> Lakewood - Bank of America</v>
      </c>
      <c r="B27" s="31" t="str">
        <v>CO</v>
      </c>
      <c r="C27" s="11"/>
      <c r="D27" s="18"/>
      <c r="E27" s="18" t="str">
        <f t="shared" si="4"/>
        <v/>
      </c>
      <c r="F27" s="19" t="str">
        <f t="shared" si="5"/>
        <v/>
      </c>
      <c r="G27" s="20"/>
      <c r="H27" s="20" t="str">
        <f t="shared" si="6"/>
        <v/>
      </c>
      <c r="I27" s="19" t="str">
        <f t="shared" si="7"/>
        <v/>
      </c>
      <c r="J27" s="42"/>
      <c r="K27" s="43"/>
    </row>
    <row r="28" spans="1:11" ht="15.75">
      <c r="A28" s="28" t="str">
        <v xml:space="preserve"> Longmont - Bank of America</v>
      </c>
      <c r="B28" s="29" t="str">
        <v>CO</v>
      </c>
      <c r="C28" s="24"/>
      <c r="D28" s="13"/>
      <c r="E28" s="13" t="str">
        <f t="shared" si="4"/>
        <v/>
      </c>
      <c r="F28" s="14" t="str">
        <f t="shared" si="5"/>
        <v/>
      </c>
      <c r="G28" s="15"/>
      <c r="H28" s="15" t="str">
        <f t="shared" si="6"/>
        <v/>
      </c>
      <c r="I28" s="16" t="str">
        <f t="shared" si="7"/>
        <v/>
      </c>
      <c r="J28" s="41"/>
      <c r="K28" s="41"/>
    </row>
    <row r="29" spans="1:11" ht="15.75">
      <c r="A29" s="30" t="str">
        <v xml:space="preserve"> Thornton - Bank of America</v>
      </c>
      <c r="B29" s="31" t="str">
        <v>CO</v>
      </c>
      <c r="C29" s="11"/>
      <c r="D29" s="18"/>
      <c r="E29" s="18" t="str">
        <f t="shared" si="4"/>
        <v/>
      </c>
      <c r="F29" s="19" t="str">
        <f t="shared" si="5"/>
        <v/>
      </c>
      <c r="G29" s="20"/>
      <c r="H29" s="20" t="str">
        <f t="shared" si="6"/>
        <v/>
      </c>
      <c r="I29" s="19" t="str">
        <f t="shared" si="7"/>
        <v/>
      </c>
      <c r="J29" s="42"/>
      <c r="K29" s="43"/>
    </row>
    <row r="30" spans="1:11" ht="15.75">
      <c r="A30" s="28" t="str">
        <v xml:space="preserve"> Calumet City - Bank of America</v>
      </c>
      <c r="B30" s="29" t="str">
        <v>IL</v>
      </c>
      <c r="C30" s="24"/>
      <c r="D30" s="13"/>
      <c r="E30" s="13" t="str">
        <f t="shared" si="4"/>
        <v/>
      </c>
      <c r="F30" s="14" t="str">
        <f t="shared" si="5"/>
        <v/>
      </c>
      <c r="G30" s="15"/>
      <c r="H30" s="15" t="str">
        <f t="shared" si="6"/>
        <v/>
      </c>
      <c r="I30" s="16" t="str">
        <f t="shared" si="7"/>
        <v/>
      </c>
      <c r="J30" s="41"/>
      <c r="K30" s="41"/>
    </row>
    <row r="31" spans="1:11" ht="15.75">
      <c r="A31" s="30" t="str">
        <v xml:space="preserve"> Downers Grove - Bank of America</v>
      </c>
      <c r="B31" s="31" t="str">
        <v>IL</v>
      </c>
      <c r="C31" s="11"/>
      <c r="D31" s="18"/>
      <c r="E31" s="18" t="str">
        <f t="shared" si="4"/>
        <v/>
      </c>
      <c r="F31" s="19" t="str">
        <f t="shared" si="5"/>
        <v/>
      </c>
      <c r="G31" s="20"/>
      <c r="H31" s="20" t="str">
        <f t="shared" si="6"/>
        <v/>
      </c>
      <c r="I31" s="19" t="str">
        <f t="shared" si="7"/>
        <v/>
      </c>
      <c r="J31" s="42"/>
      <c r="K31" s="43"/>
    </row>
    <row r="32" spans="1:11" ht="15.75">
      <c r="A32" s="28" t="str">
        <v xml:space="preserve"> Bloomington - Bank of America</v>
      </c>
      <c r="B32" s="29" t="str">
        <v>MN</v>
      </c>
      <c r="C32" s="24"/>
      <c r="D32" s="13"/>
      <c r="E32" s="13" t="str">
        <f t="shared" si="4"/>
        <v/>
      </c>
      <c r="F32" s="14" t="str">
        <f t="shared" si="5"/>
        <v/>
      </c>
      <c r="G32" s="15"/>
      <c r="H32" s="15" t="str">
        <f t="shared" si="6"/>
        <v/>
      </c>
      <c r="I32" s="16" t="str">
        <f t="shared" si="7"/>
        <v/>
      </c>
      <c r="J32" s="41"/>
      <c r="K32" s="41"/>
    </row>
    <row r="33" spans="1:11" ht="15.75">
      <c r="A33" s="30" t="str">
        <v xml:space="preserve"> Clayton - Bank of America</v>
      </c>
      <c r="B33" s="31" t="str">
        <v>MO</v>
      </c>
      <c r="C33" s="11"/>
      <c r="D33" s="18"/>
      <c r="E33" s="18" t="str">
        <f t="shared" si="4"/>
        <v/>
      </c>
      <c r="F33" s="19" t="str">
        <f t="shared" si="5"/>
        <v/>
      </c>
      <c r="G33" s="20"/>
      <c r="H33" s="20" t="str">
        <f t="shared" si="6"/>
        <v/>
      </c>
      <c r="I33" s="19" t="str">
        <f t="shared" si="7"/>
        <v/>
      </c>
      <c r="J33" s="42"/>
      <c r="K33" s="43"/>
    </row>
    <row r="34" spans="1:11" ht="15.75">
      <c r="A34" s="28" t="str">
        <v xml:space="preserve"> Manchester - Bank of America</v>
      </c>
      <c r="B34" s="29" t="str">
        <v>MO</v>
      </c>
      <c r="C34" s="24"/>
      <c r="D34" s="13"/>
      <c r="E34" s="13" t="str">
        <f t="shared" si="4"/>
        <v/>
      </c>
      <c r="F34" s="14" t="str">
        <f t="shared" si="5"/>
        <v/>
      </c>
      <c r="G34" s="15"/>
      <c r="H34" s="15" t="str">
        <f t="shared" si="6"/>
        <v/>
      </c>
      <c r="I34" s="16" t="str">
        <f t="shared" si="7"/>
        <v/>
      </c>
      <c r="J34" s="41"/>
      <c r="K34" s="41"/>
    </row>
    <row r="35" spans="1:11" ht="15.75">
      <c r="A35" s="30" t="str">
        <v xml:space="preserve"> Las Vegas - BA - Eastern Ave</v>
      </c>
      <c r="B35" s="31" t="str">
        <v>NV</v>
      </c>
      <c r="C35" s="11"/>
      <c r="D35" s="18"/>
      <c r="E35" s="18" t="str">
        <f t="shared" si="4"/>
        <v/>
      </c>
      <c r="F35" s="19" t="str">
        <f t="shared" si="5"/>
        <v/>
      </c>
      <c r="G35" s="20"/>
      <c r="H35" s="20" t="str">
        <f t="shared" si="6"/>
        <v/>
      </c>
      <c r="I35" s="19" t="str">
        <f t="shared" si="7"/>
        <v/>
      </c>
      <c r="J35" s="42"/>
      <c r="K35" s="43"/>
    </row>
    <row r="36" spans="1:11" ht="15.75">
      <c r="A36" s="28" t="str">
        <v xml:space="preserve"> Las Vegas - BA - Town Ctr Dr</v>
      </c>
      <c r="B36" s="29" t="str">
        <v>NV</v>
      </c>
      <c r="C36" s="24"/>
      <c r="D36" s="13"/>
      <c r="E36" s="13" t="str">
        <f t="shared" si="4"/>
        <v/>
      </c>
      <c r="F36" s="14" t="str">
        <f t="shared" si="5"/>
        <v/>
      </c>
      <c r="G36" s="15"/>
      <c r="H36" s="15" t="str">
        <f t="shared" si="6"/>
        <v/>
      </c>
      <c r="I36" s="16" t="str">
        <f t="shared" si="7"/>
        <v/>
      </c>
      <c r="J36" s="41"/>
      <c r="K36" s="41"/>
    </row>
    <row r="37" spans="1:11" ht="15.75">
      <c r="A37" s="30" t="str">
        <v xml:space="preserve"> Riverton - Bank of America</v>
      </c>
      <c r="B37" s="31" t="str">
        <v>UT</v>
      </c>
      <c r="C37" s="11"/>
      <c r="D37" s="18"/>
      <c r="E37" s="18" t="str">
        <f t="shared" si="4"/>
        <v/>
      </c>
      <c r="F37" s="19" t="str">
        <f t="shared" si="5"/>
        <v/>
      </c>
      <c r="G37" s="20"/>
      <c r="H37" s="20" t="str">
        <f t="shared" si="6"/>
        <v/>
      </c>
      <c r="I37" s="19" t="str">
        <f t="shared" si="7"/>
        <v/>
      </c>
      <c r="J37" s="42"/>
      <c r="K37" s="43"/>
    </row>
    <row r="38" spans="1:11" ht="15.75">
      <c r="A38" s="28" t="str">
        <v xml:space="preserve"> Salt Lake City - Bank of America</v>
      </c>
      <c r="B38" s="29" t="str">
        <v>UT</v>
      </c>
      <c r="C38" s="24"/>
      <c r="D38" s="13"/>
      <c r="E38" s="13" t="str">
        <f t="shared" si="4"/>
        <v/>
      </c>
      <c r="F38" s="14" t="str">
        <f t="shared" si="5"/>
        <v/>
      </c>
      <c r="G38" s="15"/>
      <c r="H38" s="15" t="str">
        <f t="shared" si="6"/>
        <v/>
      </c>
      <c r="I38" s="16" t="str">
        <f t="shared" si="7"/>
        <v/>
      </c>
      <c r="J38" s="41"/>
      <c r="K38" s="41"/>
    </row>
    <row r="39" spans="1:11" ht="1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 F4:F15 I4:I15 I39:I100 F39:F100">
    <cfRule type="cellIs" dxfId="40" priority="3" stopIfTrue="1" operator="lessThanOrEqual">
      <formula>-0.1</formula>
    </cfRule>
    <cfRule type="expression" dxfId="39" priority="4">
      <formula>AND(ISNUMBER(F2), F2&gt;=0.1)</formula>
    </cfRule>
  </conditionalFormatting>
  <conditionalFormatting sqref="F16:F38 I16:I38">
    <cfRule type="cellIs" dxfId="38" priority="1" stopIfTrue="1" operator="lessThanOrEqual">
      <formula>-0.1</formula>
    </cfRule>
    <cfRule type="expression" dxfId="37" priority="2">
      <formula>AND(ISNUMBER(F16), F16&gt;=0.1)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42"/>
  <sheetViews>
    <sheetView workbookViewId="0">
      <pane xSplit="2" ySplit="3" topLeftCell="C4" activePane="bottomRight" state="frozen"/>
      <selection pane="bottomRight" activeCell="A16" sqref="A16:K38"/>
      <selection pane="bottomLeft"/>
      <selection pane="topRight"/>
    </sheetView>
  </sheetViews>
  <sheetFormatPr defaultRowHeight="14.2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7" t="str" cm="1">
        <f t="array" ref="A1">portfolio</f>
        <v>Cushman &amp; Wakefield</v>
      </c>
      <c r="B1" s="57"/>
      <c r="C1" s="57"/>
      <c r="D1" s="58" t="s">
        <v>28</v>
      </c>
      <c r="E1" s="58"/>
      <c r="F1" s="58"/>
      <c r="G1" s="56" t="s">
        <v>29</v>
      </c>
      <c r="H1" s="56"/>
      <c r="I1" s="56"/>
      <c r="J1" s="4"/>
      <c r="K1" s="4"/>
    </row>
    <row r="2" spans="1:11" ht="19.5" customHeight="1">
      <c r="A2" s="59" t="s">
        <v>2</v>
      </c>
      <c r="B2" s="59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  <c r="J2" s="26" t="str">
        <f ca="1">IF(AND(TODAY()&gt;DATE(2024, 5,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38">Sites[Site]</f>
        <v xml:space="preserve"> Adelanto - Bank of America</v>
      </c>
      <c r="B4" s="29" t="str" cm="1">
        <f t="array" ref="B4:B38">Sites[State]</f>
        <v>CA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75">
      <c r="A5" s="30" t="str">
        <v xml:space="preserve"> Apple Valley - Bank of America</v>
      </c>
      <c r="B5" s="31" t="str">
        <v>CA</v>
      </c>
      <c r="C5" s="11"/>
      <c r="D5" s="18"/>
      <c r="E5" s="18" t="str">
        <f t="shared" ref="E5:E17" si="0">IF(AND(ISNUMBER(C5),ISNUMBER(D5)), C5-D5, "")</f>
        <v/>
      </c>
      <c r="F5" s="19" t="str">
        <f>IFERROR(E5/D5, "")</f>
        <v/>
      </c>
      <c r="G5" s="20"/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/>
      <c r="K5" s="42"/>
    </row>
    <row r="6" spans="1:11" ht="15.75">
      <c r="A6" s="28" t="str">
        <v xml:space="preserve"> Arvin - Bank of America</v>
      </c>
      <c r="B6" s="29" t="str">
        <v>CA</v>
      </c>
      <c r="C6" s="24"/>
      <c r="D6" s="13"/>
      <c r="E6" s="13" t="str">
        <f t="shared" si="0"/>
        <v/>
      </c>
      <c r="F6" s="14" t="str">
        <f t="shared" ref="F6:F17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5.75">
      <c r="A7" s="30" t="str">
        <v xml:space="preserve"> Bell - Bank of America</v>
      </c>
      <c r="B7" s="31" t="str">
        <v>CA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42"/>
      <c r="K7" s="43"/>
    </row>
    <row r="8" spans="1:11" ht="15.75">
      <c r="A8" s="28" t="str">
        <v xml:space="preserve"> Chula Vista - Bank of America</v>
      </c>
      <c r="B8" s="29" t="str">
        <v>CA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1"/>
      <c r="K8" s="41"/>
    </row>
    <row r="9" spans="1:11" ht="15.75">
      <c r="A9" s="30" t="str">
        <v xml:space="preserve"> Cupertino - Bank of America</v>
      </c>
      <c r="B9" s="31" t="str">
        <v>CA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42"/>
      <c r="K9" s="43"/>
    </row>
    <row r="10" spans="1:11" ht="15.75">
      <c r="A10" s="28" t="str">
        <v xml:space="preserve"> Diamond Bar - Bank of America</v>
      </c>
      <c r="B10" s="29" t="str">
        <v>CA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1"/>
      <c r="K10" s="41"/>
    </row>
    <row r="11" spans="1:11" ht="15.75">
      <c r="A11" s="30" t="str">
        <v xml:space="preserve"> El Centro - Bank of America</v>
      </c>
      <c r="B11" s="31" t="str">
        <v>CA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42"/>
      <c r="K11" s="43"/>
    </row>
    <row r="12" spans="1:11" ht="15.75">
      <c r="A12" s="28" t="str">
        <v xml:space="preserve"> Moreno Valley - Bank of America</v>
      </c>
      <c r="B12" s="29" t="str">
        <v>CA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1"/>
      <c r="K12" s="41"/>
    </row>
    <row r="13" spans="1:11" ht="15.75">
      <c r="A13" s="30" t="str">
        <v xml:space="preserve"> Redlands - Bank of America</v>
      </c>
      <c r="B13" s="31" t="str">
        <v>CA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42"/>
      <c r="K13" s="43"/>
    </row>
    <row r="14" spans="1:11" ht="15.75">
      <c r="A14" s="28" t="str">
        <v xml:space="preserve"> Roseville - Bank of America</v>
      </c>
      <c r="B14" s="29" t="str">
        <v>CA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1"/>
      <c r="K14" s="41"/>
    </row>
    <row r="15" spans="1:11" ht="15.75">
      <c r="A15" s="30" t="str">
        <v xml:space="preserve"> San Bernardino - Bank of America</v>
      </c>
      <c r="B15" s="31" t="str">
        <v>CA</v>
      </c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42"/>
      <c r="K15" s="43"/>
    </row>
    <row r="16" spans="1:11" ht="15.75">
      <c r="A16" s="28" t="str">
        <v xml:space="preserve"> San Diego - Bank of America</v>
      </c>
      <c r="B16" s="29" t="str">
        <v>CA</v>
      </c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41"/>
      <c r="K16" s="41"/>
    </row>
    <row r="17" spans="1:11" ht="15.75">
      <c r="A17" s="30" t="str">
        <v xml:space="preserve"> Stockton - Bank of America</v>
      </c>
      <c r="B17" s="31" t="str">
        <v>CA</v>
      </c>
      <c r="C17" s="11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J17" s="42"/>
      <c r="K17" s="43"/>
    </row>
    <row r="18" spans="1:11" ht="12.75" customHeight="1">
      <c r="A18" s="28" t="str">
        <v xml:space="preserve"> Victorville - Bank of America</v>
      </c>
      <c r="B18" s="29" t="str">
        <v>CA</v>
      </c>
      <c r="C18" s="24"/>
      <c r="D18" s="13"/>
      <c r="E18" s="13" t="str">
        <f t="shared" ref="E18:E38" si="4">IF(AND(ISNUMBER(C18),ISNUMBER(D18)), C18-D18, "")</f>
        <v/>
      </c>
      <c r="F18" s="14" t="str">
        <f t="shared" ref="F18:F38" si="5">IFERROR(E18/D18, "")</f>
        <v/>
      </c>
      <c r="G18" s="15"/>
      <c r="H18" s="15" t="str">
        <f t="shared" ref="H18:H38" si="6">IF(AND(ISNUMBER(C18),ISNUMBER(G18)), C18-G18, "")</f>
        <v/>
      </c>
      <c r="I18" s="16" t="str">
        <f t="shared" ref="I18:I38" si="7">IFERROR(H18/G18, "")</f>
        <v/>
      </c>
      <c r="J18" s="41"/>
      <c r="K18" s="41"/>
    </row>
    <row r="19" spans="1:11" ht="15.75">
      <c r="A19" s="30" t="str">
        <v xml:space="preserve"> Aurora - BA - Colfax Ave</v>
      </c>
      <c r="B19" s="31" t="str">
        <v>CO</v>
      </c>
      <c r="C19" s="11"/>
      <c r="D19" s="18"/>
      <c r="E19" s="18" t="str">
        <f t="shared" si="4"/>
        <v/>
      </c>
      <c r="F19" s="19" t="str">
        <f t="shared" si="5"/>
        <v/>
      </c>
      <c r="G19" s="20"/>
      <c r="H19" s="20" t="str">
        <f t="shared" si="6"/>
        <v/>
      </c>
      <c r="I19" s="19" t="str">
        <f t="shared" si="7"/>
        <v/>
      </c>
      <c r="J19" s="42"/>
      <c r="K19" s="43"/>
    </row>
    <row r="20" spans="1:11" ht="15.75">
      <c r="A20" s="28" t="str">
        <v xml:space="preserve"> Aurora - BA - Parker Rd</v>
      </c>
      <c r="B20" s="29" t="str">
        <v>CO</v>
      </c>
      <c r="C20" s="24"/>
      <c r="D20" s="13"/>
      <c r="E20" s="13" t="str">
        <f t="shared" si="4"/>
        <v/>
      </c>
      <c r="F20" s="14" t="str">
        <f t="shared" si="5"/>
        <v/>
      </c>
      <c r="G20" s="15"/>
      <c r="H20" s="15" t="str">
        <f t="shared" si="6"/>
        <v/>
      </c>
      <c r="I20" s="16" t="str">
        <f t="shared" si="7"/>
        <v/>
      </c>
      <c r="J20" s="41"/>
      <c r="K20" s="41"/>
    </row>
    <row r="21" spans="1:11" ht="15.75">
      <c r="A21" s="30" t="str">
        <v xml:space="preserve"> Broomfield - Bank of America</v>
      </c>
      <c r="B21" s="31" t="str">
        <v>CO</v>
      </c>
      <c r="C21" s="11"/>
      <c r="D21" s="18"/>
      <c r="E21" s="18" t="str">
        <f t="shared" si="4"/>
        <v/>
      </c>
      <c r="F21" s="19" t="str">
        <f t="shared" si="5"/>
        <v/>
      </c>
      <c r="G21" s="20"/>
      <c r="H21" s="20" t="str">
        <f t="shared" si="6"/>
        <v/>
      </c>
      <c r="I21" s="19" t="str">
        <f t="shared" si="7"/>
        <v/>
      </c>
      <c r="J21" s="42"/>
      <c r="K21" s="43"/>
    </row>
    <row r="22" spans="1:11" ht="15.75">
      <c r="A22" s="28" t="str">
        <v xml:space="preserve"> Colorado Springs - Bank of America</v>
      </c>
      <c r="B22" s="29" t="str">
        <v>CO</v>
      </c>
      <c r="C22" s="24"/>
      <c r="D22" s="13"/>
      <c r="E22" s="13" t="str">
        <f t="shared" si="4"/>
        <v/>
      </c>
      <c r="F22" s="14" t="str">
        <f t="shared" si="5"/>
        <v/>
      </c>
      <c r="G22" s="15"/>
      <c r="H22" s="15" t="str">
        <f t="shared" si="6"/>
        <v/>
      </c>
      <c r="I22" s="16" t="str">
        <f t="shared" si="7"/>
        <v/>
      </c>
      <c r="J22" s="41"/>
      <c r="K22" s="41"/>
    </row>
    <row r="23" spans="1:11" ht="15.75">
      <c r="A23" s="30" t="str">
        <v xml:space="preserve"> Denver - BA - 49th Ave</v>
      </c>
      <c r="B23" s="31" t="str">
        <v>CO</v>
      </c>
      <c r="C23" s="11"/>
      <c r="D23" s="18"/>
      <c r="E23" s="18" t="str">
        <f t="shared" si="4"/>
        <v/>
      </c>
      <c r="F23" s="19" t="str">
        <f t="shared" si="5"/>
        <v/>
      </c>
      <c r="G23" s="20"/>
      <c r="H23" s="20" t="str">
        <f t="shared" si="6"/>
        <v/>
      </c>
      <c r="I23" s="19" t="str">
        <f t="shared" si="7"/>
        <v/>
      </c>
      <c r="J23" s="42"/>
      <c r="K23" s="43"/>
    </row>
    <row r="24" spans="1:11" ht="15.75">
      <c r="A24" s="28" t="str">
        <v xml:space="preserve"> Denver - BA Wadsworth Blvd</v>
      </c>
      <c r="B24" s="29" t="str">
        <v>CO</v>
      </c>
      <c r="C24" s="24"/>
      <c r="D24" s="13"/>
      <c r="E24" s="13" t="str">
        <f t="shared" si="4"/>
        <v/>
      </c>
      <c r="F24" s="14" t="str">
        <f t="shared" si="5"/>
        <v/>
      </c>
      <c r="G24" s="15"/>
      <c r="H24" s="15" t="str">
        <f t="shared" si="6"/>
        <v/>
      </c>
      <c r="I24" s="16" t="str">
        <f t="shared" si="7"/>
        <v/>
      </c>
      <c r="J24" s="41"/>
      <c r="K24" s="41"/>
    </row>
    <row r="25" spans="1:11" ht="15.75">
      <c r="A25" s="30" t="str">
        <v xml:space="preserve"> Fort Collins - Bank of America</v>
      </c>
      <c r="B25" s="31" t="str">
        <v>CO</v>
      </c>
      <c r="C25" s="11"/>
      <c r="D25" s="18"/>
      <c r="E25" s="18" t="str">
        <f t="shared" si="4"/>
        <v/>
      </c>
      <c r="F25" s="19" t="str">
        <f t="shared" si="5"/>
        <v/>
      </c>
      <c r="G25" s="20"/>
      <c r="H25" s="20" t="str">
        <f t="shared" si="6"/>
        <v/>
      </c>
      <c r="I25" s="19" t="str">
        <f t="shared" si="7"/>
        <v/>
      </c>
      <c r="J25" s="42"/>
      <c r="K25" s="43"/>
    </row>
    <row r="26" spans="1:11" ht="15.75">
      <c r="A26" s="28" t="str">
        <v xml:space="preserve"> Lafayette - Bank of America</v>
      </c>
      <c r="B26" s="29" t="str">
        <v>CO</v>
      </c>
      <c r="C26" s="24"/>
      <c r="D26" s="13"/>
      <c r="E26" s="13" t="str">
        <f t="shared" si="4"/>
        <v/>
      </c>
      <c r="F26" s="14" t="str">
        <f t="shared" si="5"/>
        <v/>
      </c>
      <c r="G26" s="15"/>
      <c r="H26" s="15" t="str">
        <f t="shared" si="6"/>
        <v/>
      </c>
      <c r="I26" s="16" t="str">
        <f t="shared" si="7"/>
        <v/>
      </c>
      <c r="J26" s="41"/>
      <c r="K26" s="41"/>
    </row>
    <row r="27" spans="1:11" ht="15.75">
      <c r="A27" s="30" t="str">
        <v xml:space="preserve"> Lakewood - Bank of America</v>
      </c>
      <c r="B27" s="31" t="str">
        <v>CO</v>
      </c>
      <c r="C27" s="11"/>
      <c r="D27" s="18"/>
      <c r="E27" s="18" t="str">
        <f t="shared" si="4"/>
        <v/>
      </c>
      <c r="F27" s="19" t="str">
        <f t="shared" si="5"/>
        <v/>
      </c>
      <c r="G27" s="20"/>
      <c r="H27" s="20" t="str">
        <f t="shared" si="6"/>
        <v/>
      </c>
      <c r="I27" s="19" t="str">
        <f t="shared" si="7"/>
        <v/>
      </c>
      <c r="J27" s="42"/>
      <c r="K27" s="43"/>
    </row>
    <row r="28" spans="1:11" ht="15.75">
      <c r="A28" s="28" t="str">
        <v xml:space="preserve"> Longmont - Bank of America</v>
      </c>
      <c r="B28" s="29" t="str">
        <v>CO</v>
      </c>
      <c r="C28" s="24"/>
      <c r="D28" s="13"/>
      <c r="E28" s="13" t="str">
        <f t="shared" si="4"/>
        <v/>
      </c>
      <c r="F28" s="14" t="str">
        <f t="shared" si="5"/>
        <v/>
      </c>
      <c r="G28" s="15"/>
      <c r="H28" s="15" t="str">
        <f t="shared" si="6"/>
        <v/>
      </c>
      <c r="I28" s="16" t="str">
        <f t="shared" si="7"/>
        <v/>
      </c>
      <c r="J28" s="41"/>
      <c r="K28" s="41"/>
    </row>
    <row r="29" spans="1:11" ht="15.75">
      <c r="A29" s="30" t="str">
        <v xml:space="preserve"> Thornton - Bank of America</v>
      </c>
      <c r="B29" s="31" t="str">
        <v>CO</v>
      </c>
      <c r="C29" s="11"/>
      <c r="D29" s="18"/>
      <c r="E29" s="18" t="str">
        <f t="shared" si="4"/>
        <v/>
      </c>
      <c r="F29" s="19" t="str">
        <f t="shared" si="5"/>
        <v/>
      </c>
      <c r="G29" s="20"/>
      <c r="H29" s="20" t="str">
        <f t="shared" si="6"/>
        <v/>
      </c>
      <c r="I29" s="19" t="str">
        <f t="shared" si="7"/>
        <v/>
      </c>
      <c r="J29" s="42"/>
      <c r="K29" s="43"/>
    </row>
    <row r="30" spans="1:11" ht="15.75">
      <c r="A30" s="28" t="str">
        <v xml:space="preserve"> Calumet City - Bank of America</v>
      </c>
      <c r="B30" s="29" t="str">
        <v>IL</v>
      </c>
      <c r="C30" s="24"/>
      <c r="D30" s="13"/>
      <c r="E30" s="13" t="str">
        <f t="shared" si="4"/>
        <v/>
      </c>
      <c r="F30" s="14" t="str">
        <f t="shared" si="5"/>
        <v/>
      </c>
      <c r="G30" s="15"/>
      <c r="H30" s="15" t="str">
        <f t="shared" si="6"/>
        <v/>
      </c>
      <c r="I30" s="16" t="str">
        <f t="shared" si="7"/>
        <v/>
      </c>
      <c r="J30" s="41"/>
      <c r="K30" s="41"/>
    </row>
    <row r="31" spans="1:11" ht="15.75">
      <c r="A31" s="30" t="str">
        <v xml:space="preserve"> Downers Grove - Bank of America</v>
      </c>
      <c r="B31" s="31" t="str">
        <v>IL</v>
      </c>
      <c r="C31" s="11"/>
      <c r="D31" s="18"/>
      <c r="E31" s="18" t="str">
        <f t="shared" si="4"/>
        <v/>
      </c>
      <c r="F31" s="19" t="str">
        <f t="shared" si="5"/>
        <v/>
      </c>
      <c r="G31" s="20"/>
      <c r="H31" s="20" t="str">
        <f t="shared" si="6"/>
        <v/>
      </c>
      <c r="I31" s="19" t="str">
        <f t="shared" si="7"/>
        <v/>
      </c>
      <c r="J31" s="42"/>
      <c r="K31" s="43"/>
    </row>
    <row r="32" spans="1:11" ht="15.75">
      <c r="A32" s="28" t="str">
        <v xml:space="preserve"> Bloomington - Bank of America</v>
      </c>
      <c r="B32" s="29" t="str">
        <v>MN</v>
      </c>
      <c r="C32" s="24"/>
      <c r="D32" s="13"/>
      <c r="E32" s="13" t="str">
        <f t="shared" si="4"/>
        <v/>
      </c>
      <c r="F32" s="14" t="str">
        <f t="shared" si="5"/>
        <v/>
      </c>
      <c r="G32" s="15"/>
      <c r="H32" s="15" t="str">
        <f t="shared" si="6"/>
        <v/>
      </c>
      <c r="I32" s="16" t="str">
        <f t="shared" si="7"/>
        <v/>
      </c>
      <c r="J32" s="41"/>
      <c r="K32" s="41"/>
    </row>
    <row r="33" spans="1:11" ht="15.75">
      <c r="A33" s="30" t="str">
        <v xml:space="preserve"> Clayton - Bank of America</v>
      </c>
      <c r="B33" s="31" t="str">
        <v>MO</v>
      </c>
      <c r="C33" s="11"/>
      <c r="D33" s="18"/>
      <c r="E33" s="18" t="str">
        <f t="shared" si="4"/>
        <v/>
      </c>
      <c r="F33" s="19" t="str">
        <f t="shared" si="5"/>
        <v/>
      </c>
      <c r="G33" s="20"/>
      <c r="H33" s="20" t="str">
        <f t="shared" si="6"/>
        <v/>
      </c>
      <c r="I33" s="19" t="str">
        <f t="shared" si="7"/>
        <v/>
      </c>
      <c r="J33" s="42"/>
      <c r="K33" s="43"/>
    </row>
    <row r="34" spans="1:11" ht="15.75">
      <c r="A34" s="28" t="str">
        <v xml:space="preserve"> Manchester - Bank of America</v>
      </c>
      <c r="B34" s="29" t="str">
        <v>MO</v>
      </c>
      <c r="C34" s="24"/>
      <c r="D34" s="13"/>
      <c r="E34" s="13" t="str">
        <f t="shared" si="4"/>
        <v/>
      </c>
      <c r="F34" s="14" t="str">
        <f t="shared" si="5"/>
        <v/>
      </c>
      <c r="G34" s="15"/>
      <c r="H34" s="15" t="str">
        <f t="shared" si="6"/>
        <v/>
      </c>
      <c r="I34" s="16" t="str">
        <f t="shared" si="7"/>
        <v/>
      </c>
      <c r="J34" s="41"/>
      <c r="K34" s="41"/>
    </row>
    <row r="35" spans="1:11" ht="15.75">
      <c r="A35" s="30" t="str">
        <v xml:space="preserve"> Las Vegas - BA - Eastern Ave</v>
      </c>
      <c r="B35" s="31" t="str">
        <v>NV</v>
      </c>
      <c r="C35" s="11"/>
      <c r="D35" s="18"/>
      <c r="E35" s="18" t="str">
        <f t="shared" si="4"/>
        <v/>
      </c>
      <c r="F35" s="19" t="str">
        <f t="shared" si="5"/>
        <v/>
      </c>
      <c r="G35" s="20"/>
      <c r="H35" s="20" t="str">
        <f t="shared" si="6"/>
        <v/>
      </c>
      <c r="I35" s="19" t="str">
        <f t="shared" si="7"/>
        <v/>
      </c>
      <c r="J35" s="42"/>
      <c r="K35" s="43"/>
    </row>
    <row r="36" spans="1:11" ht="15.75">
      <c r="A36" s="28" t="str">
        <v xml:space="preserve"> Las Vegas - BA - Town Ctr Dr</v>
      </c>
      <c r="B36" s="29" t="str">
        <v>NV</v>
      </c>
      <c r="C36" s="24"/>
      <c r="D36" s="13"/>
      <c r="E36" s="13" t="str">
        <f t="shared" si="4"/>
        <v/>
      </c>
      <c r="F36" s="14" t="str">
        <f t="shared" si="5"/>
        <v/>
      </c>
      <c r="G36" s="15"/>
      <c r="H36" s="15" t="str">
        <f t="shared" si="6"/>
        <v/>
      </c>
      <c r="I36" s="16" t="str">
        <f t="shared" si="7"/>
        <v/>
      </c>
      <c r="J36" s="41"/>
      <c r="K36" s="41"/>
    </row>
    <row r="37" spans="1:11" ht="15.75">
      <c r="A37" s="30" t="str">
        <v xml:space="preserve"> Riverton - Bank of America</v>
      </c>
      <c r="B37" s="31" t="str">
        <v>UT</v>
      </c>
      <c r="C37" s="11"/>
      <c r="D37" s="18"/>
      <c r="E37" s="18" t="str">
        <f t="shared" si="4"/>
        <v/>
      </c>
      <c r="F37" s="19" t="str">
        <f t="shared" si="5"/>
        <v/>
      </c>
      <c r="G37" s="20"/>
      <c r="H37" s="20" t="str">
        <f t="shared" si="6"/>
        <v/>
      </c>
      <c r="I37" s="19" t="str">
        <f t="shared" si="7"/>
        <v/>
      </c>
      <c r="J37" s="42"/>
      <c r="K37" s="43"/>
    </row>
    <row r="38" spans="1:11" ht="15.75">
      <c r="A38" s="28" t="str">
        <v xml:space="preserve"> Salt Lake City - Bank of America</v>
      </c>
      <c r="B38" s="29" t="str">
        <v>UT</v>
      </c>
      <c r="C38" s="24"/>
      <c r="D38" s="13"/>
      <c r="E38" s="13" t="str">
        <f t="shared" si="4"/>
        <v/>
      </c>
      <c r="F38" s="14" t="str">
        <f t="shared" si="5"/>
        <v/>
      </c>
      <c r="G38" s="15"/>
      <c r="H38" s="15" t="str">
        <f t="shared" si="6"/>
        <v/>
      </c>
      <c r="I38" s="16" t="str">
        <f t="shared" si="7"/>
        <v/>
      </c>
      <c r="J38" s="41"/>
      <c r="K38" s="41"/>
    </row>
    <row r="39" spans="1:11" ht="1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 F4:F15 I4:I15 I39:I100 F39:F100">
    <cfRule type="cellIs" dxfId="36" priority="3" stopIfTrue="1" operator="lessThanOrEqual">
      <formula>-0.1</formula>
    </cfRule>
    <cfRule type="expression" dxfId="35" priority="4">
      <formula>AND(ISNUMBER(F2), F2&gt;=0.1)</formula>
    </cfRule>
  </conditionalFormatting>
  <conditionalFormatting sqref="F16:F38 I16:I38">
    <cfRule type="cellIs" dxfId="34" priority="1" stopIfTrue="1" operator="lessThanOrEqual">
      <formula>-0.1</formula>
    </cfRule>
    <cfRule type="expression" dxfId="33" priority="2">
      <formula>AND(ISNUMBER(F16), F16&gt;=0.1)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42"/>
  <sheetViews>
    <sheetView workbookViewId="0">
      <pane xSplit="2" ySplit="3" topLeftCell="C4" activePane="bottomRight" state="frozen"/>
      <selection pane="bottomRight" activeCell="A16" sqref="A16:K38"/>
      <selection pane="bottomLeft"/>
      <selection pane="topRight"/>
    </sheetView>
  </sheetViews>
  <sheetFormatPr defaultRowHeight="14.2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7" t="str" cm="1">
        <f t="array" ref="A1">portfolio</f>
        <v>Cushman &amp; Wakefield</v>
      </c>
      <c r="B1" s="57"/>
      <c r="C1" s="57"/>
      <c r="D1" s="58" t="s">
        <v>30</v>
      </c>
      <c r="E1" s="58"/>
      <c r="F1" s="58"/>
      <c r="G1" s="56" t="s">
        <v>31</v>
      </c>
      <c r="H1" s="56"/>
      <c r="I1" s="56"/>
      <c r="J1" s="4"/>
      <c r="K1" s="4"/>
    </row>
    <row r="2" spans="1:11" ht="19.5" customHeight="1">
      <c r="A2" s="59" t="s">
        <v>2</v>
      </c>
      <c r="B2" s="59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  <c r="J2" s="26" t="str">
        <f ca="1">IF(AND(TODAY()&gt;DATE(2024, 6,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38">Sites[Site]</f>
        <v xml:space="preserve"> Adelanto - Bank of America</v>
      </c>
      <c r="B4" s="29" t="str" cm="1">
        <f t="array" ref="B4:B38">Sites[State]</f>
        <v>CA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75">
      <c r="A5" s="30" t="str">
        <v xml:space="preserve"> Apple Valley - Bank of America</v>
      </c>
      <c r="B5" s="31" t="str">
        <v>CA</v>
      </c>
      <c r="C5" s="11"/>
      <c r="D5" s="18"/>
      <c r="E5" s="18" t="str">
        <f t="shared" ref="E5:E17" si="0">IF(AND(ISNUMBER(C5),ISNUMBER(D5)), C5-D5, "")</f>
        <v/>
      </c>
      <c r="F5" s="19" t="str">
        <f>IFERROR(E5/D5, "")</f>
        <v/>
      </c>
      <c r="G5" s="20"/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/>
      <c r="K5" s="42"/>
    </row>
    <row r="6" spans="1:11" ht="15.75">
      <c r="A6" s="28" t="str">
        <v xml:space="preserve"> Arvin - Bank of America</v>
      </c>
      <c r="B6" s="29" t="str">
        <v>CA</v>
      </c>
      <c r="C6" s="24"/>
      <c r="D6" s="13"/>
      <c r="E6" s="13" t="str">
        <f t="shared" si="0"/>
        <v/>
      </c>
      <c r="F6" s="14" t="str">
        <f t="shared" ref="F6:F17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5.75">
      <c r="A7" s="30" t="str">
        <v xml:space="preserve"> Bell - Bank of America</v>
      </c>
      <c r="B7" s="31" t="str">
        <v>CA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42"/>
      <c r="K7" s="43"/>
    </row>
    <row r="8" spans="1:11" ht="15.75">
      <c r="A8" s="28" t="str">
        <v xml:space="preserve"> Chula Vista - Bank of America</v>
      </c>
      <c r="B8" s="29" t="str">
        <v>CA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1"/>
      <c r="K8" s="41"/>
    </row>
    <row r="9" spans="1:11" ht="15.75">
      <c r="A9" s="30" t="str">
        <v xml:space="preserve"> Cupertino - Bank of America</v>
      </c>
      <c r="B9" s="31" t="str">
        <v>CA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42"/>
      <c r="K9" s="43"/>
    </row>
    <row r="10" spans="1:11" ht="15.75">
      <c r="A10" s="28" t="str">
        <v xml:space="preserve"> Diamond Bar - Bank of America</v>
      </c>
      <c r="B10" s="29" t="str">
        <v>CA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1"/>
      <c r="K10" s="41"/>
    </row>
    <row r="11" spans="1:11" ht="15.75">
      <c r="A11" s="30" t="str">
        <v xml:space="preserve"> El Centro - Bank of America</v>
      </c>
      <c r="B11" s="31" t="str">
        <v>CA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42"/>
      <c r="K11" s="43"/>
    </row>
    <row r="12" spans="1:11" ht="15.75">
      <c r="A12" s="28" t="str">
        <v xml:space="preserve"> Moreno Valley - Bank of America</v>
      </c>
      <c r="B12" s="29" t="str">
        <v>CA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1"/>
      <c r="K12" s="41"/>
    </row>
    <row r="13" spans="1:11" ht="15.75">
      <c r="A13" s="30" t="str">
        <v xml:space="preserve"> Redlands - Bank of America</v>
      </c>
      <c r="B13" s="31" t="str">
        <v>CA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42"/>
      <c r="K13" s="43"/>
    </row>
    <row r="14" spans="1:11" ht="15.75">
      <c r="A14" s="28" t="str">
        <v xml:space="preserve"> Roseville - Bank of America</v>
      </c>
      <c r="B14" s="29" t="str">
        <v>CA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1"/>
      <c r="K14" s="41"/>
    </row>
    <row r="15" spans="1:11" ht="15.75">
      <c r="A15" s="30" t="str">
        <v xml:space="preserve"> San Bernardino - Bank of America</v>
      </c>
      <c r="B15" s="31" t="str">
        <v>CA</v>
      </c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42"/>
      <c r="K15" s="43"/>
    </row>
    <row r="16" spans="1:11" ht="15.75">
      <c r="A16" s="28" t="str">
        <v xml:space="preserve"> San Diego - Bank of America</v>
      </c>
      <c r="B16" s="29" t="str">
        <v>CA</v>
      </c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41"/>
      <c r="K16" s="41"/>
    </row>
    <row r="17" spans="1:11" ht="15.75">
      <c r="A17" s="30" t="str">
        <v xml:space="preserve"> Stockton - Bank of America</v>
      </c>
      <c r="B17" s="31" t="str">
        <v>CA</v>
      </c>
      <c r="C17" s="11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J17" s="42"/>
      <c r="K17" s="43"/>
    </row>
    <row r="18" spans="1:11" ht="12.75" customHeight="1">
      <c r="A18" s="28" t="str">
        <v xml:space="preserve"> Victorville - Bank of America</v>
      </c>
      <c r="B18" s="29" t="str">
        <v>CA</v>
      </c>
      <c r="C18" s="24"/>
      <c r="D18" s="13"/>
      <c r="E18" s="13" t="str">
        <f t="shared" ref="E18:E38" si="4">IF(AND(ISNUMBER(C18),ISNUMBER(D18)), C18-D18, "")</f>
        <v/>
      </c>
      <c r="F18" s="14" t="str">
        <f t="shared" ref="F18:F38" si="5">IFERROR(E18/D18, "")</f>
        <v/>
      </c>
      <c r="G18" s="15"/>
      <c r="H18" s="15" t="str">
        <f t="shared" ref="H18:H38" si="6">IF(AND(ISNUMBER(C18),ISNUMBER(G18)), C18-G18, "")</f>
        <v/>
      </c>
      <c r="I18" s="16" t="str">
        <f t="shared" ref="I18:I38" si="7">IFERROR(H18/G18, "")</f>
        <v/>
      </c>
      <c r="J18" s="41"/>
      <c r="K18" s="41"/>
    </row>
    <row r="19" spans="1:11" ht="15.75">
      <c r="A19" s="30" t="str">
        <v xml:space="preserve"> Aurora - BA - Colfax Ave</v>
      </c>
      <c r="B19" s="31" t="str">
        <v>CO</v>
      </c>
      <c r="C19" s="11"/>
      <c r="D19" s="18"/>
      <c r="E19" s="18" t="str">
        <f t="shared" si="4"/>
        <v/>
      </c>
      <c r="F19" s="19" t="str">
        <f t="shared" si="5"/>
        <v/>
      </c>
      <c r="G19" s="20"/>
      <c r="H19" s="20" t="str">
        <f t="shared" si="6"/>
        <v/>
      </c>
      <c r="I19" s="19" t="str">
        <f t="shared" si="7"/>
        <v/>
      </c>
      <c r="J19" s="42"/>
      <c r="K19" s="43"/>
    </row>
    <row r="20" spans="1:11" ht="15.75">
      <c r="A20" s="28" t="str">
        <v xml:space="preserve"> Aurora - BA - Parker Rd</v>
      </c>
      <c r="B20" s="29" t="str">
        <v>CO</v>
      </c>
      <c r="C20" s="24"/>
      <c r="D20" s="13"/>
      <c r="E20" s="13" t="str">
        <f t="shared" si="4"/>
        <v/>
      </c>
      <c r="F20" s="14" t="str">
        <f t="shared" si="5"/>
        <v/>
      </c>
      <c r="G20" s="15"/>
      <c r="H20" s="15" t="str">
        <f t="shared" si="6"/>
        <v/>
      </c>
      <c r="I20" s="16" t="str">
        <f t="shared" si="7"/>
        <v/>
      </c>
      <c r="J20" s="41"/>
      <c r="K20" s="41"/>
    </row>
    <row r="21" spans="1:11" ht="15.75">
      <c r="A21" s="30" t="str">
        <v xml:space="preserve"> Broomfield - Bank of America</v>
      </c>
      <c r="B21" s="31" t="str">
        <v>CO</v>
      </c>
      <c r="C21" s="11"/>
      <c r="D21" s="18"/>
      <c r="E21" s="18" t="str">
        <f t="shared" si="4"/>
        <v/>
      </c>
      <c r="F21" s="19" t="str">
        <f t="shared" si="5"/>
        <v/>
      </c>
      <c r="G21" s="20"/>
      <c r="H21" s="20" t="str">
        <f t="shared" si="6"/>
        <v/>
      </c>
      <c r="I21" s="19" t="str">
        <f t="shared" si="7"/>
        <v/>
      </c>
      <c r="J21" s="42"/>
      <c r="K21" s="43"/>
    </row>
    <row r="22" spans="1:11" ht="15.75">
      <c r="A22" s="28" t="str">
        <v xml:space="preserve"> Colorado Springs - Bank of America</v>
      </c>
      <c r="B22" s="29" t="str">
        <v>CO</v>
      </c>
      <c r="C22" s="24"/>
      <c r="D22" s="13"/>
      <c r="E22" s="13" t="str">
        <f t="shared" si="4"/>
        <v/>
      </c>
      <c r="F22" s="14" t="str">
        <f t="shared" si="5"/>
        <v/>
      </c>
      <c r="G22" s="15"/>
      <c r="H22" s="15" t="str">
        <f t="shared" si="6"/>
        <v/>
      </c>
      <c r="I22" s="16" t="str">
        <f t="shared" si="7"/>
        <v/>
      </c>
      <c r="J22" s="41"/>
      <c r="K22" s="41"/>
    </row>
    <row r="23" spans="1:11" ht="15.75">
      <c r="A23" s="30" t="str">
        <v xml:space="preserve"> Denver - BA - 49th Ave</v>
      </c>
      <c r="B23" s="31" t="str">
        <v>CO</v>
      </c>
      <c r="C23" s="11"/>
      <c r="D23" s="18"/>
      <c r="E23" s="18" t="str">
        <f t="shared" si="4"/>
        <v/>
      </c>
      <c r="F23" s="19" t="str">
        <f t="shared" si="5"/>
        <v/>
      </c>
      <c r="G23" s="20"/>
      <c r="H23" s="20" t="str">
        <f t="shared" si="6"/>
        <v/>
      </c>
      <c r="I23" s="19" t="str">
        <f t="shared" si="7"/>
        <v/>
      </c>
      <c r="J23" s="42"/>
      <c r="K23" s="43"/>
    </row>
    <row r="24" spans="1:11" ht="15.75">
      <c r="A24" s="28" t="str">
        <v xml:space="preserve"> Denver - BA Wadsworth Blvd</v>
      </c>
      <c r="B24" s="29" t="str">
        <v>CO</v>
      </c>
      <c r="C24" s="24"/>
      <c r="D24" s="13"/>
      <c r="E24" s="13" t="str">
        <f t="shared" si="4"/>
        <v/>
      </c>
      <c r="F24" s="14" t="str">
        <f t="shared" si="5"/>
        <v/>
      </c>
      <c r="G24" s="15"/>
      <c r="H24" s="15" t="str">
        <f t="shared" si="6"/>
        <v/>
      </c>
      <c r="I24" s="16" t="str">
        <f t="shared" si="7"/>
        <v/>
      </c>
      <c r="J24" s="41"/>
      <c r="K24" s="41"/>
    </row>
    <row r="25" spans="1:11" ht="15.75">
      <c r="A25" s="30" t="str">
        <v xml:space="preserve"> Fort Collins - Bank of America</v>
      </c>
      <c r="B25" s="31" t="str">
        <v>CO</v>
      </c>
      <c r="C25" s="11"/>
      <c r="D25" s="18"/>
      <c r="E25" s="18" t="str">
        <f t="shared" si="4"/>
        <v/>
      </c>
      <c r="F25" s="19" t="str">
        <f t="shared" si="5"/>
        <v/>
      </c>
      <c r="G25" s="20"/>
      <c r="H25" s="20" t="str">
        <f t="shared" si="6"/>
        <v/>
      </c>
      <c r="I25" s="19" t="str">
        <f t="shared" si="7"/>
        <v/>
      </c>
      <c r="J25" s="42"/>
      <c r="K25" s="43"/>
    </row>
    <row r="26" spans="1:11" ht="15.75">
      <c r="A26" s="28" t="str">
        <v xml:space="preserve"> Lafayette - Bank of America</v>
      </c>
      <c r="B26" s="29" t="str">
        <v>CO</v>
      </c>
      <c r="C26" s="24"/>
      <c r="D26" s="13"/>
      <c r="E26" s="13" t="str">
        <f t="shared" si="4"/>
        <v/>
      </c>
      <c r="F26" s="14" t="str">
        <f t="shared" si="5"/>
        <v/>
      </c>
      <c r="G26" s="15"/>
      <c r="H26" s="15" t="str">
        <f t="shared" si="6"/>
        <v/>
      </c>
      <c r="I26" s="16" t="str">
        <f t="shared" si="7"/>
        <v/>
      </c>
      <c r="J26" s="41"/>
      <c r="K26" s="41"/>
    </row>
    <row r="27" spans="1:11" ht="15.75">
      <c r="A27" s="30" t="str">
        <v xml:space="preserve"> Lakewood - Bank of America</v>
      </c>
      <c r="B27" s="31" t="str">
        <v>CO</v>
      </c>
      <c r="C27" s="11"/>
      <c r="D27" s="18"/>
      <c r="E27" s="18" t="str">
        <f t="shared" si="4"/>
        <v/>
      </c>
      <c r="F27" s="19" t="str">
        <f t="shared" si="5"/>
        <v/>
      </c>
      <c r="G27" s="20"/>
      <c r="H27" s="20" t="str">
        <f t="shared" si="6"/>
        <v/>
      </c>
      <c r="I27" s="19" t="str">
        <f t="shared" si="7"/>
        <v/>
      </c>
      <c r="J27" s="42"/>
      <c r="K27" s="43"/>
    </row>
    <row r="28" spans="1:11" ht="15.75">
      <c r="A28" s="28" t="str">
        <v xml:space="preserve"> Longmont - Bank of America</v>
      </c>
      <c r="B28" s="29" t="str">
        <v>CO</v>
      </c>
      <c r="C28" s="24"/>
      <c r="D28" s="13"/>
      <c r="E28" s="13" t="str">
        <f t="shared" si="4"/>
        <v/>
      </c>
      <c r="F28" s="14" t="str">
        <f t="shared" si="5"/>
        <v/>
      </c>
      <c r="G28" s="15"/>
      <c r="H28" s="15" t="str">
        <f t="shared" si="6"/>
        <v/>
      </c>
      <c r="I28" s="16" t="str">
        <f t="shared" si="7"/>
        <v/>
      </c>
      <c r="J28" s="41"/>
      <c r="K28" s="41"/>
    </row>
    <row r="29" spans="1:11" ht="15.75">
      <c r="A29" s="30" t="str">
        <v xml:space="preserve"> Thornton - Bank of America</v>
      </c>
      <c r="B29" s="31" t="str">
        <v>CO</v>
      </c>
      <c r="C29" s="11"/>
      <c r="D29" s="18"/>
      <c r="E29" s="18" t="str">
        <f t="shared" si="4"/>
        <v/>
      </c>
      <c r="F29" s="19" t="str">
        <f t="shared" si="5"/>
        <v/>
      </c>
      <c r="G29" s="20"/>
      <c r="H29" s="20" t="str">
        <f t="shared" si="6"/>
        <v/>
      </c>
      <c r="I29" s="19" t="str">
        <f t="shared" si="7"/>
        <v/>
      </c>
      <c r="J29" s="42"/>
      <c r="K29" s="43"/>
    </row>
    <row r="30" spans="1:11" ht="15.75">
      <c r="A30" s="28" t="str">
        <v xml:space="preserve"> Calumet City - Bank of America</v>
      </c>
      <c r="B30" s="29" t="str">
        <v>IL</v>
      </c>
      <c r="C30" s="24"/>
      <c r="D30" s="13"/>
      <c r="E30" s="13" t="str">
        <f t="shared" si="4"/>
        <v/>
      </c>
      <c r="F30" s="14" t="str">
        <f t="shared" si="5"/>
        <v/>
      </c>
      <c r="G30" s="15"/>
      <c r="H30" s="15" t="str">
        <f t="shared" si="6"/>
        <v/>
      </c>
      <c r="I30" s="16" t="str">
        <f t="shared" si="7"/>
        <v/>
      </c>
      <c r="J30" s="41"/>
      <c r="K30" s="41"/>
    </row>
    <row r="31" spans="1:11" ht="15.75">
      <c r="A31" s="30" t="str">
        <v xml:space="preserve"> Downers Grove - Bank of America</v>
      </c>
      <c r="B31" s="31" t="str">
        <v>IL</v>
      </c>
      <c r="C31" s="11"/>
      <c r="D31" s="18"/>
      <c r="E31" s="18" t="str">
        <f t="shared" si="4"/>
        <v/>
      </c>
      <c r="F31" s="19" t="str">
        <f t="shared" si="5"/>
        <v/>
      </c>
      <c r="G31" s="20"/>
      <c r="H31" s="20" t="str">
        <f t="shared" si="6"/>
        <v/>
      </c>
      <c r="I31" s="19" t="str">
        <f t="shared" si="7"/>
        <v/>
      </c>
      <c r="J31" s="42"/>
      <c r="K31" s="43"/>
    </row>
    <row r="32" spans="1:11" ht="15.75">
      <c r="A32" s="28" t="str">
        <v xml:space="preserve"> Bloomington - Bank of America</v>
      </c>
      <c r="B32" s="29" t="str">
        <v>MN</v>
      </c>
      <c r="C32" s="24"/>
      <c r="D32" s="13"/>
      <c r="E32" s="13" t="str">
        <f t="shared" si="4"/>
        <v/>
      </c>
      <c r="F32" s="14" t="str">
        <f t="shared" si="5"/>
        <v/>
      </c>
      <c r="G32" s="15"/>
      <c r="H32" s="15" t="str">
        <f t="shared" si="6"/>
        <v/>
      </c>
      <c r="I32" s="16" t="str">
        <f t="shared" si="7"/>
        <v/>
      </c>
      <c r="J32" s="41"/>
      <c r="K32" s="41"/>
    </row>
    <row r="33" spans="1:11" ht="15.75">
      <c r="A33" s="30" t="str">
        <v xml:space="preserve"> Clayton - Bank of America</v>
      </c>
      <c r="B33" s="31" t="str">
        <v>MO</v>
      </c>
      <c r="C33" s="11"/>
      <c r="D33" s="18"/>
      <c r="E33" s="18" t="str">
        <f t="shared" si="4"/>
        <v/>
      </c>
      <c r="F33" s="19" t="str">
        <f t="shared" si="5"/>
        <v/>
      </c>
      <c r="G33" s="20"/>
      <c r="H33" s="20" t="str">
        <f t="shared" si="6"/>
        <v/>
      </c>
      <c r="I33" s="19" t="str">
        <f t="shared" si="7"/>
        <v/>
      </c>
      <c r="J33" s="42"/>
      <c r="K33" s="43"/>
    </row>
    <row r="34" spans="1:11" ht="15.75">
      <c r="A34" s="28" t="str">
        <v xml:space="preserve"> Manchester - Bank of America</v>
      </c>
      <c r="B34" s="29" t="str">
        <v>MO</v>
      </c>
      <c r="C34" s="24"/>
      <c r="D34" s="13"/>
      <c r="E34" s="13" t="str">
        <f t="shared" si="4"/>
        <v/>
      </c>
      <c r="F34" s="14" t="str">
        <f t="shared" si="5"/>
        <v/>
      </c>
      <c r="G34" s="15"/>
      <c r="H34" s="15" t="str">
        <f t="shared" si="6"/>
        <v/>
      </c>
      <c r="I34" s="16" t="str">
        <f t="shared" si="7"/>
        <v/>
      </c>
      <c r="J34" s="41"/>
      <c r="K34" s="41"/>
    </row>
    <row r="35" spans="1:11" ht="15.75">
      <c r="A35" s="30" t="str">
        <v xml:space="preserve"> Las Vegas - BA - Eastern Ave</v>
      </c>
      <c r="B35" s="31" t="str">
        <v>NV</v>
      </c>
      <c r="C35" s="11"/>
      <c r="D35" s="18"/>
      <c r="E35" s="18" t="str">
        <f t="shared" si="4"/>
        <v/>
      </c>
      <c r="F35" s="19" t="str">
        <f t="shared" si="5"/>
        <v/>
      </c>
      <c r="G35" s="20"/>
      <c r="H35" s="20" t="str">
        <f t="shared" si="6"/>
        <v/>
      </c>
      <c r="I35" s="19" t="str">
        <f t="shared" si="7"/>
        <v/>
      </c>
      <c r="J35" s="42"/>
      <c r="K35" s="43"/>
    </row>
    <row r="36" spans="1:11" ht="15.75">
      <c r="A36" s="28" t="str">
        <v xml:space="preserve"> Las Vegas - BA - Town Ctr Dr</v>
      </c>
      <c r="B36" s="29" t="str">
        <v>NV</v>
      </c>
      <c r="C36" s="24"/>
      <c r="D36" s="13"/>
      <c r="E36" s="13" t="str">
        <f t="shared" si="4"/>
        <v/>
      </c>
      <c r="F36" s="14" t="str">
        <f t="shared" si="5"/>
        <v/>
      </c>
      <c r="G36" s="15"/>
      <c r="H36" s="15" t="str">
        <f t="shared" si="6"/>
        <v/>
      </c>
      <c r="I36" s="16" t="str">
        <f t="shared" si="7"/>
        <v/>
      </c>
      <c r="J36" s="41"/>
      <c r="K36" s="41"/>
    </row>
    <row r="37" spans="1:11" ht="15.75">
      <c r="A37" s="30" t="str">
        <v xml:space="preserve"> Riverton - Bank of America</v>
      </c>
      <c r="B37" s="31" t="str">
        <v>UT</v>
      </c>
      <c r="C37" s="11"/>
      <c r="D37" s="18"/>
      <c r="E37" s="18" t="str">
        <f t="shared" si="4"/>
        <v/>
      </c>
      <c r="F37" s="19" t="str">
        <f t="shared" si="5"/>
        <v/>
      </c>
      <c r="G37" s="20"/>
      <c r="H37" s="20" t="str">
        <f t="shared" si="6"/>
        <v/>
      </c>
      <c r="I37" s="19" t="str">
        <f t="shared" si="7"/>
        <v/>
      </c>
      <c r="J37" s="42"/>
      <c r="K37" s="43"/>
    </row>
    <row r="38" spans="1:11" ht="15.75">
      <c r="A38" s="28" t="str">
        <v xml:space="preserve"> Salt Lake City - Bank of America</v>
      </c>
      <c r="B38" s="29" t="str">
        <v>UT</v>
      </c>
      <c r="C38" s="24"/>
      <c r="D38" s="13"/>
      <c r="E38" s="13" t="str">
        <f t="shared" si="4"/>
        <v/>
      </c>
      <c r="F38" s="14" t="str">
        <f t="shared" si="5"/>
        <v/>
      </c>
      <c r="G38" s="15"/>
      <c r="H38" s="15" t="str">
        <f t="shared" si="6"/>
        <v/>
      </c>
      <c r="I38" s="16" t="str">
        <f t="shared" si="7"/>
        <v/>
      </c>
      <c r="J38" s="41"/>
      <c r="K38" s="41"/>
    </row>
    <row r="39" spans="1:11" ht="1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 F4:F15 I4:I15 I39:I100 F39:F100">
    <cfRule type="cellIs" dxfId="32" priority="3" stopIfTrue="1" operator="lessThanOrEqual">
      <formula>-0.1</formula>
    </cfRule>
    <cfRule type="expression" dxfId="31" priority="4">
      <formula>AND(ISNUMBER(F2), F2&gt;=0.1)</formula>
    </cfRule>
  </conditionalFormatting>
  <conditionalFormatting sqref="F16:F38 I16:I38">
    <cfRule type="cellIs" dxfId="30" priority="1" stopIfTrue="1" operator="lessThanOrEqual">
      <formula>-0.1</formula>
    </cfRule>
    <cfRule type="expression" dxfId="29" priority="2">
      <formula>AND(ISNUMBER(F16), F16&gt;=0.1)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42"/>
  <sheetViews>
    <sheetView workbookViewId="0">
      <pane xSplit="2" ySplit="3" topLeftCell="C4" activePane="bottomRight" state="frozen"/>
      <selection pane="bottomRight" activeCell="A16" sqref="A16:K38"/>
      <selection pane="bottomLeft"/>
      <selection pane="topRight"/>
    </sheetView>
  </sheetViews>
  <sheetFormatPr defaultRowHeight="14.2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7" t="str" cm="1">
        <f t="array" ref="A1">portfolio</f>
        <v>Cushman &amp; Wakefield</v>
      </c>
      <c r="B1" s="57"/>
      <c r="C1" s="57"/>
      <c r="D1" s="58" t="s">
        <v>32</v>
      </c>
      <c r="E1" s="58"/>
      <c r="F1" s="58"/>
      <c r="G1" s="56" t="s">
        <v>33</v>
      </c>
      <c r="H1" s="56"/>
      <c r="I1" s="56"/>
      <c r="J1" s="4"/>
      <c r="K1" s="4"/>
    </row>
    <row r="2" spans="1:11" ht="19.5" customHeight="1">
      <c r="A2" s="59" t="s">
        <v>2</v>
      </c>
      <c r="B2" s="59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  <c r="J2" s="26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38">Sites[Site]</f>
        <v xml:space="preserve"> Adelanto - Bank of America</v>
      </c>
      <c r="B4" s="29" t="str" cm="1">
        <f t="array" ref="B4:B38">Sites[State]</f>
        <v>CA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75">
      <c r="A5" s="30" t="str">
        <v xml:space="preserve"> Apple Valley - Bank of America</v>
      </c>
      <c r="B5" s="31" t="str">
        <v>CA</v>
      </c>
      <c r="C5" s="11"/>
      <c r="D5" s="18"/>
      <c r="E5" s="18" t="str">
        <f t="shared" ref="E5:E17" si="0">IF(AND(ISNUMBER(C5),ISNUMBER(D5)), C5-D5, "")</f>
        <v/>
      </c>
      <c r="F5" s="19" t="str">
        <f>IFERROR(E5/D5, "")</f>
        <v/>
      </c>
      <c r="G5" s="20"/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/>
      <c r="K5" s="42"/>
    </row>
    <row r="6" spans="1:11" ht="15.75">
      <c r="A6" s="28" t="str">
        <v xml:space="preserve"> Arvin - Bank of America</v>
      </c>
      <c r="B6" s="29" t="str">
        <v>CA</v>
      </c>
      <c r="C6" s="24"/>
      <c r="D6" s="13"/>
      <c r="E6" s="13" t="str">
        <f t="shared" si="0"/>
        <v/>
      </c>
      <c r="F6" s="14" t="str">
        <f t="shared" ref="F6:F17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5.75">
      <c r="A7" s="30" t="str">
        <v xml:space="preserve"> Bell - Bank of America</v>
      </c>
      <c r="B7" s="31" t="str">
        <v>CA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42"/>
      <c r="K7" s="43"/>
    </row>
    <row r="8" spans="1:11" ht="15.75">
      <c r="A8" s="28" t="str">
        <v xml:space="preserve"> Chula Vista - Bank of America</v>
      </c>
      <c r="B8" s="29" t="str">
        <v>CA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1"/>
      <c r="K8" s="41"/>
    </row>
    <row r="9" spans="1:11" ht="15.75">
      <c r="A9" s="30" t="str">
        <v xml:space="preserve"> Cupertino - Bank of America</v>
      </c>
      <c r="B9" s="31" t="str">
        <v>CA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42"/>
      <c r="K9" s="43"/>
    </row>
    <row r="10" spans="1:11" ht="15.75">
      <c r="A10" s="28" t="str">
        <v xml:space="preserve"> Diamond Bar - Bank of America</v>
      </c>
      <c r="B10" s="29" t="str">
        <v>CA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1"/>
      <c r="K10" s="41"/>
    </row>
    <row r="11" spans="1:11" ht="15.75">
      <c r="A11" s="30" t="str">
        <v xml:space="preserve"> El Centro - Bank of America</v>
      </c>
      <c r="B11" s="31" t="str">
        <v>CA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42"/>
      <c r="K11" s="43"/>
    </row>
    <row r="12" spans="1:11" ht="15.75">
      <c r="A12" s="28" t="str">
        <v xml:space="preserve"> Moreno Valley - Bank of America</v>
      </c>
      <c r="B12" s="29" t="str">
        <v>CA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1"/>
      <c r="K12" s="41"/>
    </row>
    <row r="13" spans="1:11" ht="15.75">
      <c r="A13" s="30" t="str">
        <v xml:space="preserve"> Redlands - Bank of America</v>
      </c>
      <c r="B13" s="31" t="str">
        <v>CA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42"/>
      <c r="K13" s="43"/>
    </row>
    <row r="14" spans="1:11" ht="15.75">
      <c r="A14" s="28" t="str">
        <v xml:space="preserve"> Roseville - Bank of America</v>
      </c>
      <c r="B14" s="29" t="str">
        <v>CA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1"/>
      <c r="K14" s="41"/>
    </row>
    <row r="15" spans="1:11" ht="15.75">
      <c r="A15" s="30" t="str">
        <v xml:space="preserve"> San Bernardino - Bank of America</v>
      </c>
      <c r="B15" s="31" t="str">
        <v>CA</v>
      </c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42"/>
      <c r="K15" s="43"/>
    </row>
    <row r="16" spans="1:11" ht="15.75">
      <c r="A16" s="28" t="str">
        <v xml:space="preserve"> San Diego - Bank of America</v>
      </c>
      <c r="B16" s="29" t="str">
        <v>CA</v>
      </c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41"/>
      <c r="K16" s="41"/>
    </row>
    <row r="17" spans="1:11" ht="15.75">
      <c r="A17" s="30" t="str">
        <v xml:space="preserve"> Stockton - Bank of America</v>
      </c>
      <c r="B17" s="31" t="str">
        <v>CA</v>
      </c>
      <c r="C17" s="11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J17" s="42"/>
      <c r="K17" s="43"/>
    </row>
    <row r="18" spans="1:11" ht="12.75" customHeight="1">
      <c r="A18" s="28" t="str">
        <v xml:space="preserve"> Victorville - Bank of America</v>
      </c>
      <c r="B18" s="29" t="str">
        <v>CA</v>
      </c>
      <c r="C18" s="24"/>
      <c r="D18" s="13"/>
      <c r="E18" s="13" t="str">
        <f t="shared" ref="E18:E38" si="4">IF(AND(ISNUMBER(C18),ISNUMBER(D18)), C18-D18, "")</f>
        <v/>
      </c>
      <c r="F18" s="14" t="str">
        <f t="shared" ref="F18:F38" si="5">IFERROR(E18/D18, "")</f>
        <v/>
      </c>
      <c r="G18" s="15"/>
      <c r="H18" s="15" t="str">
        <f t="shared" ref="H18:H38" si="6">IF(AND(ISNUMBER(C18),ISNUMBER(G18)), C18-G18, "")</f>
        <v/>
      </c>
      <c r="I18" s="16" t="str">
        <f t="shared" ref="I18:I38" si="7">IFERROR(H18/G18, "")</f>
        <v/>
      </c>
      <c r="J18" s="41"/>
      <c r="K18" s="41"/>
    </row>
    <row r="19" spans="1:11" ht="15.75">
      <c r="A19" s="30" t="str">
        <v xml:space="preserve"> Aurora - BA - Colfax Ave</v>
      </c>
      <c r="B19" s="31" t="str">
        <v>CO</v>
      </c>
      <c r="C19" s="11"/>
      <c r="D19" s="18"/>
      <c r="E19" s="18" t="str">
        <f t="shared" si="4"/>
        <v/>
      </c>
      <c r="F19" s="19" t="str">
        <f t="shared" si="5"/>
        <v/>
      </c>
      <c r="G19" s="20"/>
      <c r="H19" s="20" t="str">
        <f t="shared" si="6"/>
        <v/>
      </c>
      <c r="I19" s="19" t="str">
        <f t="shared" si="7"/>
        <v/>
      </c>
      <c r="J19" s="42"/>
      <c r="K19" s="43"/>
    </row>
    <row r="20" spans="1:11" ht="15.75">
      <c r="A20" s="28" t="str">
        <v xml:space="preserve"> Aurora - BA - Parker Rd</v>
      </c>
      <c r="B20" s="29" t="str">
        <v>CO</v>
      </c>
      <c r="C20" s="24"/>
      <c r="D20" s="13"/>
      <c r="E20" s="13" t="str">
        <f t="shared" si="4"/>
        <v/>
      </c>
      <c r="F20" s="14" t="str">
        <f t="shared" si="5"/>
        <v/>
      </c>
      <c r="G20" s="15"/>
      <c r="H20" s="15" t="str">
        <f t="shared" si="6"/>
        <v/>
      </c>
      <c r="I20" s="16" t="str">
        <f t="shared" si="7"/>
        <v/>
      </c>
      <c r="J20" s="41"/>
      <c r="K20" s="41"/>
    </row>
    <row r="21" spans="1:11" ht="15.75">
      <c r="A21" s="30" t="str">
        <v xml:space="preserve"> Broomfield - Bank of America</v>
      </c>
      <c r="B21" s="31" t="str">
        <v>CO</v>
      </c>
      <c r="C21" s="11"/>
      <c r="D21" s="18"/>
      <c r="E21" s="18" t="str">
        <f t="shared" si="4"/>
        <v/>
      </c>
      <c r="F21" s="19" t="str">
        <f t="shared" si="5"/>
        <v/>
      </c>
      <c r="G21" s="20"/>
      <c r="H21" s="20" t="str">
        <f t="shared" si="6"/>
        <v/>
      </c>
      <c r="I21" s="19" t="str">
        <f t="shared" si="7"/>
        <v/>
      </c>
      <c r="J21" s="42"/>
      <c r="K21" s="43"/>
    </row>
    <row r="22" spans="1:11" ht="15.75">
      <c r="A22" s="28" t="str">
        <v xml:space="preserve"> Colorado Springs - Bank of America</v>
      </c>
      <c r="B22" s="29" t="str">
        <v>CO</v>
      </c>
      <c r="C22" s="24"/>
      <c r="D22" s="13"/>
      <c r="E22" s="13" t="str">
        <f t="shared" si="4"/>
        <v/>
      </c>
      <c r="F22" s="14" t="str">
        <f t="shared" si="5"/>
        <v/>
      </c>
      <c r="G22" s="15"/>
      <c r="H22" s="15" t="str">
        <f t="shared" si="6"/>
        <v/>
      </c>
      <c r="I22" s="16" t="str">
        <f t="shared" si="7"/>
        <v/>
      </c>
      <c r="J22" s="41"/>
      <c r="K22" s="41"/>
    </row>
    <row r="23" spans="1:11" ht="15.75">
      <c r="A23" s="30" t="str">
        <v xml:space="preserve"> Denver - BA - 49th Ave</v>
      </c>
      <c r="B23" s="31" t="str">
        <v>CO</v>
      </c>
      <c r="C23" s="11"/>
      <c r="D23" s="18"/>
      <c r="E23" s="18" t="str">
        <f t="shared" si="4"/>
        <v/>
      </c>
      <c r="F23" s="19" t="str">
        <f t="shared" si="5"/>
        <v/>
      </c>
      <c r="G23" s="20"/>
      <c r="H23" s="20" t="str">
        <f t="shared" si="6"/>
        <v/>
      </c>
      <c r="I23" s="19" t="str">
        <f t="shared" si="7"/>
        <v/>
      </c>
      <c r="J23" s="42"/>
      <c r="K23" s="43"/>
    </row>
    <row r="24" spans="1:11" ht="15.75">
      <c r="A24" s="28" t="str">
        <v xml:space="preserve"> Denver - BA Wadsworth Blvd</v>
      </c>
      <c r="B24" s="29" t="str">
        <v>CO</v>
      </c>
      <c r="C24" s="24"/>
      <c r="D24" s="13"/>
      <c r="E24" s="13" t="str">
        <f t="shared" si="4"/>
        <v/>
      </c>
      <c r="F24" s="14" t="str">
        <f t="shared" si="5"/>
        <v/>
      </c>
      <c r="G24" s="15"/>
      <c r="H24" s="15" t="str">
        <f t="shared" si="6"/>
        <v/>
      </c>
      <c r="I24" s="16" t="str">
        <f t="shared" si="7"/>
        <v/>
      </c>
      <c r="J24" s="41"/>
      <c r="K24" s="41"/>
    </row>
    <row r="25" spans="1:11" ht="15.75">
      <c r="A25" s="30" t="str">
        <v xml:space="preserve"> Fort Collins - Bank of America</v>
      </c>
      <c r="B25" s="31" t="str">
        <v>CO</v>
      </c>
      <c r="C25" s="11"/>
      <c r="D25" s="18"/>
      <c r="E25" s="18" t="str">
        <f t="shared" si="4"/>
        <v/>
      </c>
      <c r="F25" s="19" t="str">
        <f t="shared" si="5"/>
        <v/>
      </c>
      <c r="G25" s="20"/>
      <c r="H25" s="20" t="str">
        <f t="shared" si="6"/>
        <v/>
      </c>
      <c r="I25" s="19" t="str">
        <f t="shared" si="7"/>
        <v/>
      </c>
      <c r="J25" s="42"/>
      <c r="K25" s="43"/>
    </row>
    <row r="26" spans="1:11" ht="15.75">
      <c r="A26" s="28" t="str">
        <v xml:space="preserve"> Lafayette - Bank of America</v>
      </c>
      <c r="B26" s="29" t="str">
        <v>CO</v>
      </c>
      <c r="C26" s="24"/>
      <c r="D26" s="13"/>
      <c r="E26" s="13" t="str">
        <f t="shared" si="4"/>
        <v/>
      </c>
      <c r="F26" s="14" t="str">
        <f t="shared" si="5"/>
        <v/>
      </c>
      <c r="G26" s="15"/>
      <c r="H26" s="15" t="str">
        <f t="shared" si="6"/>
        <v/>
      </c>
      <c r="I26" s="16" t="str">
        <f t="shared" si="7"/>
        <v/>
      </c>
      <c r="J26" s="41"/>
      <c r="K26" s="41"/>
    </row>
    <row r="27" spans="1:11" ht="15.75">
      <c r="A27" s="30" t="str">
        <v xml:space="preserve"> Lakewood - Bank of America</v>
      </c>
      <c r="B27" s="31" t="str">
        <v>CO</v>
      </c>
      <c r="C27" s="11"/>
      <c r="D27" s="18"/>
      <c r="E27" s="18" t="str">
        <f t="shared" si="4"/>
        <v/>
      </c>
      <c r="F27" s="19" t="str">
        <f t="shared" si="5"/>
        <v/>
      </c>
      <c r="G27" s="20"/>
      <c r="H27" s="20" t="str">
        <f t="shared" si="6"/>
        <v/>
      </c>
      <c r="I27" s="19" t="str">
        <f t="shared" si="7"/>
        <v/>
      </c>
      <c r="J27" s="42"/>
      <c r="K27" s="43"/>
    </row>
    <row r="28" spans="1:11" ht="15.75">
      <c r="A28" s="28" t="str">
        <v xml:space="preserve"> Longmont - Bank of America</v>
      </c>
      <c r="B28" s="29" t="str">
        <v>CO</v>
      </c>
      <c r="C28" s="24"/>
      <c r="D28" s="13"/>
      <c r="E28" s="13" t="str">
        <f t="shared" si="4"/>
        <v/>
      </c>
      <c r="F28" s="14" t="str">
        <f t="shared" si="5"/>
        <v/>
      </c>
      <c r="G28" s="15"/>
      <c r="H28" s="15" t="str">
        <f t="shared" si="6"/>
        <v/>
      </c>
      <c r="I28" s="16" t="str">
        <f t="shared" si="7"/>
        <v/>
      </c>
      <c r="J28" s="41"/>
      <c r="K28" s="41"/>
    </row>
    <row r="29" spans="1:11" ht="15.75">
      <c r="A29" s="30" t="str">
        <v xml:space="preserve"> Thornton - Bank of America</v>
      </c>
      <c r="B29" s="31" t="str">
        <v>CO</v>
      </c>
      <c r="C29" s="11"/>
      <c r="D29" s="18"/>
      <c r="E29" s="18" t="str">
        <f t="shared" si="4"/>
        <v/>
      </c>
      <c r="F29" s="19" t="str">
        <f t="shared" si="5"/>
        <v/>
      </c>
      <c r="G29" s="20"/>
      <c r="H29" s="20" t="str">
        <f t="shared" si="6"/>
        <v/>
      </c>
      <c r="I29" s="19" t="str">
        <f t="shared" si="7"/>
        <v/>
      </c>
      <c r="J29" s="42"/>
      <c r="K29" s="43"/>
    </row>
    <row r="30" spans="1:11" ht="15.75">
      <c r="A30" s="28" t="str">
        <v xml:space="preserve"> Calumet City - Bank of America</v>
      </c>
      <c r="B30" s="29" t="str">
        <v>IL</v>
      </c>
      <c r="C30" s="24"/>
      <c r="D30" s="13"/>
      <c r="E30" s="13" t="str">
        <f t="shared" si="4"/>
        <v/>
      </c>
      <c r="F30" s="14" t="str">
        <f t="shared" si="5"/>
        <v/>
      </c>
      <c r="G30" s="15"/>
      <c r="H30" s="15" t="str">
        <f t="shared" si="6"/>
        <v/>
      </c>
      <c r="I30" s="16" t="str">
        <f t="shared" si="7"/>
        <v/>
      </c>
      <c r="J30" s="41"/>
      <c r="K30" s="41"/>
    </row>
    <row r="31" spans="1:11" ht="15.75">
      <c r="A31" s="30" t="str">
        <v xml:space="preserve"> Downers Grove - Bank of America</v>
      </c>
      <c r="B31" s="31" t="str">
        <v>IL</v>
      </c>
      <c r="C31" s="11"/>
      <c r="D31" s="18"/>
      <c r="E31" s="18" t="str">
        <f t="shared" si="4"/>
        <v/>
      </c>
      <c r="F31" s="19" t="str">
        <f t="shared" si="5"/>
        <v/>
      </c>
      <c r="G31" s="20"/>
      <c r="H31" s="20" t="str">
        <f t="shared" si="6"/>
        <v/>
      </c>
      <c r="I31" s="19" t="str">
        <f t="shared" si="7"/>
        <v/>
      </c>
      <c r="J31" s="42"/>
      <c r="K31" s="43"/>
    </row>
    <row r="32" spans="1:11" ht="15.75">
      <c r="A32" s="28" t="str">
        <v xml:space="preserve"> Bloomington - Bank of America</v>
      </c>
      <c r="B32" s="29" t="str">
        <v>MN</v>
      </c>
      <c r="C32" s="24"/>
      <c r="D32" s="13"/>
      <c r="E32" s="13" t="str">
        <f t="shared" si="4"/>
        <v/>
      </c>
      <c r="F32" s="14" t="str">
        <f t="shared" si="5"/>
        <v/>
      </c>
      <c r="G32" s="15"/>
      <c r="H32" s="15" t="str">
        <f t="shared" si="6"/>
        <v/>
      </c>
      <c r="I32" s="16" t="str">
        <f t="shared" si="7"/>
        <v/>
      </c>
      <c r="J32" s="41"/>
      <c r="K32" s="41"/>
    </row>
    <row r="33" spans="1:11" ht="15.75">
      <c r="A33" s="30" t="str">
        <v xml:space="preserve"> Clayton - Bank of America</v>
      </c>
      <c r="B33" s="31" t="str">
        <v>MO</v>
      </c>
      <c r="C33" s="11"/>
      <c r="D33" s="18"/>
      <c r="E33" s="18" t="str">
        <f t="shared" si="4"/>
        <v/>
      </c>
      <c r="F33" s="19" t="str">
        <f t="shared" si="5"/>
        <v/>
      </c>
      <c r="G33" s="20"/>
      <c r="H33" s="20" t="str">
        <f t="shared" si="6"/>
        <v/>
      </c>
      <c r="I33" s="19" t="str">
        <f t="shared" si="7"/>
        <v/>
      </c>
      <c r="J33" s="42"/>
      <c r="K33" s="43"/>
    </row>
    <row r="34" spans="1:11" ht="15.75">
      <c r="A34" s="28" t="str">
        <v xml:space="preserve"> Manchester - Bank of America</v>
      </c>
      <c r="B34" s="29" t="str">
        <v>MO</v>
      </c>
      <c r="C34" s="24"/>
      <c r="D34" s="13"/>
      <c r="E34" s="13" t="str">
        <f t="shared" si="4"/>
        <v/>
      </c>
      <c r="F34" s="14" t="str">
        <f t="shared" si="5"/>
        <v/>
      </c>
      <c r="G34" s="15"/>
      <c r="H34" s="15" t="str">
        <f t="shared" si="6"/>
        <v/>
      </c>
      <c r="I34" s="16" t="str">
        <f t="shared" si="7"/>
        <v/>
      </c>
      <c r="J34" s="41"/>
      <c r="K34" s="41"/>
    </row>
    <row r="35" spans="1:11" ht="15.75">
      <c r="A35" s="30" t="str">
        <v xml:space="preserve"> Las Vegas - BA - Eastern Ave</v>
      </c>
      <c r="B35" s="31" t="str">
        <v>NV</v>
      </c>
      <c r="C35" s="11"/>
      <c r="D35" s="18"/>
      <c r="E35" s="18" t="str">
        <f t="shared" si="4"/>
        <v/>
      </c>
      <c r="F35" s="19" t="str">
        <f t="shared" si="5"/>
        <v/>
      </c>
      <c r="G35" s="20"/>
      <c r="H35" s="20" t="str">
        <f t="shared" si="6"/>
        <v/>
      </c>
      <c r="I35" s="19" t="str">
        <f t="shared" si="7"/>
        <v/>
      </c>
      <c r="J35" s="42"/>
      <c r="K35" s="43"/>
    </row>
    <row r="36" spans="1:11" ht="15.75">
      <c r="A36" s="28" t="str">
        <v xml:space="preserve"> Las Vegas - BA - Town Ctr Dr</v>
      </c>
      <c r="B36" s="29" t="str">
        <v>NV</v>
      </c>
      <c r="C36" s="24"/>
      <c r="D36" s="13"/>
      <c r="E36" s="13" t="str">
        <f t="shared" si="4"/>
        <v/>
      </c>
      <c r="F36" s="14" t="str">
        <f t="shared" si="5"/>
        <v/>
      </c>
      <c r="G36" s="15"/>
      <c r="H36" s="15" t="str">
        <f t="shared" si="6"/>
        <v/>
      </c>
      <c r="I36" s="16" t="str">
        <f t="shared" si="7"/>
        <v/>
      </c>
      <c r="J36" s="41"/>
      <c r="K36" s="41"/>
    </row>
    <row r="37" spans="1:11" ht="15.75">
      <c r="A37" s="30" t="str">
        <v xml:space="preserve"> Riverton - Bank of America</v>
      </c>
      <c r="B37" s="31" t="str">
        <v>UT</v>
      </c>
      <c r="C37" s="11"/>
      <c r="D37" s="18"/>
      <c r="E37" s="18" t="str">
        <f t="shared" si="4"/>
        <v/>
      </c>
      <c r="F37" s="19" t="str">
        <f t="shared" si="5"/>
        <v/>
      </c>
      <c r="G37" s="20"/>
      <c r="H37" s="20" t="str">
        <f t="shared" si="6"/>
        <v/>
      </c>
      <c r="I37" s="19" t="str">
        <f t="shared" si="7"/>
        <v/>
      </c>
      <c r="J37" s="42"/>
      <c r="K37" s="43"/>
    </row>
    <row r="38" spans="1:11" ht="15.75">
      <c r="A38" s="28" t="str">
        <v xml:space="preserve"> Salt Lake City - Bank of America</v>
      </c>
      <c r="B38" s="29" t="str">
        <v>UT</v>
      </c>
      <c r="C38" s="24"/>
      <c r="D38" s="13"/>
      <c r="E38" s="13" t="str">
        <f t="shared" si="4"/>
        <v/>
      </c>
      <c r="F38" s="14" t="str">
        <f t="shared" si="5"/>
        <v/>
      </c>
      <c r="G38" s="15"/>
      <c r="H38" s="15" t="str">
        <f t="shared" si="6"/>
        <v/>
      </c>
      <c r="I38" s="16" t="str">
        <f t="shared" si="7"/>
        <v/>
      </c>
      <c r="J38" s="41"/>
      <c r="K38" s="41"/>
    </row>
    <row r="39" spans="1:11" ht="1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>
      <c r="C342" s="21"/>
      <c r="D342" s="21"/>
      <c r="E342" s="21"/>
      <c r="F342" s="22"/>
      <c r="G342" s="21"/>
      <c r="H342" s="21"/>
      <c r="I342" s="22"/>
      <c r="J342" s="21"/>
      <c r="K342" s="21"/>
    </row>
  </sheetData>
  <sortState xmlns:xlrd2="http://schemas.microsoft.com/office/spreadsheetml/2017/richdata2" ref="A3:K15">
    <sortCondition ref="A3:A15"/>
  </sortState>
  <mergeCells count="4">
    <mergeCell ref="G1:I1"/>
    <mergeCell ref="A1:C1"/>
    <mergeCell ref="D1:F1"/>
    <mergeCell ref="A2:B2"/>
  </mergeCells>
  <conditionalFormatting sqref="F2 I2 F4:F15 I4:I15 I39:I100 F39:F100">
    <cfRule type="cellIs" dxfId="28" priority="3" stopIfTrue="1" operator="lessThanOrEqual">
      <formula>-0.1</formula>
    </cfRule>
    <cfRule type="expression" dxfId="27" priority="4">
      <formula>AND(ISNUMBER(F2), F2&gt;=0.1)</formula>
    </cfRule>
  </conditionalFormatting>
  <conditionalFormatting sqref="F16:F38 I16:I38">
    <cfRule type="cellIs" dxfId="26" priority="1" stopIfTrue="1" operator="lessThanOrEqual">
      <formula>-0.1</formula>
    </cfRule>
    <cfRule type="expression" dxfId="25" priority="2">
      <formula>AND(ISNUMBER(F16), F16&gt;=0.1)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42"/>
  <sheetViews>
    <sheetView workbookViewId="0">
      <pane xSplit="2" ySplit="3" topLeftCell="C4" activePane="bottomRight" state="frozen"/>
      <selection pane="bottomRight" activeCell="A16" sqref="A16:K38"/>
      <selection pane="bottomLeft"/>
      <selection pane="topRight"/>
    </sheetView>
  </sheetViews>
  <sheetFormatPr defaultRowHeight="14.2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7" t="str" cm="1">
        <f t="array" ref="A1">portfolio</f>
        <v>Cushman &amp; Wakefield</v>
      </c>
      <c r="B1" s="57"/>
      <c r="C1" s="57"/>
      <c r="D1" s="58" t="s">
        <v>34</v>
      </c>
      <c r="E1" s="58"/>
      <c r="F1" s="58"/>
      <c r="G1" s="56" t="s">
        <v>35</v>
      </c>
      <c r="H1" s="56"/>
      <c r="I1" s="56"/>
      <c r="J1" s="4"/>
      <c r="K1" s="4"/>
    </row>
    <row r="2" spans="1:11" ht="19.5" customHeight="1">
      <c r="A2" s="59" t="s">
        <v>2</v>
      </c>
      <c r="B2" s="59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  <c r="J2" s="26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38">Sites[Site]</f>
        <v xml:space="preserve"> Adelanto - Bank of America</v>
      </c>
      <c r="B4" s="29" t="str" cm="1">
        <f t="array" ref="B4:B38">Sites[State]</f>
        <v>CA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75">
      <c r="A5" s="30" t="str">
        <v xml:space="preserve"> Apple Valley - Bank of America</v>
      </c>
      <c r="B5" s="31" t="str">
        <v>CA</v>
      </c>
      <c r="C5" s="11"/>
      <c r="D5" s="18"/>
      <c r="E5" s="18" t="str">
        <f t="shared" ref="E5:E17" si="0">IF(AND(ISNUMBER(C5),ISNUMBER(D5)), C5-D5, "")</f>
        <v/>
      </c>
      <c r="F5" s="19" t="str">
        <f>IFERROR(E5/D5, "")</f>
        <v/>
      </c>
      <c r="G5" s="20"/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/>
      <c r="K5" s="42"/>
    </row>
    <row r="6" spans="1:11" ht="15.75">
      <c r="A6" s="28" t="str">
        <v xml:space="preserve"> Arvin - Bank of America</v>
      </c>
      <c r="B6" s="29" t="str">
        <v>CA</v>
      </c>
      <c r="C6" s="24"/>
      <c r="D6" s="13"/>
      <c r="E6" s="13" t="str">
        <f t="shared" si="0"/>
        <v/>
      </c>
      <c r="F6" s="14" t="str">
        <f t="shared" ref="F6:F17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5.75">
      <c r="A7" s="30" t="str">
        <v xml:space="preserve"> Bell - Bank of America</v>
      </c>
      <c r="B7" s="31" t="str">
        <v>CA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42"/>
      <c r="K7" s="43"/>
    </row>
    <row r="8" spans="1:11" ht="15.75">
      <c r="A8" s="28" t="str">
        <v xml:space="preserve"> Chula Vista - Bank of America</v>
      </c>
      <c r="B8" s="29" t="str">
        <v>CA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1"/>
      <c r="K8" s="41"/>
    </row>
    <row r="9" spans="1:11" ht="15.75">
      <c r="A9" s="30" t="str">
        <v xml:space="preserve"> Cupertino - Bank of America</v>
      </c>
      <c r="B9" s="31" t="str">
        <v>CA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42"/>
      <c r="K9" s="43"/>
    </row>
    <row r="10" spans="1:11" ht="15.75">
      <c r="A10" s="28" t="str">
        <v xml:space="preserve"> Diamond Bar - Bank of America</v>
      </c>
      <c r="B10" s="29" t="str">
        <v>CA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1"/>
      <c r="K10" s="41"/>
    </row>
    <row r="11" spans="1:11" ht="15.75">
      <c r="A11" s="30" t="str">
        <v xml:space="preserve"> El Centro - Bank of America</v>
      </c>
      <c r="B11" s="31" t="str">
        <v>CA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42"/>
      <c r="K11" s="43"/>
    </row>
    <row r="12" spans="1:11" ht="15.75">
      <c r="A12" s="28" t="str">
        <v xml:space="preserve"> Moreno Valley - Bank of America</v>
      </c>
      <c r="B12" s="29" t="str">
        <v>CA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1"/>
      <c r="K12" s="41"/>
    </row>
    <row r="13" spans="1:11" ht="15.75">
      <c r="A13" s="30" t="str">
        <v xml:space="preserve"> Redlands - Bank of America</v>
      </c>
      <c r="B13" s="31" t="str">
        <v>CA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42"/>
      <c r="K13" s="43"/>
    </row>
    <row r="14" spans="1:11" ht="15.75">
      <c r="A14" s="28" t="str">
        <v xml:space="preserve"> Roseville - Bank of America</v>
      </c>
      <c r="B14" s="29" t="str">
        <v>CA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1"/>
      <c r="K14" s="41"/>
    </row>
    <row r="15" spans="1:11" ht="15.75">
      <c r="A15" s="30" t="str">
        <v xml:space="preserve"> San Bernardino - Bank of America</v>
      </c>
      <c r="B15" s="31" t="str">
        <v>CA</v>
      </c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42"/>
      <c r="K15" s="43"/>
    </row>
    <row r="16" spans="1:11" ht="15.75">
      <c r="A16" s="28" t="str">
        <v xml:space="preserve"> San Diego - Bank of America</v>
      </c>
      <c r="B16" s="29" t="str">
        <v>CA</v>
      </c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41"/>
      <c r="K16" s="41"/>
    </row>
    <row r="17" spans="1:11" ht="15.75">
      <c r="A17" s="30" t="str">
        <v xml:space="preserve"> Stockton - Bank of America</v>
      </c>
      <c r="B17" s="31" t="str">
        <v>CA</v>
      </c>
      <c r="C17" s="11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J17" s="42"/>
      <c r="K17" s="43"/>
    </row>
    <row r="18" spans="1:11" ht="12.75" customHeight="1">
      <c r="A18" s="28" t="str">
        <v xml:space="preserve"> Victorville - Bank of America</v>
      </c>
      <c r="B18" s="29" t="str">
        <v>CA</v>
      </c>
      <c r="C18" s="24"/>
      <c r="D18" s="13"/>
      <c r="E18" s="13" t="str">
        <f t="shared" ref="E18:E38" si="4">IF(AND(ISNUMBER(C18),ISNUMBER(D18)), C18-D18, "")</f>
        <v/>
      </c>
      <c r="F18" s="14" t="str">
        <f t="shared" ref="F18:F38" si="5">IFERROR(E18/D18, "")</f>
        <v/>
      </c>
      <c r="G18" s="15"/>
      <c r="H18" s="15" t="str">
        <f t="shared" ref="H18:H38" si="6">IF(AND(ISNUMBER(C18),ISNUMBER(G18)), C18-G18, "")</f>
        <v/>
      </c>
      <c r="I18" s="16" t="str">
        <f t="shared" ref="I18:I38" si="7">IFERROR(H18/G18, "")</f>
        <v/>
      </c>
      <c r="J18" s="41"/>
      <c r="K18" s="41"/>
    </row>
    <row r="19" spans="1:11" ht="15.75">
      <c r="A19" s="30" t="str">
        <v xml:space="preserve"> Aurora - BA - Colfax Ave</v>
      </c>
      <c r="B19" s="31" t="str">
        <v>CO</v>
      </c>
      <c r="C19" s="11"/>
      <c r="D19" s="18"/>
      <c r="E19" s="18" t="str">
        <f t="shared" si="4"/>
        <v/>
      </c>
      <c r="F19" s="19" t="str">
        <f t="shared" si="5"/>
        <v/>
      </c>
      <c r="G19" s="20"/>
      <c r="H19" s="20" t="str">
        <f t="shared" si="6"/>
        <v/>
      </c>
      <c r="I19" s="19" t="str">
        <f t="shared" si="7"/>
        <v/>
      </c>
      <c r="J19" s="42"/>
      <c r="K19" s="43"/>
    </row>
    <row r="20" spans="1:11" ht="15.75">
      <c r="A20" s="28" t="str">
        <v xml:space="preserve"> Aurora - BA - Parker Rd</v>
      </c>
      <c r="B20" s="29" t="str">
        <v>CO</v>
      </c>
      <c r="C20" s="24"/>
      <c r="D20" s="13"/>
      <c r="E20" s="13" t="str">
        <f t="shared" si="4"/>
        <v/>
      </c>
      <c r="F20" s="14" t="str">
        <f t="shared" si="5"/>
        <v/>
      </c>
      <c r="G20" s="15"/>
      <c r="H20" s="15" t="str">
        <f t="shared" si="6"/>
        <v/>
      </c>
      <c r="I20" s="16" t="str">
        <f t="shared" si="7"/>
        <v/>
      </c>
      <c r="J20" s="41"/>
      <c r="K20" s="41"/>
    </row>
    <row r="21" spans="1:11" ht="15.75">
      <c r="A21" s="30" t="str">
        <v xml:space="preserve"> Broomfield - Bank of America</v>
      </c>
      <c r="B21" s="31" t="str">
        <v>CO</v>
      </c>
      <c r="C21" s="11"/>
      <c r="D21" s="18"/>
      <c r="E21" s="18" t="str">
        <f t="shared" si="4"/>
        <v/>
      </c>
      <c r="F21" s="19" t="str">
        <f t="shared" si="5"/>
        <v/>
      </c>
      <c r="G21" s="20"/>
      <c r="H21" s="20" t="str">
        <f t="shared" si="6"/>
        <v/>
      </c>
      <c r="I21" s="19" t="str">
        <f t="shared" si="7"/>
        <v/>
      </c>
      <c r="J21" s="42"/>
      <c r="K21" s="43"/>
    </row>
    <row r="22" spans="1:11" ht="15.75">
      <c r="A22" s="28" t="str">
        <v xml:space="preserve"> Colorado Springs - Bank of America</v>
      </c>
      <c r="B22" s="29" t="str">
        <v>CO</v>
      </c>
      <c r="C22" s="24"/>
      <c r="D22" s="13"/>
      <c r="E22" s="13" t="str">
        <f t="shared" si="4"/>
        <v/>
      </c>
      <c r="F22" s="14" t="str">
        <f t="shared" si="5"/>
        <v/>
      </c>
      <c r="G22" s="15"/>
      <c r="H22" s="15" t="str">
        <f t="shared" si="6"/>
        <v/>
      </c>
      <c r="I22" s="16" t="str">
        <f t="shared" si="7"/>
        <v/>
      </c>
      <c r="J22" s="41"/>
      <c r="K22" s="41"/>
    </row>
    <row r="23" spans="1:11" ht="15.75">
      <c r="A23" s="30" t="str">
        <v xml:space="preserve"> Denver - BA - 49th Ave</v>
      </c>
      <c r="B23" s="31" t="str">
        <v>CO</v>
      </c>
      <c r="C23" s="11"/>
      <c r="D23" s="18"/>
      <c r="E23" s="18" t="str">
        <f t="shared" si="4"/>
        <v/>
      </c>
      <c r="F23" s="19" t="str">
        <f t="shared" si="5"/>
        <v/>
      </c>
      <c r="G23" s="20"/>
      <c r="H23" s="20" t="str">
        <f t="shared" si="6"/>
        <v/>
      </c>
      <c r="I23" s="19" t="str">
        <f t="shared" si="7"/>
        <v/>
      </c>
      <c r="J23" s="42"/>
      <c r="K23" s="43"/>
    </row>
    <row r="24" spans="1:11" ht="15.75">
      <c r="A24" s="28" t="str">
        <v xml:space="preserve"> Denver - BA Wadsworth Blvd</v>
      </c>
      <c r="B24" s="29" t="str">
        <v>CO</v>
      </c>
      <c r="C24" s="24"/>
      <c r="D24" s="13"/>
      <c r="E24" s="13" t="str">
        <f t="shared" si="4"/>
        <v/>
      </c>
      <c r="F24" s="14" t="str">
        <f t="shared" si="5"/>
        <v/>
      </c>
      <c r="G24" s="15"/>
      <c r="H24" s="15" t="str">
        <f t="shared" si="6"/>
        <v/>
      </c>
      <c r="I24" s="16" t="str">
        <f t="shared" si="7"/>
        <v/>
      </c>
      <c r="J24" s="41"/>
      <c r="K24" s="41"/>
    </row>
    <row r="25" spans="1:11" ht="15.75">
      <c r="A25" s="30" t="str">
        <v xml:space="preserve"> Fort Collins - Bank of America</v>
      </c>
      <c r="B25" s="31" t="str">
        <v>CO</v>
      </c>
      <c r="C25" s="11"/>
      <c r="D25" s="18"/>
      <c r="E25" s="18" t="str">
        <f t="shared" si="4"/>
        <v/>
      </c>
      <c r="F25" s="19" t="str">
        <f t="shared" si="5"/>
        <v/>
      </c>
      <c r="G25" s="20"/>
      <c r="H25" s="20" t="str">
        <f t="shared" si="6"/>
        <v/>
      </c>
      <c r="I25" s="19" t="str">
        <f t="shared" si="7"/>
        <v/>
      </c>
      <c r="J25" s="42"/>
      <c r="K25" s="43"/>
    </row>
    <row r="26" spans="1:11" ht="15.75">
      <c r="A26" s="28" t="str">
        <v xml:space="preserve"> Lafayette - Bank of America</v>
      </c>
      <c r="B26" s="29" t="str">
        <v>CO</v>
      </c>
      <c r="C26" s="24"/>
      <c r="D26" s="13"/>
      <c r="E26" s="13" t="str">
        <f t="shared" si="4"/>
        <v/>
      </c>
      <c r="F26" s="14" t="str">
        <f t="shared" si="5"/>
        <v/>
      </c>
      <c r="G26" s="15"/>
      <c r="H26" s="15" t="str">
        <f t="shared" si="6"/>
        <v/>
      </c>
      <c r="I26" s="16" t="str">
        <f t="shared" si="7"/>
        <v/>
      </c>
      <c r="J26" s="41"/>
      <c r="K26" s="41"/>
    </row>
    <row r="27" spans="1:11" ht="15.75">
      <c r="A27" s="30" t="str">
        <v xml:space="preserve"> Lakewood - Bank of America</v>
      </c>
      <c r="B27" s="31" t="str">
        <v>CO</v>
      </c>
      <c r="C27" s="11"/>
      <c r="D27" s="18"/>
      <c r="E27" s="18" t="str">
        <f t="shared" si="4"/>
        <v/>
      </c>
      <c r="F27" s="19" t="str">
        <f t="shared" si="5"/>
        <v/>
      </c>
      <c r="G27" s="20"/>
      <c r="H27" s="20" t="str">
        <f t="shared" si="6"/>
        <v/>
      </c>
      <c r="I27" s="19" t="str">
        <f t="shared" si="7"/>
        <v/>
      </c>
      <c r="J27" s="42"/>
      <c r="K27" s="43"/>
    </row>
    <row r="28" spans="1:11" ht="15.75">
      <c r="A28" s="28" t="str">
        <v xml:space="preserve"> Longmont - Bank of America</v>
      </c>
      <c r="B28" s="29" t="str">
        <v>CO</v>
      </c>
      <c r="C28" s="24"/>
      <c r="D28" s="13"/>
      <c r="E28" s="13" t="str">
        <f t="shared" si="4"/>
        <v/>
      </c>
      <c r="F28" s="14" t="str">
        <f t="shared" si="5"/>
        <v/>
      </c>
      <c r="G28" s="15"/>
      <c r="H28" s="15" t="str">
        <f t="shared" si="6"/>
        <v/>
      </c>
      <c r="I28" s="16" t="str">
        <f t="shared" si="7"/>
        <v/>
      </c>
      <c r="J28" s="41"/>
      <c r="K28" s="41"/>
    </row>
    <row r="29" spans="1:11" ht="15.75">
      <c r="A29" s="30" t="str">
        <v xml:space="preserve"> Thornton - Bank of America</v>
      </c>
      <c r="B29" s="31" t="str">
        <v>CO</v>
      </c>
      <c r="C29" s="11"/>
      <c r="D29" s="18"/>
      <c r="E29" s="18" t="str">
        <f t="shared" si="4"/>
        <v/>
      </c>
      <c r="F29" s="19" t="str">
        <f t="shared" si="5"/>
        <v/>
      </c>
      <c r="G29" s="20"/>
      <c r="H29" s="20" t="str">
        <f t="shared" si="6"/>
        <v/>
      </c>
      <c r="I29" s="19" t="str">
        <f t="shared" si="7"/>
        <v/>
      </c>
      <c r="J29" s="42"/>
      <c r="K29" s="43"/>
    </row>
    <row r="30" spans="1:11" ht="15.75">
      <c r="A30" s="28" t="str">
        <v xml:space="preserve"> Calumet City - Bank of America</v>
      </c>
      <c r="B30" s="29" t="str">
        <v>IL</v>
      </c>
      <c r="C30" s="24"/>
      <c r="D30" s="13"/>
      <c r="E30" s="13" t="str">
        <f t="shared" si="4"/>
        <v/>
      </c>
      <c r="F30" s="14" t="str">
        <f t="shared" si="5"/>
        <v/>
      </c>
      <c r="G30" s="15"/>
      <c r="H30" s="15" t="str">
        <f t="shared" si="6"/>
        <v/>
      </c>
      <c r="I30" s="16" t="str">
        <f t="shared" si="7"/>
        <v/>
      </c>
      <c r="J30" s="41"/>
      <c r="K30" s="41"/>
    </row>
    <row r="31" spans="1:11" ht="15.75">
      <c r="A31" s="30" t="str">
        <v xml:space="preserve"> Downers Grove - Bank of America</v>
      </c>
      <c r="B31" s="31" t="str">
        <v>IL</v>
      </c>
      <c r="C31" s="11"/>
      <c r="D31" s="18"/>
      <c r="E31" s="18" t="str">
        <f t="shared" si="4"/>
        <v/>
      </c>
      <c r="F31" s="19" t="str">
        <f t="shared" si="5"/>
        <v/>
      </c>
      <c r="G31" s="20"/>
      <c r="H31" s="20" t="str">
        <f t="shared" si="6"/>
        <v/>
      </c>
      <c r="I31" s="19" t="str">
        <f t="shared" si="7"/>
        <v/>
      </c>
      <c r="J31" s="42"/>
      <c r="K31" s="43"/>
    </row>
    <row r="32" spans="1:11" ht="15.75">
      <c r="A32" s="28" t="str">
        <v xml:space="preserve"> Bloomington - Bank of America</v>
      </c>
      <c r="B32" s="29" t="str">
        <v>MN</v>
      </c>
      <c r="C32" s="24"/>
      <c r="D32" s="13"/>
      <c r="E32" s="13" t="str">
        <f t="shared" si="4"/>
        <v/>
      </c>
      <c r="F32" s="14" t="str">
        <f t="shared" si="5"/>
        <v/>
      </c>
      <c r="G32" s="15"/>
      <c r="H32" s="15" t="str">
        <f t="shared" si="6"/>
        <v/>
      </c>
      <c r="I32" s="16" t="str">
        <f t="shared" si="7"/>
        <v/>
      </c>
      <c r="J32" s="41"/>
      <c r="K32" s="41"/>
    </row>
    <row r="33" spans="1:11" ht="15.75">
      <c r="A33" s="30" t="str">
        <v xml:space="preserve"> Clayton - Bank of America</v>
      </c>
      <c r="B33" s="31" t="str">
        <v>MO</v>
      </c>
      <c r="C33" s="11"/>
      <c r="D33" s="18"/>
      <c r="E33" s="18" t="str">
        <f t="shared" si="4"/>
        <v/>
      </c>
      <c r="F33" s="19" t="str">
        <f t="shared" si="5"/>
        <v/>
      </c>
      <c r="G33" s="20"/>
      <c r="H33" s="20" t="str">
        <f t="shared" si="6"/>
        <v/>
      </c>
      <c r="I33" s="19" t="str">
        <f t="shared" si="7"/>
        <v/>
      </c>
      <c r="J33" s="42"/>
      <c r="K33" s="43"/>
    </row>
    <row r="34" spans="1:11" ht="15.75">
      <c r="A34" s="28" t="str">
        <v xml:space="preserve"> Manchester - Bank of America</v>
      </c>
      <c r="B34" s="29" t="str">
        <v>MO</v>
      </c>
      <c r="C34" s="24"/>
      <c r="D34" s="13"/>
      <c r="E34" s="13" t="str">
        <f t="shared" si="4"/>
        <v/>
      </c>
      <c r="F34" s="14" t="str">
        <f t="shared" si="5"/>
        <v/>
      </c>
      <c r="G34" s="15"/>
      <c r="H34" s="15" t="str">
        <f t="shared" si="6"/>
        <v/>
      </c>
      <c r="I34" s="16" t="str">
        <f t="shared" si="7"/>
        <v/>
      </c>
      <c r="J34" s="41"/>
      <c r="K34" s="41"/>
    </row>
    <row r="35" spans="1:11" ht="15.75">
      <c r="A35" s="30" t="str">
        <v xml:space="preserve"> Las Vegas - BA - Eastern Ave</v>
      </c>
      <c r="B35" s="31" t="str">
        <v>NV</v>
      </c>
      <c r="C35" s="11"/>
      <c r="D35" s="18"/>
      <c r="E35" s="18" t="str">
        <f t="shared" si="4"/>
        <v/>
      </c>
      <c r="F35" s="19" t="str">
        <f t="shared" si="5"/>
        <v/>
      </c>
      <c r="G35" s="20"/>
      <c r="H35" s="20" t="str">
        <f t="shared" si="6"/>
        <v/>
      </c>
      <c r="I35" s="19" t="str">
        <f t="shared" si="7"/>
        <v/>
      </c>
      <c r="J35" s="42"/>
      <c r="K35" s="43"/>
    </row>
    <row r="36" spans="1:11" ht="15.75">
      <c r="A36" s="28" t="str">
        <v xml:space="preserve"> Las Vegas - BA - Town Ctr Dr</v>
      </c>
      <c r="B36" s="29" t="str">
        <v>NV</v>
      </c>
      <c r="C36" s="24"/>
      <c r="D36" s="13"/>
      <c r="E36" s="13" t="str">
        <f t="shared" si="4"/>
        <v/>
      </c>
      <c r="F36" s="14" t="str">
        <f t="shared" si="5"/>
        <v/>
      </c>
      <c r="G36" s="15"/>
      <c r="H36" s="15" t="str">
        <f t="shared" si="6"/>
        <v/>
      </c>
      <c r="I36" s="16" t="str">
        <f t="shared" si="7"/>
        <v/>
      </c>
      <c r="J36" s="41"/>
      <c r="K36" s="41"/>
    </row>
    <row r="37" spans="1:11" ht="15.75">
      <c r="A37" s="30" t="str">
        <v xml:space="preserve"> Riverton - Bank of America</v>
      </c>
      <c r="B37" s="31" t="str">
        <v>UT</v>
      </c>
      <c r="C37" s="11"/>
      <c r="D37" s="18"/>
      <c r="E37" s="18" t="str">
        <f t="shared" si="4"/>
        <v/>
      </c>
      <c r="F37" s="19" t="str">
        <f t="shared" si="5"/>
        <v/>
      </c>
      <c r="G37" s="20"/>
      <c r="H37" s="20" t="str">
        <f t="shared" si="6"/>
        <v/>
      </c>
      <c r="I37" s="19" t="str">
        <f t="shared" si="7"/>
        <v/>
      </c>
      <c r="J37" s="42"/>
      <c r="K37" s="43"/>
    </row>
    <row r="38" spans="1:11" ht="15.75">
      <c r="A38" s="28" t="str">
        <v xml:space="preserve"> Salt Lake City - Bank of America</v>
      </c>
      <c r="B38" s="29" t="str">
        <v>UT</v>
      </c>
      <c r="C38" s="24"/>
      <c r="D38" s="13"/>
      <c r="E38" s="13" t="str">
        <f t="shared" si="4"/>
        <v/>
      </c>
      <c r="F38" s="14" t="str">
        <f t="shared" si="5"/>
        <v/>
      </c>
      <c r="G38" s="15"/>
      <c r="H38" s="15" t="str">
        <f t="shared" si="6"/>
        <v/>
      </c>
      <c r="I38" s="16" t="str">
        <f t="shared" si="7"/>
        <v/>
      </c>
      <c r="J38" s="41"/>
      <c r="K38" s="41"/>
    </row>
    <row r="39" spans="1:11" ht="1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 F4:F15 I4:I15 I39:I100 F39:F100">
    <cfRule type="cellIs" dxfId="24" priority="3" stopIfTrue="1" operator="lessThanOrEqual">
      <formula>-0.1</formula>
    </cfRule>
    <cfRule type="expression" dxfId="23" priority="4">
      <formula>AND(ISNUMBER(F2), F2&gt;=0.1)</formula>
    </cfRule>
  </conditionalFormatting>
  <conditionalFormatting sqref="F16:F38 I16:I38">
    <cfRule type="cellIs" dxfId="22" priority="1" stopIfTrue="1" operator="lessThanOrEqual">
      <formula>-0.1</formula>
    </cfRule>
    <cfRule type="expression" dxfId="21" priority="2">
      <formula>AND(ISNUMBER(F16), F16&gt;=0.1)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42"/>
  <sheetViews>
    <sheetView workbookViewId="0">
      <pane xSplit="2" ySplit="3" topLeftCell="C4" activePane="bottomRight" state="frozen"/>
      <selection pane="bottomRight" activeCell="A16" sqref="A16:K38"/>
      <selection pane="bottomLeft"/>
      <selection pane="topRight"/>
    </sheetView>
  </sheetViews>
  <sheetFormatPr defaultRowHeight="14.2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7" t="str" cm="1">
        <f t="array" ref="A1">portfolio</f>
        <v>Cushman &amp; Wakefield</v>
      </c>
      <c r="B1" s="57"/>
      <c r="C1" s="57"/>
      <c r="D1" s="58" t="s">
        <v>36</v>
      </c>
      <c r="E1" s="58"/>
      <c r="F1" s="58"/>
      <c r="G1" s="56" t="s">
        <v>37</v>
      </c>
      <c r="H1" s="56"/>
      <c r="I1" s="56"/>
      <c r="J1" s="4"/>
      <c r="K1" s="4"/>
    </row>
    <row r="2" spans="1:11" ht="19.5" customHeight="1">
      <c r="A2" s="59" t="s">
        <v>2</v>
      </c>
      <c r="B2" s="59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  <c r="J2" s="26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38">Sites[Site]</f>
        <v xml:space="preserve"> Adelanto - Bank of America</v>
      </c>
      <c r="B4" s="29" t="str" cm="1">
        <f t="array" ref="B4:B38">Sites[State]</f>
        <v>CA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75">
      <c r="A5" s="30" t="str">
        <v xml:space="preserve"> Apple Valley - Bank of America</v>
      </c>
      <c r="B5" s="31" t="str">
        <v>CA</v>
      </c>
      <c r="C5" s="11"/>
      <c r="D5" s="18"/>
      <c r="E5" s="18" t="str">
        <f t="shared" ref="E5:E17" si="0">IF(AND(ISNUMBER(C5),ISNUMBER(D5)), C5-D5, "")</f>
        <v/>
      </c>
      <c r="F5" s="19" t="str">
        <f>IFERROR(E5/D5, "")</f>
        <v/>
      </c>
      <c r="G5" s="20"/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/>
      <c r="K5" s="42"/>
    </row>
    <row r="6" spans="1:11" ht="15.75">
      <c r="A6" s="28" t="str">
        <v xml:space="preserve"> Arvin - Bank of America</v>
      </c>
      <c r="B6" s="29" t="str">
        <v>CA</v>
      </c>
      <c r="C6" s="24"/>
      <c r="D6" s="13"/>
      <c r="E6" s="13" t="str">
        <f t="shared" si="0"/>
        <v/>
      </c>
      <c r="F6" s="14" t="str">
        <f t="shared" ref="F6:F17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5.75">
      <c r="A7" s="30" t="str">
        <v xml:space="preserve"> Bell - Bank of America</v>
      </c>
      <c r="B7" s="31" t="str">
        <v>CA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42"/>
      <c r="K7" s="43"/>
    </row>
    <row r="8" spans="1:11" ht="15.75">
      <c r="A8" s="28" t="str">
        <v xml:space="preserve"> Chula Vista - Bank of America</v>
      </c>
      <c r="B8" s="29" t="str">
        <v>CA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1"/>
      <c r="K8" s="41"/>
    </row>
    <row r="9" spans="1:11" ht="15.75">
      <c r="A9" s="30" t="str">
        <v xml:space="preserve"> Cupertino - Bank of America</v>
      </c>
      <c r="B9" s="31" t="str">
        <v>CA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42"/>
      <c r="K9" s="43"/>
    </row>
    <row r="10" spans="1:11" ht="15.75">
      <c r="A10" s="28" t="str">
        <v xml:space="preserve"> Diamond Bar - Bank of America</v>
      </c>
      <c r="B10" s="29" t="str">
        <v>CA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1"/>
      <c r="K10" s="41"/>
    </row>
    <row r="11" spans="1:11" ht="15.75">
      <c r="A11" s="30" t="str">
        <v xml:space="preserve"> El Centro - Bank of America</v>
      </c>
      <c r="B11" s="31" t="str">
        <v>CA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42"/>
      <c r="K11" s="43"/>
    </row>
    <row r="12" spans="1:11" ht="15.75">
      <c r="A12" s="28" t="str">
        <v xml:space="preserve"> Moreno Valley - Bank of America</v>
      </c>
      <c r="B12" s="29" t="str">
        <v>CA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1"/>
      <c r="K12" s="41"/>
    </row>
    <row r="13" spans="1:11" ht="15.75">
      <c r="A13" s="30" t="str">
        <v xml:space="preserve"> Redlands - Bank of America</v>
      </c>
      <c r="B13" s="31" t="str">
        <v>CA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42"/>
      <c r="K13" s="43"/>
    </row>
    <row r="14" spans="1:11" ht="15.75">
      <c r="A14" s="28" t="str">
        <v xml:space="preserve"> Roseville - Bank of America</v>
      </c>
      <c r="B14" s="29" t="str">
        <v>CA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1"/>
      <c r="K14" s="41"/>
    </row>
    <row r="15" spans="1:11" ht="15.75">
      <c r="A15" s="30" t="str">
        <v xml:space="preserve"> San Bernardino - Bank of America</v>
      </c>
      <c r="B15" s="31" t="str">
        <v>CA</v>
      </c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42"/>
      <c r="K15" s="43"/>
    </row>
    <row r="16" spans="1:11" ht="15.75">
      <c r="A16" s="28" t="str">
        <v xml:space="preserve"> San Diego - Bank of America</v>
      </c>
      <c r="B16" s="29" t="str">
        <v>CA</v>
      </c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41"/>
      <c r="K16" s="41"/>
    </row>
    <row r="17" spans="1:11" ht="15.75">
      <c r="A17" s="30" t="str">
        <v xml:space="preserve"> Stockton - Bank of America</v>
      </c>
      <c r="B17" s="31" t="str">
        <v>CA</v>
      </c>
      <c r="C17" s="11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J17" s="42"/>
      <c r="K17" s="43"/>
    </row>
    <row r="18" spans="1:11" ht="12.75" customHeight="1">
      <c r="A18" s="28" t="str">
        <v xml:space="preserve"> Victorville - Bank of America</v>
      </c>
      <c r="B18" s="29" t="str">
        <v>CA</v>
      </c>
      <c r="C18" s="24"/>
      <c r="D18" s="13"/>
      <c r="E18" s="13" t="str">
        <f t="shared" ref="E18:E38" si="4">IF(AND(ISNUMBER(C18),ISNUMBER(D18)), C18-D18, "")</f>
        <v/>
      </c>
      <c r="F18" s="14" t="str">
        <f t="shared" ref="F18:F38" si="5">IFERROR(E18/D18, "")</f>
        <v/>
      </c>
      <c r="G18" s="15"/>
      <c r="H18" s="15" t="str">
        <f t="shared" ref="H18:H38" si="6">IF(AND(ISNUMBER(C18),ISNUMBER(G18)), C18-G18, "")</f>
        <v/>
      </c>
      <c r="I18" s="16" t="str">
        <f t="shared" ref="I18:I38" si="7">IFERROR(H18/G18, "")</f>
        <v/>
      </c>
      <c r="J18" s="41"/>
      <c r="K18" s="41"/>
    </row>
    <row r="19" spans="1:11" ht="15.75">
      <c r="A19" s="30" t="str">
        <v xml:space="preserve"> Aurora - BA - Colfax Ave</v>
      </c>
      <c r="B19" s="31" t="str">
        <v>CO</v>
      </c>
      <c r="C19" s="11"/>
      <c r="D19" s="18"/>
      <c r="E19" s="18" t="str">
        <f t="shared" si="4"/>
        <v/>
      </c>
      <c r="F19" s="19" t="str">
        <f t="shared" si="5"/>
        <v/>
      </c>
      <c r="G19" s="20"/>
      <c r="H19" s="20" t="str">
        <f t="shared" si="6"/>
        <v/>
      </c>
      <c r="I19" s="19" t="str">
        <f t="shared" si="7"/>
        <v/>
      </c>
      <c r="J19" s="42"/>
      <c r="K19" s="43"/>
    </row>
    <row r="20" spans="1:11" ht="15.75">
      <c r="A20" s="28" t="str">
        <v xml:space="preserve"> Aurora - BA - Parker Rd</v>
      </c>
      <c r="B20" s="29" t="str">
        <v>CO</v>
      </c>
      <c r="C20" s="24"/>
      <c r="D20" s="13"/>
      <c r="E20" s="13" t="str">
        <f t="shared" si="4"/>
        <v/>
      </c>
      <c r="F20" s="14" t="str">
        <f t="shared" si="5"/>
        <v/>
      </c>
      <c r="G20" s="15"/>
      <c r="H20" s="15" t="str">
        <f t="shared" si="6"/>
        <v/>
      </c>
      <c r="I20" s="16" t="str">
        <f t="shared" si="7"/>
        <v/>
      </c>
      <c r="J20" s="41"/>
      <c r="K20" s="41"/>
    </row>
    <row r="21" spans="1:11" ht="15.75">
      <c r="A21" s="30" t="str">
        <v xml:space="preserve"> Broomfield - Bank of America</v>
      </c>
      <c r="B21" s="31" t="str">
        <v>CO</v>
      </c>
      <c r="C21" s="11"/>
      <c r="D21" s="18"/>
      <c r="E21" s="18" t="str">
        <f t="shared" si="4"/>
        <v/>
      </c>
      <c r="F21" s="19" t="str">
        <f t="shared" si="5"/>
        <v/>
      </c>
      <c r="G21" s="20"/>
      <c r="H21" s="20" t="str">
        <f t="shared" si="6"/>
        <v/>
      </c>
      <c r="I21" s="19" t="str">
        <f t="shared" si="7"/>
        <v/>
      </c>
      <c r="J21" s="42"/>
      <c r="K21" s="43"/>
    </row>
    <row r="22" spans="1:11" ht="15.75">
      <c r="A22" s="28" t="str">
        <v xml:space="preserve"> Colorado Springs - Bank of America</v>
      </c>
      <c r="B22" s="29" t="str">
        <v>CO</v>
      </c>
      <c r="C22" s="24"/>
      <c r="D22" s="13"/>
      <c r="E22" s="13" t="str">
        <f t="shared" si="4"/>
        <v/>
      </c>
      <c r="F22" s="14" t="str">
        <f t="shared" si="5"/>
        <v/>
      </c>
      <c r="G22" s="15"/>
      <c r="H22" s="15" t="str">
        <f t="shared" si="6"/>
        <v/>
      </c>
      <c r="I22" s="16" t="str">
        <f t="shared" si="7"/>
        <v/>
      </c>
      <c r="J22" s="41"/>
      <c r="K22" s="41"/>
    </row>
    <row r="23" spans="1:11" ht="15.75">
      <c r="A23" s="30" t="str">
        <v xml:space="preserve"> Denver - BA - 49th Ave</v>
      </c>
      <c r="B23" s="31" t="str">
        <v>CO</v>
      </c>
      <c r="C23" s="11"/>
      <c r="D23" s="18"/>
      <c r="E23" s="18" t="str">
        <f t="shared" si="4"/>
        <v/>
      </c>
      <c r="F23" s="19" t="str">
        <f t="shared" si="5"/>
        <v/>
      </c>
      <c r="G23" s="20"/>
      <c r="H23" s="20" t="str">
        <f t="shared" si="6"/>
        <v/>
      </c>
      <c r="I23" s="19" t="str">
        <f t="shared" si="7"/>
        <v/>
      </c>
      <c r="J23" s="42"/>
      <c r="K23" s="43"/>
    </row>
    <row r="24" spans="1:11" ht="15.75">
      <c r="A24" s="28" t="str">
        <v xml:space="preserve"> Denver - BA Wadsworth Blvd</v>
      </c>
      <c r="B24" s="29" t="str">
        <v>CO</v>
      </c>
      <c r="C24" s="24"/>
      <c r="D24" s="13"/>
      <c r="E24" s="13" t="str">
        <f t="shared" si="4"/>
        <v/>
      </c>
      <c r="F24" s="14" t="str">
        <f t="shared" si="5"/>
        <v/>
      </c>
      <c r="G24" s="15"/>
      <c r="H24" s="15" t="str">
        <f t="shared" si="6"/>
        <v/>
      </c>
      <c r="I24" s="16" t="str">
        <f t="shared" si="7"/>
        <v/>
      </c>
      <c r="J24" s="41"/>
      <c r="K24" s="41"/>
    </row>
    <row r="25" spans="1:11" ht="15.75">
      <c r="A25" s="30" t="str">
        <v xml:space="preserve"> Fort Collins - Bank of America</v>
      </c>
      <c r="B25" s="31" t="str">
        <v>CO</v>
      </c>
      <c r="C25" s="11"/>
      <c r="D25" s="18"/>
      <c r="E25" s="18" t="str">
        <f t="shared" si="4"/>
        <v/>
      </c>
      <c r="F25" s="19" t="str">
        <f t="shared" si="5"/>
        <v/>
      </c>
      <c r="G25" s="20"/>
      <c r="H25" s="20" t="str">
        <f t="shared" si="6"/>
        <v/>
      </c>
      <c r="I25" s="19" t="str">
        <f t="shared" si="7"/>
        <v/>
      </c>
      <c r="J25" s="42"/>
      <c r="K25" s="43"/>
    </row>
    <row r="26" spans="1:11" ht="15.75">
      <c r="A26" s="28" t="str">
        <v xml:space="preserve"> Lafayette - Bank of America</v>
      </c>
      <c r="B26" s="29" t="str">
        <v>CO</v>
      </c>
      <c r="C26" s="24"/>
      <c r="D26" s="13"/>
      <c r="E26" s="13" t="str">
        <f t="shared" si="4"/>
        <v/>
      </c>
      <c r="F26" s="14" t="str">
        <f t="shared" si="5"/>
        <v/>
      </c>
      <c r="G26" s="15"/>
      <c r="H26" s="15" t="str">
        <f t="shared" si="6"/>
        <v/>
      </c>
      <c r="I26" s="16" t="str">
        <f t="shared" si="7"/>
        <v/>
      </c>
      <c r="J26" s="41"/>
      <c r="K26" s="41"/>
    </row>
    <row r="27" spans="1:11" ht="15.75">
      <c r="A27" s="30" t="str">
        <v xml:space="preserve"> Lakewood - Bank of America</v>
      </c>
      <c r="B27" s="31" t="str">
        <v>CO</v>
      </c>
      <c r="C27" s="11"/>
      <c r="D27" s="18"/>
      <c r="E27" s="18" t="str">
        <f t="shared" si="4"/>
        <v/>
      </c>
      <c r="F27" s="19" t="str">
        <f t="shared" si="5"/>
        <v/>
      </c>
      <c r="G27" s="20"/>
      <c r="H27" s="20" t="str">
        <f t="shared" si="6"/>
        <v/>
      </c>
      <c r="I27" s="19" t="str">
        <f t="shared" si="7"/>
        <v/>
      </c>
      <c r="J27" s="42"/>
      <c r="K27" s="43"/>
    </row>
    <row r="28" spans="1:11" ht="15.75">
      <c r="A28" s="28" t="str">
        <v xml:space="preserve"> Longmont - Bank of America</v>
      </c>
      <c r="B28" s="29" t="str">
        <v>CO</v>
      </c>
      <c r="C28" s="24"/>
      <c r="D28" s="13"/>
      <c r="E28" s="13" t="str">
        <f t="shared" si="4"/>
        <v/>
      </c>
      <c r="F28" s="14" t="str">
        <f t="shared" si="5"/>
        <v/>
      </c>
      <c r="G28" s="15"/>
      <c r="H28" s="15" t="str">
        <f t="shared" si="6"/>
        <v/>
      </c>
      <c r="I28" s="16" t="str">
        <f t="shared" si="7"/>
        <v/>
      </c>
      <c r="J28" s="41"/>
      <c r="K28" s="41"/>
    </row>
    <row r="29" spans="1:11" ht="15.75">
      <c r="A29" s="30" t="str">
        <v xml:space="preserve"> Thornton - Bank of America</v>
      </c>
      <c r="B29" s="31" t="str">
        <v>CO</v>
      </c>
      <c r="C29" s="11"/>
      <c r="D29" s="18"/>
      <c r="E29" s="18" t="str">
        <f t="shared" si="4"/>
        <v/>
      </c>
      <c r="F29" s="19" t="str">
        <f t="shared" si="5"/>
        <v/>
      </c>
      <c r="G29" s="20"/>
      <c r="H29" s="20" t="str">
        <f t="shared" si="6"/>
        <v/>
      </c>
      <c r="I29" s="19" t="str">
        <f t="shared" si="7"/>
        <v/>
      </c>
      <c r="J29" s="42"/>
      <c r="K29" s="43"/>
    </row>
    <row r="30" spans="1:11" ht="15.75">
      <c r="A30" s="28" t="str">
        <v xml:space="preserve"> Calumet City - Bank of America</v>
      </c>
      <c r="B30" s="29" t="str">
        <v>IL</v>
      </c>
      <c r="C30" s="24"/>
      <c r="D30" s="13"/>
      <c r="E30" s="13" t="str">
        <f t="shared" si="4"/>
        <v/>
      </c>
      <c r="F30" s="14" t="str">
        <f t="shared" si="5"/>
        <v/>
      </c>
      <c r="G30" s="15"/>
      <c r="H30" s="15" t="str">
        <f t="shared" si="6"/>
        <v/>
      </c>
      <c r="I30" s="16" t="str">
        <f t="shared" si="7"/>
        <v/>
      </c>
      <c r="J30" s="41"/>
      <c r="K30" s="41"/>
    </row>
    <row r="31" spans="1:11" ht="15.75">
      <c r="A31" s="30" t="str">
        <v xml:space="preserve"> Downers Grove - Bank of America</v>
      </c>
      <c r="B31" s="31" t="str">
        <v>IL</v>
      </c>
      <c r="C31" s="11"/>
      <c r="D31" s="18"/>
      <c r="E31" s="18" t="str">
        <f t="shared" si="4"/>
        <v/>
      </c>
      <c r="F31" s="19" t="str">
        <f t="shared" si="5"/>
        <v/>
      </c>
      <c r="G31" s="20"/>
      <c r="H31" s="20" t="str">
        <f t="shared" si="6"/>
        <v/>
      </c>
      <c r="I31" s="19" t="str">
        <f t="shared" si="7"/>
        <v/>
      </c>
      <c r="J31" s="42"/>
      <c r="K31" s="43"/>
    </row>
    <row r="32" spans="1:11" ht="15.75">
      <c r="A32" s="28" t="str">
        <v xml:space="preserve"> Bloomington - Bank of America</v>
      </c>
      <c r="B32" s="29" t="str">
        <v>MN</v>
      </c>
      <c r="C32" s="24"/>
      <c r="D32" s="13"/>
      <c r="E32" s="13" t="str">
        <f t="shared" si="4"/>
        <v/>
      </c>
      <c r="F32" s="14" t="str">
        <f t="shared" si="5"/>
        <v/>
      </c>
      <c r="G32" s="15"/>
      <c r="H32" s="15" t="str">
        <f t="shared" si="6"/>
        <v/>
      </c>
      <c r="I32" s="16" t="str">
        <f t="shared" si="7"/>
        <v/>
      </c>
      <c r="J32" s="41"/>
      <c r="K32" s="41"/>
    </row>
    <row r="33" spans="1:11" ht="15.75">
      <c r="A33" s="30" t="str">
        <v xml:space="preserve"> Clayton - Bank of America</v>
      </c>
      <c r="B33" s="31" t="str">
        <v>MO</v>
      </c>
      <c r="C33" s="11"/>
      <c r="D33" s="18"/>
      <c r="E33" s="18" t="str">
        <f t="shared" si="4"/>
        <v/>
      </c>
      <c r="F33" s="19" t="str">
        <f t="shared" si="5"/>
        <v/>
      </c>
      <c r="G33" s="20"/>
      <c r="H33" s="20" t="str">
        <f t="shared" si="6"/>
        <v/>
      </c>
      <c r="I33" s="19" t="str">
        <f t="shared" si="7"/>
        <v/>
      </c>
      <c r="J33" s="42"/>
      <c r="K33" s="43"/>
    </row>
    <row r="34" spans="1:11" ht="15.75">
      <c r="A34" s="28" t="str">
        <v xml:space="preserve"> Manchester - Bank of America</v>
      </c>
      <c r="B34" s="29" t="str">
        <v>MO</v>
      </c>
      <c r="C34" s="24"/>
      <c r="D34" s="13"/>
      <c r="E34" s="13" t="str">
        <f t="shared" si="4"/>
        <v/>
      </c>
      <c r="F34" s="14" t="str">
        <f t="shared" si="5"/>
        <v/>
      </c>
      <c r="G34" s="15"/>
      <c r="H34" s="15" t="str">
        <f t="shared" si="6"/>
        <v/>
      </c>
      <c r="I34" s="16" t="str">
        <f t="shared" si="7"/>
        <v/>
      </c>
      <c r="J34" s="41"/>
      <c r="K34" s="41"/>
    </row>
    <row r="35" spans="1:11" ht="15.75">
      <c r="A35" s="30" t="str">
        <v xml:space="preserve"> Las Vegas - BA - Eastern Ave</v>
      </c>
      <c r="B35" s="31" t="str">
        <v>NV</v>
      </c>
      <c r="C35" s="11"/>
      <c r="D35" s="18"/>
      <c r="E35" s="18" t="str">
        <f t="shared" si="4"/>
        <v/>
      </c>
      <c r="F35" s="19" t="str">
        <f t="shared" si="5"/>
        <v/>
      </c>
      <c r="G35" s="20"/>
      <c r="H35" s="20" t="str">
        <f t="shared" si="6"/>
        <v/>
      </c>
      <c r="I35" s="19" t="str">
        <f t="shared" si="7"/>
        <v/>
      </c>
      <c r="J35" s="42"/>
      <c r="K35" s="43"/>
    </row>
    <row r="36" spans="1:11" ht="15.75">
      <c r="A36" s="28" t="str">
        <v xml:space="preserve"> Las Vegas - BA - Town Ctr Dr</v>
      </c>
      <c r="B36" s="29" t="str">
        <v>NV</v>
      </c>
      <c r="C36" s="24"/>
      <c r="D36" s="13"/>
      <c r="E36" s="13" t="str">
        <f t="shared" si="4"/>
        <v/>
      </c>
      <c r="F36" s="14" t="str">
        <f t="shared" si="5"/>
        <v/>
      </c>
      <c r="G36" s="15"/>
      <c r="H36" s="15" t="str">
        <f t="shared" si="6"/>
        <v/>
      </c>
      <c r="I36" s="16" t="str">
        <f t="shared" si="7"/>
        <v/>
      </c>
      <c r="J36" s="41"/>
      <c r="K36" s="41"/>
    </row>
    <row r="37" spans="1:11" ht="15.75">
      <c r="A37" s="30" t="str">
        <v xml:space="preserve"> Riverton - Bank of America</v>
      </c>
      <c r="B37" s="31" t="str">
        <v>UT</v>
      </c>
      <c r="C37" s="11"/>
      <c r="D37" s="18"/>
      <c r="E37" s="18" t="str">
        <f t="shared" si="4"/>
        <v/>
      </c>
      <c r="F37" s="19" t="str">
        <f t="shared" si="5"/>
        <v/>
      </c>
      <c r="G37" s="20"/>
      <c r="H37" s="20" t="str">
        <f t="shared" si="6"/>
        <v/>
      </c>
      <c r="I37" s="19" t="str">
        <f t="shared" si="7"/>
        <v/>
      </c>
      <c r="J37" s="42"/>
      <c r="K37" s="43"/>
    </row>
    <row r="38" spans="1:11" ht="15.75">
      <c r="A38" s="28" t="str">
        <v xml:space="preserve"> Salt Lake City - Bank of America</v>
      </c>
      <c r="B38" s="29" t="str">
        <v>UT</v>
      </c>
      <c r="C38" s="24"/>
      <c r="D38" s="13"/>
      <c r="E38" s="13" t="str">
        <f t="shared" si="4"/>
        <v/>
      </c>
      <c r="F38" s="14" t="str">
        <f t="shared" si="5"/>
        <v/>
      </c>
      <c r="G38" s="15"/>
      <c r="H38" s="15" t="str">
        <f t="shared" si="6"/>
        <v/>
      </c>
      <c r="I38" s="16" t="str">
        <f t="shared" si="7"/>
        <v/>
      </c>
      <c r="J38" s="41"/>
      <c r="K38" s="41"/>
    </row>
    <row r="39" spans="1:11" ht="1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 F4:F15 I4:I15 I39:I100 F39:F100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conditionalFormatting sqref="F16:F38 I16:I38">
    <cfRule type="cellIs" dxfId="18" priority="1" stopIfTrue="1" operator="lessThanOrEqual">
      <formula>-0.1</formula>
    </cfRule>
    <cfRule type="expression" dxfId="17" priority="2">
      <formula>AND(ISNUMBER(F16), F16&gt;=0.1)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42"/>
  <sheetViews>
    <sheetView workbookViewId="0">
      <pane xSplit="2" ySplit="3" topLeftCell="C4" activePane="bottomRight" state="frozen"/>
      <selection pane="bottomRight" activeCell="A16" sqref="A16:K38"/>
      <selection pane="bottomLeft"/>
      <selection pane="topRight"/>
    </sheetView>
  </sheetViews>
  <sheetFormatPr defaultRowHeight="14.2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7" t="str" cm="1">
        <f t="array" ref="A1">portfolio</f>
        <v>Cushman &amp; Wakefield</v>
      </c>
      <c r="B1" s="57"/>
      <c r="C1" s="57"/>
      <c r="D1" s="58" t="s">
        <v>38</v>
      </c>
      <c r="E1" s="58"/>
      <c r="F1" s="58"/>
      <c r="G1" s="56" t="s">
        <v>39</v>
      </c>
      <c r="H1" s="56"/>
      <c r="I1" s="56"/>
      <c r="J1" s="4"/>
      <c r="K1" s="4"/>
    </row>
    <row r="2" spans="1:11" ht="19.5" customHeight="1">
      <c r="A2" s="59" t="s">
        <v>2</v>
      </c>
      <c r="B2" s="59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  <c r="J2" s="26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38">Sites[Site]</f>
        <v xml:space="preserve"> Adelanto - Bank of America</v>
      </c>
      <c r="B4" s="29" t="str" cm="1">
        <f t="array" ref="B4:B38">Sites[State]</f>
        <v>CA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75">
      <c r="A5" s="30" t="str">
        <v xml:space="preserve"> Apple Valley - Bank of America</v>
      </c>
      <c r="B5" s="31" t="str">
        <v>CA</v>
      </c>
      <c r="C5" s="11"/>
      <c r="D5" s="18"/>
      <c r="E5" s="18" t="str">
        <f t="shared" ref="E5:E17" si="0">IF(AND(ISNUMBER(C5),ISNUMBER(D5)), C5-D5, "")</f>
        <v/>
      </c>
      <c r="F5" s="19" t="str">
        <f>IFERROR(E5/D5, "")</f>
        <v/>
      </c>
      <c r="G5" s="20"/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/>
      <c r="K5" s="42"/>
    </row>
    <row r="6" spans="1:11" ht="15.75">
      <c r="A6" s="28" t="str">
        <v xml:space="preserve"> Arvin - Bank of America</v>
      </c>
      <c r="B6" s="29" t="str">
        <v>CA</v>
      </c>
      <c r="C6" s="24"/>
      <c r="D6" s="13"/>
      <c r="E6" s="13" t="str">
        <f t="shared" si="0"/>
        <v/>
      </c>
      <c r="F6" s="14" t="str">
        <f t="shared" ref="F6:F17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5.75">
      <c r="A7" s="30" t="str">
        <v xml:space="preserve"> Bell - Bank of America</v>
      </c>
      <c r="B7" s="31" t="str">
        <v>CA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42"/>
      <c r="K7" s="43"/>
    </row>
    <row r="8" spans="1:11" ht="15.75">
      <c r="A8" s="28" t="str">
        <v xml:space="preserve"> Chula Vista - Bank of America</v>
      </c>
      <c r="B8" s="29" t="str">
        <v>CA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1"/>
      <c r="K8" s="41"/>
    </row>
    <row r="9" spans="1:11" ht="15.75">
      <c r="A9" s="30" t="str">
        <v xml:space="preserve"> Cupertino - Bank of America</v>
      </c>
      <c r="B9" s="31" t="str">
        <v>CA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42"/>
      <c r="K9" s="43"/>
    </row>
    <row r="10" spans="1:11" ht="15.75">
      <c r="A10" s="28" t="str">
        <v xml:space="preserve"> Diamond Bar - Bank of America</v>
      </c>
      <c r="B10" s="29" t="str">
        <v>CA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1"/>
      <c r="K10" s="41"/>
    </row>
    <row r="11" spans="1:11" ht="15.75">
      <c r="A11" s="30" t="str">
        <v xml:space="preserve"> El Centro - Bank of America</v>
      </c>
      <c r="B11" s="31" t="str">
        <v>CA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42"/>
      <c r="K11" s="43"/>
    </row>
    <row r="12" spans="1:11" ht="15.75">
      <c r="A12" s="28" t="str">
        <v xml:space="preserve"> Moreno Valley - Bank of America</v>
      </c>
      <c r="B12" s="29" t="str">
        <v>CA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1"/>
      <c r="K12" s="41"/>
    </row>
    <row r="13" spans="1:11" ht="15.75">
      <c r="A13" s="30" t="str">
        <v xml:space="preserve"> Redlands - Bank of America</v>
      </c>
      <c r="B13" s="31" t="str">
        <v>CA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42"/>
      <c r="K13" s="43"/>
    </row>
    <row r="14" spans="1:11" ht="15.75">
      <c r="A14" s="28" t="str">
        <v xml:space="preserve"> Roseville - Bank of America</v>
      </c>
      <c r="B14" s="29" t="str">
        <v>CA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1"/>
      <c r="K14" s="41"/>
    </row>
    <row r="15" spans="1:11" ht="15.75">
      <c r="A15" s="30" t="str">
        <v xml:space="preserve"> San Bernardino - Bank of America</v>
      </c>
      <c r="B15" s="31" t="str">
        <v>CA</v>
      </c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42"/>
      <c r="K15" s="43"/>
    </row>
    <row r="16" spans="1:11" ht="15.75">
      <c r="A16" s="28" t="str">
        <v xml:space="preserve"> San Diego - Bank of America</v>
      </c>
      <c r="B16" s="29" t="str">
        <v>CA</v>
      </c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41"/>
      <c r="K16" s="41"/>
    </row>
    <row r="17" spans="1:11" ht="15.75">
      <c r="A17" s="30" t="str">
        <v xml:space="preserve"> Stockton - Bank of America</v>
      </c>
      <c r="B17" s="31" t="str">
        <v>CA</v>
      </c>
      <c r="C17" s="11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J17" s="42"/>
      <c r="K17" s="43"/>
    </row>
    <row r="18" spans="1:11" ht="12.75" customHeight="1">
      <c r="A18" s="28" t="str">
        <v xml:space="preserve"> Victorville - Bank of America</v>
      </c>
      <c r="B18" s="29" t="str">
        <v>CA</v>
      </c>
      <c r="C18" s="24"/>
      <c r="D18" s="13"/>
      <c r="E18" s="13" t="str">
        <f t="shared" ref="E18:E38" si="4">IF(AND(ISNUMBER(C18),ISNUMBER(D18)), C18-D18, "")</f>
        <v/>
      </c>
      <c r="F18" s="14" t="str">
        <f t="shared" ref="F18:F38" si="5">IFERROR(E18/D18, "")</f>
        <v/>
      </c>
      <c r="G18" s="15"/>
      <c r="H18" s="15" t="str">
        <f t="shared" ref="H18:H38" si="6">IF(AND(ISNUMBER(C18),ISNUMBER(G18)), C18-G18, "")</f>
        <v/>
      </c>
      <c r="I18" s="16" t="str">
        <f t="shared" ref="I18:I38" si="7">IFERROR(H18/G18, "")</f>
        <v/>
      </c>
      <c r="J18" s="41"/>
      <c r="K18" s="41"/>
    </row>
    <row r="19" spans="1:11" ht="15.75">
      <c r="A19" s="30" t="str">
        <v xml:space="preserve"> Aurora - BA - Colfax Ave</v>
      </c>
      <c r="B19" s="31" t="str">
        <v>CO</v>
      </c>
      <c r="C19" s="11"/>
      <c r="D19" s="18"/>
      <c r="E19" s="18" t="str">
        <f t="shared" si="4"/>
        <v/>
      </c>
      <c r="F19" s="19" t="str">
        <f t="shared" si="5"/>
        <v/>
      </c>
      <c r="G19" s="20"/>
      <c r="H19" s="20" t="str">
        <f t="shared" si="6"/>
        <v/>
      </c>
      <c r="I19" s="19" t="str">
        <f t="shared" si="7"/>
        <v/>
      </c>
      <c r="J19" s="42"/>
      <c r="K19" s="43"/>
    </row>
    <row r="20" spans="1:11" ht="15.75">
      <c r="A20" s="28" t="str">
        <v xml:space="preserve"> Aurora - BA - Parker Rd</v>
      </c>
      <c r="B20" s="29" t="str">
        <v>CO</v>
      </c>
      <c r="C20" s="24"/>
      <c r="D20" s="13"/>
      <c r="E20" s="13" t="str">
        <f t="shared" si="4"/>
        <v/>
      </c>
      <c r="F20" s="14" t="str">
        <f t="shared" si="5"/>
        <v/>
      </c>
      <c r="G20" s="15"/>
      <c r="H20" s="15" t="str">
        <f t="shared" si="6"/>
        <v/>
      </c>
      <c r="I20" s="16" t="str">
        <f t="shared" si="7"/>
        <v/>
      </c>
      <c r="J20" s="41"/>
      <c r="K20" s="41"/>
    </row>
    <row r="21" spans="1:11" ht="15.75">
      <c r="A21" s="30" t="str">
        <v xml:space="preserve"> Broomfield - Bank of America</v>
      </c>
      <c r="B21" s="31" t="str">
        <v>CO</v>
      </c>
      <c r="C21" s="11"/>
      <c r="D21" s="18"/>
      <c r="E21" s="18" t="str">
        <f t="shared" si="4"/>
        <v/>
      </c>
      <c r="F21" s="19" t="str">
        <f t="shared" si="5"/>
        <v/>
      </c>
      <c r="G21" s="20"/>
      <c r="H21" s="20" t="str">
        <f t="shared" si="6"/>
        <v/>
      </c>
      <c r="I21" s="19" t="str">
        <f t="shared" si="7"/>
        <v/>
      </c>
      <c r="J21" s="42"/>
      <c r="K21" s="43"/>
    </row>
    <row r="22" spans="1:11" ht="15.75">
      <c r="A22" s="28" t="str">
        <v xml:space="preserve"> Colorado Springs - Bank of America</v>
      </c>
      <c r="B22" s="29" t="str">
        <v>CO</v>
      </c>
      <c r="C22" s="24"/>
      <c r="D22" s="13"/>
      <c r="E22" s="13" t="str">
        <f t="shared" si="4"/>
        <v/>
      </c>
      <c r="F22" s="14" t="str">
        <f t="shared" si="5"/>
        <v/>
      </c>
      <c r="G22" s="15"/>
      <c r="H22" s="15" t="str">
        <f t="shared" si="6"/>
        <v/>
      </c>
      <c r="I22" s="16" t="str">
        <f t="shared" si="7"/>
        <v/>
      </c>
      <c r="J22" s="41"/>
      <c r="K22" s="41"/>
    </row>
    <row r="23" spans="1:11" ht="15.75">
      <c r="A23" s="30" t="str">
        <v xml:space="preserve"> Denver - BA - 49th Ave</v>
      </c>
      <c r="B23" s="31" t="str">
        <v>CO</v>
      </c>
      <c r="C23" s="11"/>
      <c r="D23" s="18"/>
      <c r="E23" s="18" t="str">
        <f t="shared" si="4"/>
        <v/>
      </c>
      <c r="F23" s="19" t="str">
        <f t="shared" si="5"/>
        <v/>
      </c>
      <c r="G23" s="20"/>
      <c r="H23" s="20" t="str">
        <f t="shared" si="6"/>
        <v/>
      </c>
      <c r="I23" s="19" t="str">
        <f t="shared" si="7"/>
        <v/>
      </c>
      <c r="J23" s="42"/>
      <c r="K23" s="43"/>
    </row>
    <row r="24" spans="1:11" ht="15.75">
      <c r="A24" s="28" t="str">
        <v xml:space="preserve"> Denver - BA Wadsworth Blvd</v>
      </c>
      <c r="B24" s="29" t="str">
        <v>CO</v>
      </c>
      <c r="C24" s="24"/>
      <c r="D24" s="13"/>
      <c r="E24" s="13" t="str">
        <f t="shared" si="4"/>
        <v/>
      </c>
      <c r="F24" s="14" t="str">
        <f t="shared" si="5"/>
        <v/>
      </c>
      <c r="G24" s="15"/>
      <c r="H24" s="15" t="str">
        <f t="shared" si="6"/>
        <v/>
      </c>
      <c r="I24" s="16" t="str">
        <f t="shared" si="7"/>
        <v/>
      </c>
      <c r="J24" s="41"/>
      <c r="K24" s="41"/>
    </row>
    <row r="25" spans="1:11" ht="15.75">
      <c r="A25" s="30" t="str">
        <v xml:space="preserve"> Fort Collins - Bank of America</v>
      </c>
      <c r="B25" s="31" t="str">
        <v>CO</v>
      </c>
      <c r="C25" s="11"/>
      <c r="D25" s="18"/>
      <c r="E25" s="18" t="str">
        <f t="shared" si="4"/>
        <v/>
      </c>
      <c r="F25" s="19" t="str">
        <f t="shared" si="5"/>
        <v/>
      </c>
      <c r="G25" s="20"/>
      <c r="H25" s="20" t="str">
        <f t="shared" si="6"/>
        <v/>
      </c>
      <c r="I25" s="19" t="str">
        <f t="shared" si="7"/>
        <v/>
      </c>
      <c r="J25" s="42"/>
      <c r="K25" s="43"/>
    </row>
    <row r="26" spans="1:11" ht="15.75">
      <c r="A26" s="28" t="str">
        <v xml:space="preserve"> Lafayette - Bank of America</v>
      </c>
      <c r="B26" s="29" t="str">
        <v>CO</v>
      </c>
      <c r="C26" s="24"/>
      <c r="D26" s="13"/>
      <c r="E26" s="13" t="str">
        <f t="shared" si="4"/>
        <v/>
      </c>
      <c r="F26" s="14" t="str">
        <f t="shared" si="5"/>
        <v/>
      </c>
      <c r="G26" s="15"/>
      <c r="H26" s="15" t="str">
        <f t="shared" si="6"/>
        <v/>
      </c>
      <c r="I26" s="16" t="str">
        <f t="shared" si="7"/>
        <v/>
      </c>
      <c r="J26" s="41"/>
      <c r="K26" s="41"/>
    </row>
    <row r="27" spans="1:11" ht="15.75">
      <c r="A27" s="30" t="str">
        <v xml:space="preserve"> Lakewood - Bank of America</v>
      </c>
      <c r="B27" s="31" t="str">
        <v>CO</v>
      </c>
      <c r="C27" s="11"/>
      <c r="D27" s="18"/>
      <c r="E27" s="18" t="str">
        <f t="shared" si="4"/>
        <v/>
      </c>
      <c r="F27" s="19" t="str">
        <f t="shared" si="5"/>
        <v/>
      </c>
      <c r="G27" s="20"/>
      <c r="H27" s="20" t="str">
        <f t="shared" si="6"/>
        <v/>
      </c>
      <c r="I27" s="19" t="str">
        <f t="shared" si="7"/>
        <v/>
      </c>
      <c r="J27" s="42"/>
      <c r="K27" s="43"/>
    </row>
    <row r="28" spans="1:11" ht="15.75">
      <c r="A28" s="28" t="str">
        <v xml:space="preserve"> Longmont - Bank of America</v>
      </c>
      <c r="B28" s="29" t="str">
        <v>CO</v>
      </c>
      <c r="C28" s="24"/>
      <c r="D28" s="13"/>
      <c r="E28" s="13" t="str">
        <f t="shared" si="4"/>
        <v/>
      </c>
      <c r="F28" s="14" t="str">
        <f t="shared" si="5"/>
        <v/>
      </c>
      <c r="G28" s="15"/>
      <c r="H28" s="15" t="str">
        <f t="shared" si="6"/>
        <v/>
      </c>
      <c r="I28" s="16" t="str">
        <f t="shared" si="7"/>
        <v/>
      </c>
      <c r="J28" s="41"/>
      <c r="K28" s="41"/>
    </row>
    <row r="29" spans="1:11" ht="15.75">
      <c r="A29" s="30" t="str">
        <v xml:space="preserve"> Thornton - Bank of America</v>
      </c>
      <c r="B29" s="31" t="str">
        <v>CO</v>
      </c>
      <c r="C29" s="11"/>
      <c r="D29" s="18"/>
      <c r="E29" s="18" t="str">
        <f t="shared" si="4"/>
        <v/>
      </c>
      <c r="F29" s="19" t="str">
        <f t="shared" si="5"/>
        <v/>
      </c>
      <c r="G29" s="20"/>
      <c r="H29" s="20" t="str">
        <f t="shared" si="6"/>
        <v/>
      </c>
      <c r="I29" s="19" t="str">
        <f t="shared" si="7"/>
        <v/>
      </c>
      <c r="J29" s="42"/>
      <c r="K29" s="43"/>
    </row>
    <row r="30" spans="1:11" ht="15.75">
      <c r="A30" s="28" t="str">
        <v xml:space="preserve"> Calumet City - Bank of America</v>
      </c>
      <c r="B30" s="29" t="str">
        <v>IL</v>
      </c>
      <c r="C30" s="24"/>
      <c r="D30" s="13"/>
      <c r="E30" s="13" t="str">
        <f t="shared" si="4"/>
        <v/>
      </c>
      <c r="F30" s="14" t="str">
        <f t="shared" si="5"/>
        <v/>
      </c>
      <c r="G30" s="15"/>
      <c r="H30" s="15" t="str">
        <f t="shared" si="6"/>
        <v/>
      </c>
      <c r="I30" s="16" t="str">
        <f t="shared" si="7"/>
        <v/>
      </c>
      <c r="J30" s="41"/>
      <c r="K30" s="41"/>
    </row>
    <row r="31" spans="1:11" ht="15.75">
      <c r="A31" s="30" t="str">
        <v xml:space="preserve"> Downers Grove - Bank of America</v>
      </c>
      <c r="B31" s="31" t="str">
        <v>IL</v>
      </c>
      <c r="C31" s="11"/>
      <c r="D31" s="18"/>
      <c r="E31" s="18" t="str">
        <f t="shared" si="4"/>
        <v/>
      </c>
      <c r="F31" s="19" t="str">
        <f t="shared" si="5"/>
        <v/>
      </c>
      <c r="G31" s="20"/>
      <c r="H31" s="20" t="str">
        <f t="shared" si="6"/>
        <v/>
      </c>
      <c r="I31" s="19" t="str">
        <f t="shared" si="7"/>
        <v/>
      </c>
      <c r="J31" s="42"/>
      <c r="K31" s="43"/>
    </row>
    <row r="32" spans="1:11" ht="15.75">
      <c r="A32" s="28" t="str">
        <v xml:space="preserve"> Bloomington - Bank of America</v>
      </c>
      <c r="B32" s="29" t="str">
        <v>MN</v>
      </c>
      <c r="C32" s="24"/>
      <c r="D32" s="13"/>
      <c r="E32" s="13" t="str">
        <f t="shared" si="4"/>
        <v/>
      </c>
      <c r="F32" s="14" t="str">
        <f t="shared" si="5"/>
        <v/>
      </c>
      <c r="G32" s="15"/>
      <c r="H32" s="15" t="str">
        <f t="shared" si="6"/>
        <v/>
      </c>
      <c r="I32" s="16" t="str">
        <f t="shared" si="7"/>
        <v/>
      </c>
      <c r="J32" s="41"/>
      <c r="K32" s="41"/>
    </row>
    <row r="33" spans="1:11" ht="15.75">
      <c r="A33" s="30" t="str">
        <v xml:space="preserve"> Clayton - Bank of America</v>
      </c>
      <c r="B33" s="31" t="str">
        <v>MO</v>
      </c>
      <c r="C33" s="11"/>
      <c r="D33" s="18"/>
      <c r="E33" s="18" t="str">
        <f t="shared" si="4"/>
        <v/>
      </c>
      <c r="F33" s="19" t="str">
        <f t="shared" si="5"/>
        <v/>
      </c>
      <c r="G33" s="20"/>
      <c r="H33" s="20" t="str">
        <f t="shared" si="6"/>
        <v/>
      </c>
      <c r="I33" s="19" t="str">
        <f t="shared" si="7"/>
        <v/>
      </c>
      <c r="J33" s="42"/>
      <c r="K33" s="43"/>
    </row>
    <row r="34" spans="1:11" ht="15.75">
      <c r="A34" s="28" t="str">
        <v xml:space="preserve"> Manchester - Bank of America</v>
      </c>
      <c r="B34" s="29" t="str">
        <v>MO</v>
      </c>
      <c r="C34" s="24"/>
      <c r="D34" s="13"/>
      <c r="E34" s="13" t="str">
        <f t="shared" si="4"/>
        <v/>
      </c>
      <c r="F34" s="14" t="str">
        <f t="shared" si="5"/>
        <v/>
      </c>
      <c r="G34" s="15"/>
      <c r="H34" s="15" t="str">
        <f t="shared" si="6"/>
        <v/>
      </c>
      <c r="I34" s="16" t="str">
        <f t="shared" si="7"/>
        <v/>
      </c>
      <c r="J34" s="41"/>
      <c r="K34" s="41"/>
    </row>
    <row r="35" spans="1:11" ht="15.75">
      <c r="A35" s="30" t="str">
        <v xml:space="preserve"> Las Vegas - BA - Eastern Ave</v>
      </c>
      <c r="B35" s="31" t="str">
        <v>NV</v>
      </c>
      <c r="C35" s="11"/>
      <c r="D35" s="18"/>
      <c r="E35" s="18" t="str">
        <f t="shared" si="4"/>
        <v/>
      </c>
      <c r="F35" s="19" t="str">
        <f t="shared" si="5"/>
        <v/>
      </c>
      <c r="G35" s="20"/>
      <c r="H35" s="20" t="str">
        <f t="shared" si="6"/>
        <v/>
      </c>
      <c r="I35" s="19" t="str">
        <f t="shared" si="7"/>
        <v/>
      </c>
      <c r="J35" s="42"/>
      <c r="K35" s="43"/>
    </row>
    <row r="36" spans="1:11" ht="15.75">
      <c r="A36" s="28" t="str">
        <v xml:space="preserve"> Las Vegas - BA - Town Ctr Dr</v>
      </c>
      <c r="B36" s="29" t="str">
        <v>NV</v>
      </c>
      <c r="C36" s="24"/>
      <c r="D36" s="13"/>
      <c r="E36" s="13" t="str">
        <f t="shared" si="4"/>
        <v/>
      </c>
      <c r="F36" s="14" t="str">
        <f t="shared" si="5"/>
        <v/>
      </c>
      <c r="G36" s="15"/>
      <c r="H36" s="15" t="str">
        <f t="shared" si="6"/>
        <v/>
      </c>
      <c r="I36" s="16" t="str">
        <f t="shared" si="7"/>
        <v/>
      </c>
      <c r="J36" s="41"/>
      <c r="K36" s="41"/>
    </row>
    <row r="37" spans="1:11" ht="15.75">
      <c r="A37" s="30" t="str">
        <v xml:space="preserve"> Riverton - Bank of America</v>
      </c>
      <c r="B37" s="31" t="str">
        <v>UT</v>
      </c>
      <c r="C37" s="11"/>
      <c r="D37" s="18"/>
      <c r="E37" s="18" t="str">
        <f t="shared" si="4"/>
        <v/>
      </c>
      <c r="F37" s="19" t="str">
        <f t="shared" si="5"/>
        <v/>
      </c>
      <c r="G37" s="20"/>
      <c r="H37" s="20" t="str">
        <f t="shared" si="6"/>
        <v/>
      </c>
      <c r="I37" s="19" t="str">
        <f t="shared" si="7"/>
        <v/>
      </c>
      <c r="J37" s="42"/>
      <c r="K37" s="43"/>
    </row>
    <row r="38" spans="1:11" ht="15.75">
      <c r="A38" s="28" t="str">
        <v xml:space="preserve"> Salt Lake City - Bank of America</v>
      </c>
      <c r="B38" s="29" t="str">
        <v>UT</v>
      </c>
      <c r="C38" s="24"/>
      <c r="D38" s="13"/>
      <c r="E38" s="13" t="str">
        <f t="shared" si="4"/>
        <v/>
      </c>
      <c r="F38" s="14" t="str">
        <f t="shared" si="5"/>
        <v/>
      </c>
      <c r="G38" s="15"/>
      <c r="H38" s="15" t="str">
        <f t="shared" si="6"/>
        <v/>
      </c>
      <c r="I38" s="16" t="str">
        <f t="shared" si="7"/>
        <v/>
      </c>
      <c r="J38" s="41"/>
      <c r="K38" s="41"/>
    </row>
    <row r="39" spans="1:11" ht="1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 F4:F15 I4:I15 I39:I100 F39:F100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conditionalFormatting sqref="F16:F38 I16:I38">
    <cfRule type="cellIs" dxfId="14" priority="1" stopIfTrue="1" operator="lessThanOrEqual">
      <formula>-0.1</formula>
    </cfRule>
    <cfRule type="expression" dxfId="13" priority="2">
      <formula>AND(ISNUMBER(F16), F16&gt;=0.1)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42"/>
  <sheetViews>
    <sheetView workbookViewId="0">
      <pane xSplit="2" ySplit="3" topLeftCell="C4" activePane="bottomRight" state="frozen"/>
      <selection pane="bottomRight" activeCell="A16" sqref="A16:K38"/>
      <selection pane="bottomLeft"/>
      <selection pane="topRight"/>
    </sheetView>
  </sheetViews>
  <sheetFormatPr defaultRowHeight="14.2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7" t="str" cm="1">
        <f t="array" ref="A1">portfolio</f>
        <v>Cushman &amp; Wakefield</v>
      </c>
      <c r="B1" s="57"/>
      <c r="C1" s="57"/>
      <c r="D1" s="58" t="s">
        <v>40</v>
      </c>
      <c r="E1" s="58"/>
      <c r="F1" s="58"/>
      <c r="G1" s="56" t="s">
        <v>41</v>
      </c>
      <c r="H1" s="56"/>
      <c r="I1" s="56"/>
      <c r="J1" s="4"/>
      <c r="K1" s="4"/>
    </row>
    <row r="2" spans="1:11" ht="19.5" customHeight="1">
      <c r="A2" s="59" t="s">
        <v>2</v>
      </c>
      <c r="B2" s="59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  <c r="J2" s="26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38">Sites[Site]</f>
        <v xml:space="preserve"> Adelanto - Bank of America</v>
      </c>
      <c r="B4" s="29" t="str" cm="1">
        <f t="array" ref="B4:B38">Sites[State]</f>
        <v>CA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75">
      <c r="A5" s="30" t="str">
        <v xml:space="preserve"> Apple Valley - Bank of America</v>
      </c>
      <c r="B5" s="31" t="str">
        <v>CA</v>
      </c>
      <c r="C5" s="11"/>
      <c r="D5" s="18"/>
      <c r="E5" s="18" t="str">
        <f t="shared" ref="E5:E17" si="0">IF(AND(ISNUMBER(C5),ISNUMBER(D5)), C5-D5, "")</f>
        <v/>
      </c>
      <c r="F5" s="19" t="str">
        <f>IFERROR(E5/D5, "")</f>
        <v/>
      </c>
      <c r="G5" s="20"/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/>
      <c r="K5" s="42"/>
    </row>
    <row r="6" spans="1:11" ht="15.75">
      <c r="A6" s="28" t="str">
        <v xml:space="preserve"> Arvin - Bank of America</v>
      </c>
      <c r="B6" s="29" t="str">
        <v>CA</v>
      </c>
      <c r="C6" s="24"/>
      <c r="D6" s="13"/>
      <c r="E6" s="13" t="str">
        <f t="shared" si="0"/>
        <v/>
      </c>
      <c r="F6" s="14" t="str">
        <f t="shared" ref="F6:F17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5.75">
      <c r="A7" s="30" t="str">
        <v xml:space="preserve"> Bell - Bank of America</v>
      </c>
      <c r="B7" s="31" t="str">
        <v>CA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42"/>
      <c r="K7" s="43"/>
    </row>
    <row r="8" spans="1:11" ht="15.75">
      <c r="A8" s="28" t="str">
        <v xml:space="preserve"> Chula Vista - Bank of America</v>
      </c>
      <c r="B8" s="29" t="str">
        <v>CA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1"/>
      <c r="K8" s="41"/>
    </row>
    <row r="9" spans="1:11" ht="15.75">
      <c r="A9" s="30" t="str">
        <v xml:space="preserve"> Cupertino - Bank of America</v>
      </c>
      <c r="B9" s="31" t="str">
        <v>CA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42"/>
      <c r="K9" s="43"/>
    </row>
    <row r="10" spans="1:11" ht="15.75">
      <c r="A10" s="28" t="str">
        <v xml:space="preserve"> Diamond Bar - Bank of America</v>
      </c>
      <c r="B10" s="29" t="str">
        <v>CA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1"/>
      <c r="K10" s="41"/>
    </row>
    <row r="11" spans="1:11" ht="15.75">
      <c r="A11" s="30" t="str">
        <v xml:space="preserve"> El Centro - Bank of America</v>
      </c>
      <c r="B11" s="31" t="str">
        <v>CA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42"/>
      <c r="K11" s="43"/>
    </row>
    <row r="12" spans="1:11" ht="15.75">
      <c r="A12" s="28" t="str">
        <v xml:space="preserve"> Moreno Valley - Bank of America</v>
      </c>
      <c r="B12" s="29" t="str">
        <v>CA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1"/>
      <c r="K12" s="41"/>
    </row>
    <row r="13" spans="1:11" ht="15.75">
      <c r="A13" s="30" t="str">
        <v xml:space="preserve"> Redlands - Bank of America</v>
      </c>
      <c r="B13" s="31" t="str">
        <v>CA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42"/>
      <c r="K13" s="43"/>
    </row>
    <row r="14" spans="1:11" ht="15.75">
      <c r="A14" s="28" t="str">
        <v xml:space="preserve"> Roseville - Bank of America</v>
      </c>
      <c r="B14" s="29" t="str">
        <v>CA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1"/>
      <c r="K14" s="41"/>
    </row>
    <row r="15" spans="1:11" ht="15.75">
      <c r="A15" s="30" t="str">
        <v xml:space="preserve"> San Bernardino - Bank of America</v>
      </c>
      <c r="B15" s="31" t="str">
        <v>CA</v>
      </c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42"/>
      <c r="K15" s="43"/>
    </row>
    <row r="16" spans="1:11" ht="15.75">
      <c r="A16" s="28" t="str">
        <v xml:space="preserve"> San Diego - Bank of America</v>
      </c>
      <c r="B16" s="29" t="str">
        <v>CA</v>
      </c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41"/>
      <c r="K16" s="41"/>
    </row>
    <row r="17" spans="1:11" ht="15.75">
      <c r="A17" s="30" t="str">
        <v xml:space="preserve"> Stockton - Bank of America</v>
      </c>
      <c r="B17" s="31" t="str">
        <v>CA</v>
      </c>
      <c r="C17" s="11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J17" s="42"/>
      <c r="K17" s="43"/>
    </row>
    <row r="18" spans="1:11" ht="12.75" customHeight="1">
      <c r="A18" s="28" t="str">
        <v xml:space="preserve"> Victorville - Bank of America</v>
      </c>
      <c r="B18" s="29" t="str">
        <v>CA</v>
      </c>
      <c r="C18" s="24"/>
      <c r="D18" s="13"/>
      <c r="E18" s="13" t="str">
        <f t="shared" ref="E18:E38" si="4">IF(AND(ISNUMBER(C18),ISNUMBER(D18)), C18-D18, "")</f>
        <v/>
      </c>
      <c r="F18" s="14" t="str">
        <f t="shared" ref="F18:F38" si="5">IFERROR(E18/D18, "")</f>
        <v/>
      </c>
      <c r="G18" s="15"/>
      <c r="H18" s="15" t="str">
        <f t="shared" ref="H18:H38" si="6">IF(AND(ISNUMBER(C18),ISNUMBER(G18)), C18-G18, "")</f>
        <v/>
      </c>
      <c r="I18" s="16" t="str">
        <f t="shared" ref="I18:I38" si="7">IFERROR(H18/G18, "")</f>
        <v/>
      </c>
      <c r="J18" s="41"/>
      <c r="K18" s="41"/>
    </row>
    <row r="19" spans="1:11" ht="15.75">
      <c r="A19" s="30" t="str">
        <v xml:space="preserve"> Aurora - BA - Colfax Ave</v>
      </c>
      <c r="B19" s="31" t="str">
        <v>CO</v>
      </c>
      <c r="C19" s="11"/>
      <c r="D19" s="18"/>
      <c r="E19" s="18" t="str">
        <f t="shared" si="4"/>
        <v/>
      </c>
      <c r="F19" s="19" t="str">
        <f t="shared" si="5"/>
        <v/>
      </c>
      <c r="G19" s="20"/>
      <c r="H19" s="20" t="str">
        <f t="shared" si="6"/>
        <v/>
      </c>
      <c r="I19" s="19" t="str">
        <f t="shared" si="7"/>
        <v/>
      </c>
      <c r="J19" s="42"/>
      <c r="K19" s="43"/>
    </row>
    <row r="20" spans="1:11" ht="15.75">
      <c r="A20" s="28" t="str">
        <v xml:space="preserve"> Aurora - BA - Parker Rd</v>
      </c>
      <c r="B20" s="29" t="str">
        <v>CO</v>
      </c>
      <c r="C20" s="24"/>
      <c r="D20" s="13"/>
      <c r="E20" s="13" t="str">
        <f t="shared" si="4"/>
        <v/>
      </c>
      <c r="F20" s="14" t="str">
        <f t="shared" si="5"/>
        <v/>
      </c>
      <c r="G20" s="15"/>
      <c r="H20" s="15" t="str">
        <f t="shared" si="6"/>
        <v/>
      </c>
      <c r="I20" s="16" t="str">
        <f t="shared" si="7"/>
        <v/>
      </c>
      <c r="J20" s="41"/>
      <c r="K20" s="41"/>
    </row>
    <row r="21" spans="1:11" ht="15.75">
      <c r="A21" s="30" t="str">
        <v xml:space="preserve"> Broomfield - Bank of America</v>
      </c>
      <c r="B21" s="31" t="str">
        <v>CO</v>
      </c>
      <c r="C21" s="11"/>
      <c r="D21" s="18"/>
      <c r="E21" s="18" t="str">
        <f t="shared" si="4"/>
        <v/>
      </c>
      <c r="F21" s="19" t="str">
        <f t="shared" si="5"/>
        <v/>
      </c>
      <c r="G21" s="20"/>
      <c r="H21" s="20" t="str">
        <f t="shared" si="6"/>
        <v/>
      </c>
      <c r="I21" s="19" t="str">
        <f t="shared" si="7"/>
        <v/>
      </c>
      <c r="J21" s="42"/>
      <c r="K21" s="43"/>
    </row>
    <row r="22" spans="1:11" ht="15.75">
      <c r="A22" s="28" t="str">
        <v xml:space="preserve"> Colorado Springs - Bank of America</v>
      </c>
      <c r="B22" s="29" t="str">
        <v>CO</v>
      </c>
      <c r="C22" s="24"/>
      <c r="D22" s="13"/>
      <c r="E22" s="13" t="str">
        <f t="shared" si="4"/>
        <v/>
      </c>
      <c r="F22" s="14" t="str">
        <f t="shared" si="5"/>
        <v/>
      </c>
      <c r="G22" s="15"/>
      <c r="H22" s="15" t="str">
        <f t="shared" si="6"/>
        <v/>
      </c>
      <c r="I22" s="16" t="str">
        <f t="shared" si="7"/>
        <v/>
      </c>
      <c r="J22" s="41"/>
      <c r="K22" s="41"/>
    </row>
    <row r="23" spans="1:11" ht="15.75">
      <c r="A23" s="30" t="str">
        <v xml:space="preserve"> Denver - BA - 49th Ave</v>
      </c>
      <c r="B23" s="31" t="str">
        <v>CO</v>
      </c>
      <c r="C23" s="11"/>
      <c r="D23" s="18"/>
      <c r="E23" s="18" t="str">
        <f t="shared" si="4"/>
        <v/>
      </c>
      <c r="F23" s="19" t="str">
        <f t="shared" si="5"/>
        <v/>
      </c>
      <c r="G23" s="20"/>
      <c r="H23" s="20" t="str">
        <f t="shared" si="6"/>
        <v/>
      </c>
      <c r="I23" s="19" t="str">
        <f t="shared" si="7"/>
        <v/>
      </c>
      <c r="J23" s="42"/>
      <c r="K23" s="43"/>
    </row>
    <row r="24" spans="1:11" ht="15.75">
      <c r="A24" s="28" t="str">
        <v xml:space="preserve"> Denver - BA Wadsworth Blvd</v>
      </c>
      <c r="B24" s="29" t="str">
        <v>CO</v>
      </c>
      <c r="C24" s="24"/>
      <c r="D24" s="13"/>
      <c r="E24" s="13" t="str">
        <f t="shared" si="4"/>
        <v/>
      </c>
      <c r="F24" s="14" t="str">
        <f t="shared" si="5"/>
        <v/>
      </c>
      <c r="G24" s="15"/>
      <c r="H24" s="15" t="str">
        <f t="shared" si="6"/>
        <v/>
      </c>
      <c r="I24" s="16" t="str">
        <f t="shared" si="7"/>
        <v/>
      </c>
      <c r="J24" s="41"/>
      <c r="K24" s="41"/>
    </row>
    <row r="25" spans="1:11" ht="15.75">
      <c r="A25" s="30" t="str">
        <v xml:space="preserve"> Fort Collins - Bank of America</v>
      </c>
      <c r="B25" s="31" t="str">
        <v>CO</v>
      </c>
      <c r="C25" s="11"/>
      <c r="D25" s="18"/>
      <c r="E25" s="18" t="str">
        <f t="shared" si="4"/>
        <v/>
      </c>
      <c r="F25" s="19" t="str">
        <f t="shared" si="5"/>
        <v/>
      </c>
      <c r="G25" s="20"/>
      <c r="H25" s="20" t="str">
        <f t="shared" si="6"/>
        <v/>
      </c>
      <c r="I25" s="19" t="str">
        <f t="shared" si="7"/>
        <v/>
      </c>
      <c r="J25" s="42"/>
      <c r="K25" s="43"/>
    </row>
    <row r="26" spans="1:11" ht="15.75">
      <c r="A26" s="28" t="str">
        <v xml:space="preserve"> Lafayette - Bank of America</v>
      </c>
      <c r="B26" s="29" t="str">
        <v>CO</v>
      </c>
      <c r="C26" s="24"/>
      <c r="D26" s="13"/>
      <c r="E26" s="13" t="str">
        <f t="shared" si="4"/>
        <v/>
      </c>
      <c r="F26" s="14" t="str">
        <f t="shared" si="5"/>
        <v/>
      </c>
      <c r="G26" s="15"/>
      <c r="H26" s="15" t="str">
        <f t="shared" si="6"/>
        <v/>
      </c>
      <c r="I26" s="16" t="str">
        <f t="shared" si="7"/>
        <v/>
      </c>
      <c r="J26" s="41"/>
      <c r="K26" s="41"/>
    </row>
    <row r="27" spans="1:11" ht="15.75">
      <c r="A27" s="30" t="str">
        <v xml:space="preserve"> Lakewood - Bank of America</v>
      </c>
      <c r="B27" s="31" t="str">
        <v>CO</v>
      </c>
      <c r="C27" s="11"/>
      <c r="D27" s="18"/>
      <c r="E27" s="18" t="str">
        <f t="shared" si="4"/>
        <v/>
      </c>
      <c r="F27" s="19" t="str">
        <f t="shared" si="5"/>
        <v/>
      </c>
      <c r="G27" s="20"/>
      <c r="H27" s="20" t="str">
        <f t="shared" si="6"/>
        <v/>
      </c>
      <c r="I27" s="19" t="str">
        <f t="shared" si="7"/>
        <v/>
      </c>
      <c r="J27" s="42"/>
      <c r="K27" s="43"/>
    </row>
    <row r="28" spans="1:11" ht="15.75">
      <c r="A28" s="28" t="str">
        <v xml:space="preserve"> Longmont - Bank of America</v>
      </c>
      <c r="B28" s="29" t="str">
        <v>CO</v>
      </c>
      <c r="C28" s="24"/>
      <c r="D28" s="13"/>
      <c r="E28" s="13" t="str">
        <f t="shared" si="4"/>
        <v/>
      </c>
      <c r="F28" s="14" t="str">
        <f t="shared" si="5"/>
        <v/>
      </c>
      <c r="G28" s="15"/>
      <c r="H28" s="15" t="str">
        <f t="shared" si="6"/>
        <v/>
      </c>
      <c r="I28" s="16" t="str">
        <f t="shared" si="7"/>
        <v/>
      </c>
      <c r="J28" s="41"/>
      <c r="K28" s="41"/>
    </row>
    <row r="29" spans="1:11" ht="15.75">
      <c r="A29" s="30" t="str">
        <v xml:space="preserve"> Thornton - Bank of America</v>
      </c>
      <c r="B29" s="31" t="str">
        <v>CO</v>
      </c>
      <c r="C29" s="11"/>
      <c r="D29" s="18"/>
      <c r="E29" s="18" t="str">
        <f t="shared" si="4"/>
        <v/>
      </c>
      <c r="F29" s="19" t="str">
        <f t="shared" si="5"/>
        <v/>
      </c>
      <c r="G29" s="20"/>
      <c r="H29" s="20" t="str">
        <f t="shared" si="6"/>
        <v/>
      </c>
      <c r="I29" s="19" t="str">
        <f t="shared" si="7"/>
        <v/>
      </c>
      <c r="J29" s="42"/>
      <c r="K29" s="43"/>
    </row>
    <row r="30" spans="1:11" ht="15.75">
      <c r="A30" s="28" t="str">
        <v xml:space="preserve"> Calumet City - Bank of America</v>
      </c>
      <c r="B30" s="29" t="str">
        <v>IL</v>
      </c>
      <c r="C30" s="24"/>
      <c r="D30" s="13"/>
      <c r="E30" s="13" t="str">
        <f t="shared" si="4"/>
        <v/>
      </c>
      <c r="F30" s="14" t="str">
        <f t="shared" si="5"/>
        <v/>
      </c>
      <c r="G30" s="15"/>
      <c r="H30" s="15" t="str">
        <f t="shared" si="6"/>
        <v/>
      </c>
      <c r="I30" s="16" t="str">
        <f t="shared" si="7"/>
        <v/>
      </c>
      <c r="J30" s="41"/>
      <c r="K30" s="41"/>
    </row>
    <row r="31" spans="1:11" ht="15.75">
      <c r="A31" s="30" t="str">
        <v xml:space="preserve"> Downers Grove - Bank of America</v>
      </c>
      <c r="B31" s="31" t="str">
        <v>IL</v>
      </c>
      <c r="C31" s="11"/>
      <c r="D31" s="18"/>
      <c r="E31" s="18" t="str">
        <f t="shared" si="4"/>
        <v/>
      </c>
      <c r="F31" s="19" t="str">
        <f t="shared" si="5"/>
        <v/>
      </c>
      <c r="G31" s="20"/>
      <c r="H31" s="20" t="str">
        <f t="shared" si="6"/>
        <v/>
      </c>
      <c r="I31" s="19" t="str">
        <f t="shared" si="7"/>
        <v/>
      </c>
      <c r="J31" s="42"/>
      <c r="K31" s="43"/>
    </row>
    <row r="32" spans="1:11" ht="15.75">
      <c r="A32" s="28" t="str">
        <v xml:space="preserve"> Bloomington - Bank of America</v>
      </c>
      <c r="B32" s="29" t="str">
        <v>MN</v>
      </c>
      <c r="C32" s="24"/>
      <c r="D32" s="13"/>
      <c r="E32" s="13" t="str">
        <f t="shared" si="4"/>
        <v/>
      </c>
      <c r="F32" s="14" t="str">
        <f t="shared" si="5"/>
        <v/>
      </c>
      <c r="G32" s="15"/>
      <c r="H32" s="15" t="str">
        <f t="shared" si="6"/>
        <v/>
      </c>
      <c r="I32" s="16" t="str">
        <f t="shared" si="7"/>
        <v/>
      </c>
      <c r="J32" s="41"/>
      <c r="K32" s="41"/>
    </row>
    <row r="33" spans="1:11" ht="15.75">
      <c r="A33" s="30" t="str">
        <v xml:space="preserve"> Clayton - Bank of America</v>
      </c>
      <c r="B33" s="31" t="str">
        <v>MO</v>
      </c>
      <c r="C33" s="11"/>
      <c r="D33" s="18"/>
      <c r="E33" s="18" t="str">
        <f t="shared" si="4"/>
        <v/>
      </c>
      <c r="F33" s="19" t="str">
        <f t="shared" si="5"/>
        <v/>
      </c>
      <c r="G33" s="20"/>
      <c r="H33" s="20" t="str">
        <f t="shared" si="6"/>
        <v/>
      </c>
      <c r="I33" s="19" t="str">
        <f t="shared" si="7"/>
        <v/>
      </c>
      <c r="J33" s="42"/>
      <c r="K33" s="43"/>
    </row>
    <row r="34" spans="1:11" ht="15.75">
      <c r="A34" s="28" t="str">
        <v xml:space="preserve"> Manchester - Bank of America</v>
      </c>
      <c r="B34" s="29" t="str">
        <v>MO</v>
      </c>
      <c r="C34" s="24"/>
      <c r="D34" s="13"/>
      <c r="E34" s="13" t="str">
        <f t="shared" si="4"/>
        <v/>
      </c>
      <c r="F34" s="14" t="str">
        <f t="shared" si="5"/>
        <v/>
      </c>
      <c r="G34" s="15"/>
      <c r="H34" s="15" t="str">
        <f t="shared" si="6"/>
        <v/>
      </c>
      <c r="I34" s="16" t="str">
        <f t="shared" si="7"/>
        <v/>
      </c>
      <c r="J34" s="41"/>
      <c r="K34" s="41"/>
    </row>
    <row r="35" spans="1:11" ht="15.75">
      <c r="A35" s="30" t="str">
        <v xml:space="preserve"> Las Vegas - BA - Eastern Ave</v>
      </c>
      <c r="B35" s="31" t="str">
        <v>NV</v>
      </c>
      <c r="C35" s="11"/>
      <c r="D35" s="18"/>
      <c r="E35" s="18" t="str">
        <f t="shared" si="4"/>
        <v/>
      </c>
      <c r="F35" s="19" t="str">
        <f t="shared" si="5"/>
        <v/>
      </c>
      <c r="G35" s="20"/>
      <c r="H35" s="20" t="str">
        <f t="shared" si="6"/>
        <v/>
      </c>
      <c r="I35" s="19" t="str">
        <f t="shared" si="7"/>
        <v/>
      </c>
      <c r="J35" s="42"/>
      <c r="K35" s="43"/>
    </row>
    <row r="36" spans="1:11" ht="15.75">
      <c r="A36" s="28" t="str">
        <v xml:space="preserve"> Las Vegas - BA - Town Ctr Dr</v>
      </c>
      <c r="B36" s="29" t="str">
        <v>NV</v>
      </c>
      <c r="C36" s="24"/>
      <c r="D36" s="13"/>
      <c r="E36" s="13" t="str">
        <f t="shared" si="4"/>
        <v/>
      </c>
      <c r="F36" s="14" t="str">
        <f t="shared" si="5"/>
        <v/>
      </c>
      <c r="G36" s="15"/>
      <c r="H36" s="15" t="str">
        <f t="shared" si="6"/>
        <v/>
      </c>
      <c r="I36" s="16" t="str">
        <f t="shared" si="7"/>
        <v/>
      </c>
      <c r="J36" s="41"/>
      <c r="K36" s="41"/>
    </row>
    <row r="37" spans="1:11" ht="15.75">
      <c r="A37" s="30" t="str">
        <v xml:space="preserve"> Riverton - Bank of America</v>
      </c>
      <c r="B37" s="31" t="str">
        <v>UT</v>
      </c>
      <c r="C37" s="11"/>
      <c r="D37" s="18"/>
      <c r="E37" s="18" t="str">
        <f t="shared" si="4"/>
        <v/>
      </c>
      <c r="F37" s="19" t="str">
        <f t="shared" si="5"/>
        <v/>
      </c>
      <c r="G37" s="20"/>
      <c r="H37" s="20" t="str">
        <f t="shared" si="6"/>
        <v/>
      </c>
      <c r="I37" s="19" t="str">
        <f t="shared" si="7"/>
        <v/>
      </c>
      <c r="J37" s="42"/>
      <c r="K37" s="43"/>
    </row>
    <row r="38" spans="1:11" ht="15.75">
      <c r="A38" s="28" t="str">
        <v xml:space="preserve"> Salt Lake City - Bank of America</v>
      </c>
      <c r="B38" s="29" t="str">
        <v>UT</v>
      </c>
      <c r="C38" s="24"/>
      <c r="D38" s="13"/>
      <c r="E38" s="13" t="str">
        <f t="shared" si="4"/>
        <v/>
      </c>
      <c r="F38" s="14" t="str">
        <f t="shared" si="5"/>
        <v/>
      </c>
      <c r="G38" s="15"/>
      <c r="H38" s="15" t="str">
        <f t="shared" si="6"/>
        <v/>
      </c>
      <c r="I38" s="16" t="str">
        <f t="shared" si="7"/>
        <v/>
      </c>
      <c r="J38" s="41"/>
      <c r="K38" s="41"/>
    </row>
    <row r="39" spans="1:11" ht="1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 F4:F15 I4:I15 I39:I100 F39:F100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conditionalFormatting sqref="F16:F38 I16:I38">
    <cfRule type="cellIs" dxfId="10" priority="1" stopIfTrue="1" operator="lessThanOrEqual">
      <formula>-0.1</formula>
    </cfRule>
    <cfRule type="expression" dxfId="9" priority="2">
      <formula>AND(ISNUMBER(F16), F16&gt;=0.1)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42"/>
  <sheetViews>
    <sheetView tabSelected="1" workbookViewId="0">
      <pane xSplit="2" ySplit="3" topLeftCell="C4" activePane="bottomRight" state="frozen"/>
      <selection pane="bottomRight" activeCell="Q26" sqref="Q26"/>
      <selection pane="bottomLeft"/>
      <selection pane="topRight"/>
    </sheetView>
  </sheetViews>
  <sheetFormatPr defaultRowHeight="14.2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7" t="str" cm="1">
        <f t="array" ref="A1">portfolio</f>
        <v>Cushman &amp; Wakefield</v>
      </c>
      <c r="B1" s="57"/>
      <c r="C1" s="57"/>
      <c r="D1" s="58" t="s">
        <v>42</v>
      </c>
      <c r="E1" s="58"/>
      <c r="F1" s="58"/>
      <c r="G1" s="56" t="s">
        <v>43</v>
      </c>
      <c r="H1" s="56"/>
      <c r="I1" s="56"/>
      <c r="J1" s="4"/>
      <c r="K1" s="4"/>
    </row>
    <row r="2" spans="1:11" ht="19.5" customHeight="1">
      <c r="A2" s="59" t="s">
        <v>2</v>
      </c>
      <c r="B2" s="59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  <c r="J2" s="26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38">Sites[Site]</f>
        <v xml:space="preserve"> Adelanto - Bank of America</v>
      </c>
      <c r="B4" s="29" t="str" cm="1">
        <f t="array" ref="B4:B38">Sites[State]</f>
        <v>CA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75">
      <c r="A5" s="30" t="str">
        <v xml:space="preserve"> Apple Valley - Bank of America</v>
      </c>
      <c r="B5" s="31" t="str">
        <v>CA</v>
      </c>
      <c r="C5" s="11"/>
      <c r="D5" s="18"/>
      <c r="E5" s="18" t="str">
        <f t="shared" ref="E5:E17" si="0">IF(AND(ISNUMBER(C5),ISNUMBER(D5)), C5-D5, "")</f>
        <v/>
      </c>
      <c r="F5" s="19" t="str">
        <f>IFERROR(E5/D5, "")</f>
        <v/>
      </c>
      <c r="G5" s="20"/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/>
      <c r="K5" s="42"/>
    </row>
    <row r="6" spans="1:11" ht="15.75">
      <c r="A6" s="28" t="str">
        <v xml:space="preserve"> Arvin - Bank of America</v>
      </c>
      <c r="B6" s="29" t="str">
        <v>CA</v>
      </c>
      <c r="C6" s="24"/>
      <c r="D6" s="13"/>
      <c r="E6" s="13" t="str">
        <f t="shared" si="0"/>
        <v/>
      </c>
      <c r="F6" s="14" t="str">
        <f t="shared" ref="F6:F17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5.75">
      <c r="A7" s="30" t="str">
        <v xml:space="preserve"> Bell - Bank of America</v>
      </c>
      <c r="B7" s="31" t="str">
        <v>CA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42"/>
      <c r="K7" s="43"/>
    </row>
    <row r="8" spans="1:11" ht="15.75">
      <c r="A8" s="28" t="str">
        <v xml:space="preserve"> Chula Vista - Bank of America</v>
      </c>
      <c r="B8" s="29" t="str">
        <v>CA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1"/>
      <c r="K8" s="41"/>
    </row>
    <row r="9" spans="1:11" ht="15.75">
      <c r="A9" s="30" t="str">
        <v xml:space="preserve"> Cupertino - Bank of America</v>
      </c>
      <c r="B9" s="31" t="str">
        <v>CA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42"/>
      <c r="K9" s="43"/>
    </row>
    <row r="10" spans="1:11" ht="15.75">
      <c r="A10" s="28" t="str">
        <v xml:space="preserve"> Diamond Bar - Bank of America</v>
      </c>
      <c r="B10" s="29" t="str">
        <v>CA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1"/>
      <c r="K10" s="41"/>
    </row>
    <row r="11" spans="1:11" ht="15.75">
      <c r="A11" s="30" t="str">
        <v xml:space="preserve"> El Centro - Bank of America</v>
      </c>
      <c r="B11" s="31" t="str">
        <v>CA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42"/>
      <c r="K11" s="43"/>
    </row>
    <row r="12" spans="1:11" ht="15.75">
      <c r="A12" s="28" t="str">
        <v xml:space="preserve"> Moreno Valley - Bank of America</v>
      </c>
      <c r="B12" s="29" t="str">
        <v>CA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1"/>
      <c r="K12" s="41"/>
    </row>
    <row r="13" spans="1:11" ht="15.75">
      <c r="A13" s="30" t="str">
        <v xml:space="preserve"> Redlands - Bank of America</v>
      </c>
      <c r="B13" s="31" t="str">
        <v>CA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42"/>
      <c r="K13" s="43"/>
    </row>
    <row r="14" spans="1:11" ht="15.75">
      <c r="A14" s="28" t="str">
        <v xml:space="preserve"> Roseville - Bank of America</v>
      </c>
      <c r="B14" s="29" t="str">
        <v>CA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1"/>
      <c r="K14" s="41"/>
    </row>
    <row r="15" spans="1:11" ht="15.75">
      <c r="A15" s="30" t="str">
        <v xml:space="preserve"> San Bernardino - Bank of America</v>
      </c>
      <c r="B15" s="31" t="str">
        <v>CA</v>
      </c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42"/>
      <c r="K15" s="43"/>
    </row>
    <row r="16" spans="1:11" ht="15.75">
      <c r="A16" s="28" t="str">
        <v xml:space="preserve"> San Diego - Bank of America</v>
      </c>
      <c r="B16" s="29" t="str">
        <v>CA</v>
      </c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41"/>
      <c r="K16" s="41"/>
    </row>
    <row r="17" spans="1:11" ht="15.75">
      <c r="A17" s="30" t="str">
        <v xml:space="preserve"> Stockton - Bank of America</v>
      </c>
      <c r="B17" s="31" t="str">
        <v>CA</v>
      </c>
      <c r="C17" s="11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J17" s="42"/>
      <c r="K17" s="43"/>
    </row>
    <row r="18" spans="1:11" ht="12.75" customHeight="1">
      <c r="A18" s="28" t="str">
        <v xml:space="preserve"> Victorville - Bank of America</v>
      </c>
      <c r="B18" s="29" t="str">
        <v>CA</v>
      </c>
      <c r="C18" s="24"/>
      <c r="D18" s="13"/>
      <c r="E18" s="13" t="str">
        <f t="shared" ref="E18:E38" si="4">IF(AND(ISNUMBER(C18),ISNUMBER(D18)), C18-D18, "")</f>
        <v/>
      </c>
      <c r="F18" s="14" t="str">
        <f t="shared" ref="F18:F38" si="5">IFERROR(E18/D18, "")</f>
        <v/>
      </c>
      <c r="G18" s="15"/>
      <c r="H18" s="15" t="str">
        <f t="shared" ref="H18:H38" si="6">IF(AND(ISNUMBER(C18),ISNUMBER(G18)), C18-G18, "")</f>
        <v/>
      </c>
      <c r="I18" s="16" t="str">
        <f t="shared" ref="I18:I38" si="7">IFERROR(H18/G18, "")</f>
        <v/>
      </c>
      <c r="J18" s="41"/>
      <c r="K18" s="41"/>
    </row>
    <row r="19" spans="1:11" ht="15.75">
      <c r="A19" s="30" t="str">
        <v xml:space="preserve"> Aurora - BA - Colfax Ave</v>
      </c>
      <c r="B19" s="31" t="str">
        <v>CO</v>
      </c>
      <c r="C19" s="11"/>
      <c r="D19" s="18"/>
      <c r="E19" s="18" t="str">
        <f t="shared" si="4"/>
        <v/>
      </c>
      <c r="F19" s="19" t="str">
        <f t="shared" si="5"/>
        <v/>
      </c>
      <c r="G19" s="20"/>
      <c r="H19" s="20" t="str">
        <f t="shared" si="6"/>
        <v/>
      </c>
      <c r="I19" s="19" t="str">
        <f t="shared" si="7"/>
        <v/>
      </c>
      <c r="J19" s="42"/>
      <c r="K19" s="43"/>
    </row>
    <row r="20" spans="1:11" ht="15.75">
      <c r="A20" s="28" t="str">
        <v xml:space="preserve"> Aurora - BA - Parker Rd</v>
      </c>
      <c r="B20" s="29" t="str">
        <v>CO</v>
      </c>
      <c r="C20" s="24"/>
      <c r="D20" s="13"/>
      <c r="E20" s="13" t="str">
        <f t="shared" si="4"/>
        <v/>
      </c>
      <c r="F20" s="14" t="str">
        <f t="shared" si="5"/>
        <v/>
      </c>
      <c r="G20" s="15"/>
      <c r="H20" s="15" t="str">
        <f t="shared" si="6"/>
        <v/>
      </c>
      <c r="I20" s="16" t="str">
        <f t="shared" si="7"/>
        <v/>
      </c>
      <c r="J20" s="41"/>
      <c r="K20" s="41"/>
    </row>
    <row r="21" spans="1:11" ht="15.75">
      <c r="A21" s="30" t="str">
        <v xml:space="preserve"> Broomfield - Bank of America</v>
      </c>
      <c r="B21" s="31" t="str">
        <v>CO</v>
      </c>
      <c r="C21" s="11"/>
      <c r="D21" s="18"/>
      <c r="E21" s="18" t="str">
        <f t="shared" si="4"/>
        <v/>
      </c>
      <c r="F21" s="19" t="str">
        <f t="shared" si="5"/>
        <v/>
      </c>
      <c r="G21" s="20"/>
      <c r="H21" s="20" t="str">
        <f t="shared" si="6"/>
        <v/>
      </c>
      <c r="I21" s="19" t="str">
        <f t="shared" si="7"/>
        <v/>
      </c>
      <c r="J21" s="42"/>
      <c r="K21" s="43"/>
    </row>
    <row r="22" spans="1:11" ht="15.75">
      <c r="A22" s="28" t="str">
        <v xml:space="preserve"> Colorado Springs - Bank of America</v>
      </c>
      <c r="B22" s="29" t="str">
        <v>CO</v>
      </c>
      <c r="C22" s="24"/>
      <c r="D22" s="13"/>
      <c r="E22" s="13" t="str">
        <f t="shared" si="4"/>
        <v/>
      </c>
      <c r="F22" s="14" t="str">
        <f t="shared" si="5"/>
        <v/>
      </c>
      <c r="G22" s="15"/>
      <c r="H22" s="15" t="str">
        <f t="shared" si="6"/>
        <v/>
      </c>
      <c r="I22" s="16" t="str">
        <f t="shared" si="7"/>
        <v/>
      </c>
      <c r="J22" s="41"/>
      <c r="K22" s="41"/>
    </row>
    <row r="23" spans="1:11" ht="15.75">
      <c r="A23" s="30" t="str">
        <v xml:space="preserve"> Denver - BA - 49th Ave</v>
      </c>
      <c r="B23" s="31" t="str">
        <v>CO</v>
      </c>
      <c r="C23" s="11"/>
      <c r="D23" s="18"/>
      <c r="E23" s="18" t="str">
        <f t="shared" si="4"/>
        <v/>
      </c>
      <c r="F23" s="19" t="str">
        <f t="shared" si="5"/>
        <v/>
      </c>
      <c r="G23" s="20"/>
      <c r="H23" s="20" t="str">
        <f t="shared" si="6"/>
        <v/>
      </c>
      <c r="I23" s="19" t="str">
        <f t="shared" si="7"/>
        <v/>
      </c>
      <c r="J23" s="42"/>
      <c r="K23" s="43"/>
    </row>
    <row r="24" spans="1:11" ht="15.75">
      <c r="A24" s="28" t="str">
        <v xml:space="preserve"> Denver - BA Wadsworth Blvd</v>
      </c>
      <c r="B24" s="29" t="str">
        <v>CO</v>
      </c>
      <c r="C24" s="24"/>
      <c r="D24" s="13"/>
      <c r="E24" s="13" t="str">
        <f t="shared" si="4"/>
        <v/>
      </c>
      <c r="F24" s="14" t="str">
        <f t="shared" si="5"/>
        <v/>
      </c>
      <c r="G24" s="15"/>
      <c r="H24" s="15" t="str">
        <f t="shared" si="6"/>
        <v/>
      </c>
      <c r="I24" s="16" t="str">
        <f t="shared" si="7"/>
        <v/>
      </c>
      <c r="J24" s="41"/>
      <c r="K24" s="41"/>
    </row>
    <row r="25" spans="1:11" ht="15.75">
      <c r="A25" s="30" t="str">
        <v xml:space="preserve"> Fort Collins - Bank of America</v>
      </c>
      <c r="B25" s="31" t="str">
        <v>CO</v>
      </c>
      <c r="C25" s="11"/>
      <c r="D25" s="18"/>
      <c r="E25" s="18" t="str">
        <f t="shared" si="4"/>
        <v/>
      </c>
      <c r="F25" s="19" t="str">
        <f t="shared" si="5"/>
        <v/>
      </c>
      <c r="G25" s="20"/>
      <c r="H25" s="20" t="str">
        <f t="shared" si="6"/>
        <v/>
      </c>
      <c r="I25" s="19" t="str">
        <f t="shared" si="7"/>
        <v/>
      </c>
      <c r="J25" s="42"/>
      <c r="K25" s="43"/>
    </row>
    <row r="26" spans="1:11" ht="15.75">
      <c r="A26" s="28" t="str">
        <v xml:space="preserve"> Lafayette - Bank of America</v>
      </c>
      <c r="B26" s="29" t="str">
        <v>CO</v>
      </c>
      <c r="C26" s="24"/>
      <c r="D26" s="13"/>
      <c r="E26" s="13" t="str">
        <f t="shared" si="4"/>
        <v/>
      </c>
      <c r="F26" s="14" t="str">
        <f t="shared" si="5"/>
        <v/>
      </c>
      <c r="G26" s="15"/>
      <c r="H26" s="15" t="str">
        <f t="shared" si="6"/>
        <v/>
      </c>
      <c r="I26" s="16" t="str">
        <f t="shared" si="7"/>
        <v/>
      </c>
      <c r="J26" s="41"/>
      <c r="K26" s="41"/>
    </row>
    <row r="27" spans="1:11" ht="15.75">
      <c r="A27" s="30" t="str">
        <v xml:space="preserve"> Lakewood - Bank of America</v>
      </c>
      <c r="B27" s="31" t="str">
        <v>CO</v>
      </c>
      <c r="C27" s="11"/>
      <c r="D27" s="18"/>
      <c r="E27" s="18" t="str">
        <f t="shared" si="4"/>
        <v/>
      </c>
      <c r="F27" s="19" t="str">
        <f t="shared" si="5"/>
        <v/>
      </c>
      <c r="G27" s="20"/>
      <c r="H27" s="20" t="str">
        <f t="shared" si="6"/>
        <v/>
      </c>
      <c r="I27" s="19" t="str">
        <f t="shared" si="7"/>
        <v/>
      </c>
      <c r="J27" s="42"/>
      <c r="K27" s="43"/>
    </row>
    <row r="28" spans="1:11" ht="15.75">
      <c r="A28" s="28" t="str">
        <v xml:space="preserve"> Longmont - Bank of America</v>
      </c>
      <c r="B28" s="29" t="str">
        <v>CO</v>
      </c>
      <c r="C28" s="24"/>
      <c r="D28" s="13"/>
      <c r="E28" s="13" t="str">
        <f t="shared" si="4"/>
        <v/>
      </c>
      <c r="F28" s="14" t="str">
        <f t="shared" si="5"/>
        <v/>
      </c>
      <c r="G28" s="15"/>
      <c r="H28" s="15" t="str">
        <f t="shared" si="6"/>
        <v/>
      </c>
      <c r="I28" s="16" t="str">
        <f t="shared" si="7"/>
        <v/>
      </c>
      <c r="J28" s="41"/>
      <c r="K28" s="41"/>
    </row>
    <row r="29" spans="1:11" ht="15.75">
      <c r="A29" s="30" t="str">
        <v xml:space="preserve"> Thornton - Bank of America</v>
      </c>
      <c r="B29" s="31" t="str">
        <v>CO</v>
      </c>
      <c r="C29" s="11"/>
      <c r="D29" s="18"/>
      <c r="E29" s="18" t="str">
        <f t="shared" si="4"/>
        <v/>
      </c>
      <c r="F29" s="19" t="str">
        <f t="shared" si="5"/>
        <v/>
      </c>
      <c r="G29" s="20"/>
      <c r="H29" s="20" t="str">
        <f t="shared" si="6"/>
        <v/>
      </c>
      <c r="I29" s="19" t="str">
        <f t="shared" si="7"/>
        <v/>
      </c>
      <c r="J29" s="42"/>
      <c r="K29" s="43"/>
    </row>
    <row r="30" spans="1:11" ht="15.75">
      <c r="A30" s="28" t="str">
        <v xml:space="preserve"> Calumet City - Bank of America</v>
      </c>
      <c r="B30" s="29" t="str">
        <v>IL</v>
      </c>
      <c r="C30" s="24"/>
      <c r="D30" s="13"/>
      <c r="E30" s="13" t="str">
        <f t="shared" si="4"/>
        <v/>
      </c>
      <c r="F30" s="14" t="str">
        <f t="shared" si="5"/>
        <v/>
      </c>
      <c r="G30" s="15"/>
      <c r="H30" s="15" t="str">
        <f t="shared" si="6"/>
        <v/>
      </c>
      <c r="I30" s="16" t="str">
        <f t="shared" si="7"/>
        <v/>
      </c>
      <c r="J30" s="41"/>
      <c r="K30" s="41"/>
    </row>
    <row r="31" spans="1:11" ht="15.75">
      <c r="A31" s="30" t="str">
        <v xml:space="preserve"> Downers Grove - Bank of America</v>
      </c>
      <c r="B31" s="31" t="str">
        <v>IL</v>
      </c>
      <c r="C31" s="11"/>
      <c r="D31" s="18"/>
      <c r="E31" s="18" t="str">
        <f t="shared" si="4"/>
        <v/>
      </c>
      <c r="F31" s="19" t="str">
        <f t="shared" si="5"/>
        <v/>
      </c>
      <c r="G31" s="20"/>
      <c r="H31" s="20" t="str">
        <f t="shared" si="6"/>
        <v/>
      </c>
      <c r="I31" s="19" t="str">
        <f t="shared" si="7"/>
        <v/>
      </c>
      <c r="J31" s="42"/>
      <c r="K31" s="43"/>
    </row>
    <row r="32" spans="1:11" ht="15.75">
      <c r="A32" s="28" t="str">
        <v xml:space="preserve"> Bloomington - Bank of America</v>
      </c>
      <c r="B32" s="29" t="str">
        <v>MN</v>
      </c>
      <c r="C32" s="24"/>
      <c r="D32" s="13"/>
      <c r="E32" s="13" t="str">
        <f t="shared" si="4"/>
        <v/>
      </c>
      <c r="F32" s="14" t="str">
        <f t="shared" si="5"/>
        <v/>
      </c>
      <c r="G32" s="15"/>
      <c r="H32" s="15" t="str">
        <f t="shared" si="6"/>
        <v/>
      </c>
      <c r="I32" s="16" t="str">
        <f t="shared" si="7"/>
        <v/>
      </c>
      <c r="J32" s="41"/>
      <c r="K32" s="41"/>
    </row>
    <row r="33" spans="1:11" ht="15.75">
      <c r="A33" s="30" t="str">
        <v xml:space="preserve"> Clayton - Bank of America</v>
      </c>
      <c r="B33" s="31" t="str">
        <v>MO</v>
      </c>
      <c r="C33" s="11"/>
      <c r="D33" s="18"/>
      <c r="E33" s="18" t="str">
        <f t="shared" si="4"/>
        <v/>
      </c>
      <c r="F33" s="19" t="str">
        <f t="shared" si="5"/>
        <v/>
      </c>
      <c r="G33" s="20"/>
      <c r="H33" s="20" t="str">
        <f t="shared" si="6"/>
        <v/>
      </c>
      <c r="I33" s="19" t="str">
        <f t="shared" si="7"/>
        <v/>
      </c>
      <c r="J33" s="42"/>
      <c r="K33" s="43"/>
    </row>
    <row r="34" spans="1:11" ht="15.75">
      <c r="A34" s="28" t="str">
        <v xml:space="preserve"> Manchester - Bank of America</v>
      </c>
      <c r="B34" s="29" t="str">
        <v>MO</v>
      </c>
      <c r="C34" s="24"/>
      <c r="D34" s="13"/>
      <c r="E34" s="13" t="str">
        <f t="shared" si="4"/>
        <v/>
      </c>
      <c r="F34" s="14" t="str">
        <f t="shared" si="5"/>
        <v/>
      </c>
      <c r="G34" s="15"/>
      <c r="H34" s="15" t="str">
        <f t="shared" si="6"/>
        <v/>
      </c>
      <c r="I34" s="16" t="str">
        <f t="shared" si="7"/>
        <v/>
      </c>
      <c r="J34" s="41"/>
      <c r="K34" s="41"/>
    </row>
    <row r="35" spans="1:11" ht="15.75">
      <c r="A35" s="30" t="str">
        <v xml:space="preserve"> Las Vegas - BA - Eastern Ave</v>
      </c>
      <c r="B35" s="31" t="str">
        <v>NV</v>
      </c>
      <c r="C35" s="11"/>
      <c r="D35" s="18"/>
      <c r="E35" s="18" t="str">
        <f t="shared" si="4"/>
        <v/>
      </c>
      <c r="F35" s="19" t="str">
        <f t="shared" si="5"/>
        <v/>
      </c>
      <c r="G35" s="20"/>
      <c r="H35" s="20" t="str">
        <f t="shared" si="6"/>
        <v/>
      </c>
      <c r="I35" s="19" t="str">
        <f t="shared" si="7"/>
        <v/>
      </c>
      <c r="J35" s="42"/>
      <c r="K35" s="43"/>
    </row>
    <row r="36" spans="1:11" ht="15.75">
      <c r="A36" s="28" t="str">
        <v xml:space="preserve"> Las Vegas - BA - Town Ctr Dr</v>
      </c>
      <c r="B36" s="29" t="str">
        <v>NV</v>
      </c>
      <c r="C36" s="24"/>
      <c r="D36" s="13"/>
      <c r="E36" s="13" t="str">
        <f t="shared" si="4"/>
        <v/>
      </c>
      <c r="F36" s="14" t="str">
        <f t="shared" si="5"/>
        <v/>
      </c>
      <c r="G36" s="15"/>
      <c r="H36" s="15" t="str">
        <f t="shared" si="6"/>
        <v/>
      </c>
      <c r="I36" s="16" t="str">
        <f t="shared" si="7"/>
        <v/>
      </c>
      <c r="J36" s="41"/>
      <c r="K36" s="41"/>
    </row>
    <row r="37" spans="1:11" ht="15.75">
      <c r="A37" s="30" t="str">
        <v xml:space="preserve"> Riverton - Bank of America</v>
      </c>
      <c r="B37" s="31" t="str">
        <v>UT</v>
      </c>
      <c r="C37" s="11"/>
      <c r="D37" s="18"/>
      <c r="E37" s="18" t="str">
        <f t="shared" si="4"/>
        <v/>
      </c>
      <c r="F37" s="19" t="str">
        <f t="shared" si="5"/>
        <v/>
      </c>
      <c r="G37" s="20"/>
      <c r="H37" s="20" t="str">
        <f t="shared" si="6"/>
        <v/>
      </c>
      <c r="I37" s="19" t="str">
        <f t="shared" si="7"/>
        <v/>
      </c>
      <c r="J37" s="42"/>
      <c r="K37" s="43"/>
    </row>
    <row r="38" spans="1:11" ht="15.75">
      <c r="A38" s="28" t="str">
        <v xml:space="preserve"> Salt Lake City - Bank of America</v>
      </c>
      <c r="B38" s="29" t="str">
        <v>UT</v>
      </c>
      <c r="C38" s="24"/>
      <c r="D38" s="13"/>
      <c r="E38" s="13" t="str">
        <f t="shared" si="4"/>
        <v/>
      </c>
      <c r="F38" s="14" t="str">
        <f t="shared" si="5"/>
        <v/>
      </c>
      <c r="G38" s="15"/>
      <c r="H38" s="15" t="str">
        <f t="shared" si="6"/>
        <v/>
      </c>
      <c r="I38" s="16" t="str">
        <f t="shared" si="7"/>
        <v/>
      </c>
      <c r="J38" s="41"/>
      <c r="K38" s="41"/>
    </row>
    <row r="39" spans="1:11" ht="1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 F4:F15 I4:I15 I39:I100 F39:F100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conditionalFormatting sqref="F16:F38 I16:I38">
    <cfRule type="cellIs" dxfId="6" priority="1" stopIfTrue="1" operator="lessThanOrEqual">
      <formula>-0.1</formula>
    </cfRule>
    <cfRule type="expression" dxfId="5" priority="2">
      <formula>AND(ISNUMBER(F16), F16&gt;=0.1)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38"/>
  <sheetViews>
    <sheetView workbookViewId="0">
      <pane ySplit="3" topLeftCell="A4" activePane="bottomLeft" state="frozen"/>
      <selection pane="bottomLeft" activeCell="B2" sqref="B2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44</v>
      </c>
      <c r="B1" t="s">
        <v>45</v>
      </c>
    </row>
    <row r="3" spans="1:7">
      <c r="A3" t="s">
        <v>46</v>
      </c>
      <c r="B3" t="s">
        <v>3</v>
      </c>
      <c r="C3" t="s">
        <v>4</v>
      </c>
      <c r="D3" t="s">
        <v>47</v>
      </c>
      <c r="E3" s="2" t="s">
        <v>48</v>
      </c>
    </row>
    <row r="4" spans="1:7" ht="15">
      <c r="A4" s="44" t="s">
        <v>49</v>
      </c>
      <c r="B4" s="45" t="s">
        <v>50</v>
      </c>
      <c r="C4" s="45" t="s">
        <v>51</v>
      </c>
      <c r="D4" s="46"/>
      <c r="E4" s="47" t="s">
        <v>52</v>
      </c>
      <c r="G4" s="3"/>
    </row>
    <row r="5" spans="1:7" ht="15">
      <c r="A5" s="48" t="s">
        <v>49</v>
      </c>
      <c r="B5" s="49" t="s">
        <v>53</v>
      </c>
      <c r="C5" s="49" t="s">
        <v>51</v>
      </c>
      <c r="D5" s="50"/>
      <c r="E5" s="51" t="s">
        <v>52</v>
      </c>
      <c r="G5" s="3"/>
    </row>
    <row r="6" spans="1:7" ht="15">
      <c r="A6" s="44" t="s">
        <v>54</v>
      </c>
      <c r="B6" s="45" t="s">
        <v>55</v>
      </c>
      <c r="C6" s="45" t="s">
        <v>51</v>
      </c>
      <c r="D6" s="46"/>
      <c r="E6" s="47" t="s">
        <v>52</v>
      </c>
      <c r="G6" s="3"/>
    </row>
    <row r="7" spans="1:7" ht="12.75" customHeight="1">
      <c r="A7" s="48" t="s">
        <v>56</v>
      </c>
      <c r="B7" s="49" t="s">
        <v>57</v>
      </c>
      <c r="C7" s="49" t="s">
        <v>51</v>
      </c>
      <c r="D7" s="50"/>
      <c r="E7" s="51" t="s">
        <v>52</v>
      </c>
    </row>
    <row r="8" spans="1:7" ht="12.75" customHeight="1">
      <c r="A8" s="44" t="s">
        <v>58</v>
      </c>
      <c r="B8" s="45" t="s">
        <v>59</v>
      </c>
      <c r="C8" s="45" t="s">
        <v>51</v>
      </c>
      <c r="D8" s="46"/>
      <c r="E8" s="47" t="s">
        <v>52</v>
      </c>
    </row>
    <row r="9" spans="1:7" ht="12.75" customHeight="1">
      <c r="A9" s="48" t="s">
        <v>60</v>
      </c>
      <c r="B9" s="49" t="s">
        <v>61</v>
      </c>
      <c r="C9" s="49" t="s">
        <v>51</v>
      </c>
      <c r="D9" s="50"/>
      <c r="E9" s="51" t="s">
        <v>52</v>
      </c>
    </row>
    <row r="10" spans="1:7" ht="12.75" customHeight="1">
      <c r="A10" s="44" t="s">
        <v>62</v>
      </c>
      <c r="B10" s="45" t="s">
        <v>63</v>
      </c>
      <c r="C10" s="45" t="s">
        <v>51</v>
      </c>
      <c r="D10" s="46"/>
      <c r="E10" s="47" t="s">
        <v>52</v>
      </c>
    </row>
    <row r="11" spans="1:7" ht="12.75" customHeight="1">
      <c r="A11" s="48" t="s">
        <v>64</v>
      </c>
      <c r="B11" s="49" t="s">
        <v>65</v>
      </c>
      <c r="C11" s="49" t="s">
        <v>51</v>
      </c>
      <c r="D11" s="50"/>
      <c r="E11" s="51" t="s">
        <v>52</v>
      </c>
    </row>
    <row r="12" spans="1:7" ht="12.75" customHeight="1">
      <c r="A12" s="44" t="s">
        <v>66</v>
      </c>
      <c r="B12" s="45" t="s">
        <v>67</v>
      </c>
      <c r="C12" s="45" t="s">
        <v>51</v>
      </c>
      <c r="D12" s="46"/>
      <c r="E12" s="47" t="s">
        <v>52</v>
      </c>
    </row>
    <row r="13" spans="1:7" ht="12.75" customHeight="1">
      <c r="A13" s="48" t="s">
        <v>49</v>
      </c>
      <c r="B13" s="49" t="s">
        <v>68</v>
      </c>
      <c r="C13" s="49" t="s">
        <v>51</v>
      </c>
      <c r="D13" s="50"/>
      <c r="E13" s="51" t="s">
        <v>52</v>
      </c>
    </row>
    <row r="14" spans="1:7" ht="12.75" customHeight="1">
      <c r="A14" s="44" t="s">
        <v>69</v>
      </c>
      <c r="B14" s="45" t="s">
        <v>70</v>
      </c>
      <c r="C14" s="45" t="s">
        <v>51</v>
      </c>
      <c r="D14" s="46"/>
      <c r="E14" s="47" t="s">
        <v>52</v>
      </c>
    </row>
    <row r="15" spans="1:7" ht="12.75" customHeight="1">
      <c r="A15" s="48" t="s">
        <v>71</v>
      </c>
      <c r="B15" s="49" t="s">
        <v>72</v>
      </c>
      <c r="C15" s="49" t="s">
        <v>51</v>
      </c>
      <c r="D15" s="50"/>
      <c r="E15" s="51" t="s">
        <v>52</v>
      </c>
    </row>
    <row r="16" spans="1:7" ht="12.75" customHeight="1">
      <c r="A16" s="44" t="s">
        <v>73</v>
      </c>
      <c r="B16" s="45" t="s">
        <v>74</v>
      </c>
      <c r="C16" s="45" t="s">
        <v>51</v>
      </c>
      <c r="D16" s="46"/>
      <c r="E16" s="47" t="s">
        <v>52</v>
      </c>
    </row>
    <row r="17" spans="1:5" ht="12.75" customHeight="1">
      <c r="A17" s="48" t="s">
        <v>75</v>
      </c>
      <c r="B17" s="49" t="s">
        <v>76</v>
      </c>
      <c r="C17" s="49" t="s">
        <v>51</v>
      </c>
      <c r="D17" s="50"/>
      <c r="E17" s="51" t="s">
        <v>52</v>
      </c>
    </row>
    <row r="18" spans="1:5" ht="12.75" customHeight="1">
      <c r="A18" s="48"/>
      <c r="B18" s="49" t="s">
        <v>77</v>
      </c>
      <c r="C18" s="49" t="s">
        <v>51</v>
      </c>
      <c r="D18" s="46"/>
      <c r="E18" s="47" t="s">
        <v>52</v>
      </c>
    </row>
    <row r="19" spans="1:5" ht="12.75" customHeight="1">
      <c r="A19" s="48" t="s">
        <v>78</v>
      </c>
      <c r="B19" s="49" t="s">
        <v>79</v>
      </c>
      <c r="C19" s="49" t="s">
        <v>80</v>
      </c>
      <c r="D19" s="50"/>
      <c r="E19" s="51" t="s">
        <v>52</v>
      </c>
    </row>
    <row r="20" spans="1:5" ht="12.75" customHeight="1">
      <c r="A20" s="48" t="s">
        <v>81</v>
      </c>
      <c r="B20" s="49" t="s">
        <v>82</v>
      </c>
      <c r="C20" s="49" t="s">
        <v>80</v>
      </c>
      <c r="D20" s="46"/>
      <c r="E20" s="47" t="s">
        <v>52</v>
      </c>
    </row>
    <row r="21" spans="1:5" ht="12.75" customHeight="1">
      <c r="A21" s="48" t="s">
        <v>83</v>
      </c>
      <c r="B21" s="49" t="s">
        <v>84</v>
      </c>
      <c r="C21" s="49" t="s">
        <v>80</v>
      </c>
      <c r="D21" s="50"/>
      <c r="E21" s="51" t="s">
        <v>52</v>
      </c>
    </row>
    <row r="22" spans="1:5" ht="12.75" customHeight="1">
      <c r="A22" s="48" t="s">
        <v>85</v>
      </c>
      <c r="B22" s="49" t="s">
        <v>86</v>
      </c>
      <c r="C22" s="49" t="s">
        <v>80</v>
      </c>
      <c r="D22" s="46"/>
      <c r="E22" s="47" t="s">
        <v>52</v>
      </c>
    </row>
    <row r="23" spans="1:5" ht="12.75" customHeight="1">
      <c r="A23" s="48" t="s">
        <v>87</v>
      </c>
      <c r="B23" s="49" t="s">
        <v>88</v>
      </c>
      <c r="C23" s="49" t="s">
        <v>80</v>
      </c>
      <c r="D23" s="50"/>
      <c r="E23" s="51" t="s">
        <v>52</v>
      </c>
    </row>
    <row r="24" spans="1:5" ht="12.75" customHeight="1">
      <c r="A24" s="48" t="s">
        <v>89</v>
      </c>
      <c r="B24" s="49" t="s">
        <v>90</v>
      </c>
      <c r="C24" s="49" t="s">
        <v>80</v>
      </c>
      <c r="D24" s="46"/>
      <c r="E24" s="47" t="s">
        <v>52</v>
      </c>
    </row>
    <row r="25" spans="1:5" ht="12.75" customHeight="1">
      <c r="A25" s="48" t="s">
        <v>91</v>
      </c>
      <c r="B25" s="49" t="s">
        <v>92</v>
      </c>
      <c r="C25" s="49" t="s">
        <v>80</v>
      </c>
      <c r="D25" s="50"/>
      <c r="E25" s="51" t="s">
        <v>52</v>
      </c>
    </row>
    <row r="26" spans="1:5" ht="12.75" customHeight="1">
      <c r="A26" s="48" t="s">
        <v>93</v>
      </c>
      <c r="B26" s="49" t="s">
        <v>94</v>
      </c>
      <c r="C26" s="49" t="s">
        <v>80</v>
      </c>
      <c r="D26" s="46"/>
      <c r="E26" s="47" t="s">
        <v>52</v>
      </c>
    </row>
    <row r="27" spans="1:5" ht="12.75" customHeight="1">
      <c r="A27" s="48" t="s">
        <v>95</v>
      </c>
      <c r="B27" s="49" t="s">
        <v>96</v>
      </c>
      <c r="C27" s="49" t="s">
        <v>80</v>
      </c>
      <c r="D27" s="50"/>
      <c r="E27" s="51" t="s">
        <v>52</v>
      </c>
    </row>
    <row r="28" spans="1:5" ht="12.75" customHeight="1">
      <c r="A28" s="48" t="s">
        <v>97</v>
      </c>
      <c r="B28" s="49" t="s">
        <v>98</v>
      </c>
      <c r="C28" s="49" t="s">
        <v>80</v>
      </c>
      <c r="D28" s="46"/>
      <c r="E28" s="47" t="s">
        <v>52</v>
      </c>
    </row>
    <row r="29" spans="1:5" ht="12.75" customHeight="1">
      <c r="A29" s="48" t="s">
        <v>99</v>
      </c>
      <c r="B29" s="49" t="s">
        <v>100</v>
      </c>
      <c r="C29" s="49" t="s">
        <v>80</v>
      </c>
      <c r="D29" s="50"/>
      <c r="E29" s="51" t="s">
        <v>52</v>
      </c>
    </row>
    <row r="30" spans="1:5" ht="12.75" customHeight="1">
      <c r="A30" s="48" t="s">
        <v>101</v>
      </c>
      <c r="B30" s="49" t="s">
        <v>102</v>
      </c>
      <c r="C30" s="49" t="s">
        <v>103</v>
      </c>
      <c r="D30" s="46"/>
      <c r="E30" s="47" t="s">
        <v>52</v>
      </c>
    </row>
    <row r="31" spans="1:5" ht="12.75" customHeight="1">
      <c r="A31" s="48" t="s">
        <v>104</v>
      </c>
      <c r="B31" s="49" t="s">
        <v>105</v>
      </c>
      <c r="C31" s="49" t="s">
        <v>103</v>
      </c>
      <c r="D31" s="50"/>
      <c r="E31" s="51" t="s">
        <v>52</v>
      </c>
    </row>
    <row r="32" spans="1:5" ht="12.75" customHeight="1">
      <c r="A32" s="48" t="s">
        <v>49</v>
      </c>
      <c r="B32" s="49" t="s">
        <v>106</v>
      </c>
      <c r="C32" s="49" t="s">
        <v>107</v>
      </c>
      <c r="D32" s="46"/>
      <c r="E32" s="47" t="s">
        <v>52</v>
      </c>
    </row>
    <row r="33" spans="1:5" ht="12.75" customHeight="1">
      <c r="A33" s="48" t="s">
        <v>108</v>
      </c>
      <c r="B33" s="49" t="s">
        <v>109</v>
      </c>
      <c r="C33" s="49" t="s">
        <v>110</v>
      </c>
      <c r="D33" s="50"/>
      <c r="E33" s="51" t="s">
        <v>52</v>
      </c>
    </row>
    <row r="34" spans="1:5" ht="12.75" customHeight="1">
      <c r="A34" s="48" t="s">
        <v>111</v>
      </c>
      <c r="B34" s="49" t="s">
        <v>112</v>
      </c>
      <c r="C34" s="49" t="s">
        <v>110</v>
      </c>
      <c r="D34" s="46"/>
      <c r="E34" s="47" t="s">
        <v>52</v>
      </c>
    </row>
    <row r="35" spans="1:5" ht="12.75" customHeight="1">
      <c r="A35" s="48" t="s">
        <v>113</v>
      </c>
      <c r="B35" s="49" t="s">
        <v>114</v>
      </c>
      <c r="C35" s="49" t="s">
        <v>115</v>
      </c>
      <c r="D35" s="50"/>
      <c r="E35" s="51" t="s">
        <v>52</v>
      </c>
    </row>
    <row r="36" spans="1:5" ht="12.75" customHeight="1">
      <c r="A36" s="48" t="s">
        <v>49</v>
      </c>
      <c r="B36" s="49" t="s">
        <v>116</v>
      </c>
      <c r="C36" s="49" t="s">
        <v>115</v>
      </c>
      <c r="D36" s="46"/>
      <c r="E36" s="47" t="s">
        <v>52</v>
      </c>
    </row>
    <row r="37" spans="1:5" ht="12.75" customHeight="1">
      <c r="A37" s="48" t="s">
        <v>117</v>
      </c>
      <c r="B37" s="49" t="s">
        <v>118</v>
      </c>
      <c r="C37" s="49" t="s">
        <v>119</v>
      </c>
      <c r="D37" s="50"/>
      <c r="E37" s="51" t="s">
        <v>52</v>
      </c>
    </row>
    <row r="38" spans="1:5" ht="12.75" customHeight="1">
      <c r="A38" s="52" t="s">
        <v>120</v>
      </c>
      <c r="B38" s="53" t="s">
        <v>121</v>
      </c>
      <c r="C38" s="53" t="s">
        <v>119</v>
      </c>
      <c r="D38" s="54"/>
      <c r="E38" s="55" t="s">
        <v>52</v>
      </c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1.xml>��
</file>

<file path=customXml/item12.xml>��
</file>

<file path=customXml/item1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0.xml>��
</file>

<file path=customXml/itemProps1.xml><?xml version="1.0" encoding="utf-8"?>
<ds:datastoreItem xmlns:ds="http://schemas.openxmlformats.org/officeDocument/2006/customXml" ds:itemID="{E20E8303-6A67-485C-B6F4-303542CC295C}"/>
</file>

<file path=customXml/itemProps2.xml><?xml version="1.0" encoding="utf-8"?>
<ds:datastoreItem xmlns:ds="http://schemas.openxmlformats.org/officeDocument/2006/customXml" ds:itemID="{F12EFA50-0068-4A8C-85A0-F1B26389EBC3}"/>
</file>

<file path=customXml/itemProps3.xml><?xml version="1.0" encoding="utf-8"?>
<ds:datastoreItem xmlns:ds="http://schemas.openxmlformats.org/officeDocument/2006/customXml" ds:itemID="{1954BBA4-0359-438C-B0EC-A756015F7C02}"/>
</file>

<file path=customXml/itemProps4.xml><?xml version="1.0" encoding="utf-8"?>
<ds:datastoreItem xmlns:ds="http://schemas.openxmlformats.org/officeDocument/2006/customXml" ds:itemID="{66B09F59-6532-46F8-924A-9A02417E070D}"/>
</file>

<file path=customXml/itemProps5.xml><?xml version="1.0" encoding="utf-8"?>
<ds:datastoreItem xmlns:ds="http://schemas.openxmlformats.org/officeDocument/2006/customXml" ds:itemID="{89CF5C07-45EB-4100-9AFB-2C6AF77FA787}"/>
</file>

<file path=customXml/itemProps6.xml><?xml version="1.0" encoding="utf-8"?>
<ds:datastoreItem xmlns:ds="http://schemas.openxmlformats.org/officeDocument/2006/customXml" ds:itemID="{2BC74AAC-D69B-4AF1-9649-B21EF3C1C463}"/>
</file>

<file path=customXml/itemProps7.xml><?xml version="1.0" encoding="utf-8"?>
<ds:datastoreItem xmlns:ds="http://schemas.openxmlformats.org/officeDocument/2006/customXml" ds:itemID="{D3A7101F-9A85-4235-8B03-415370C100B2}"/>
</file>

<file path=customXml/itemProps8.xml><?xml version="1.0" encoding="utf-8"?>
<ds:datastoreItem xmlns:ds="http://schemas.openxmlformats.org/officeDocument/2006/customXml" ds:itemID="{3AEAA9D8-2182-46BA-A58E-96C72DDA1C54}"/>
</file>

<file path=customXml/itemProps9.xml><?xml version="1.0" encoding="utf-8"?>
<ds:datastoreItem xmlns:ds="http://schemas.openxmlformats.org/officeDocument/2006/customXml" ds:itemID="{14966E4F-347B-477B-B74C-9DAC05405806}"/>
</file>

<file path=customXml/itemProps10.xml><?xml version="1.0" encoding="utf-8"?>
<ds:datastoreItem xmlns:ds="http://schemas.openxmlformats.org/officeDocument/2006/customXml" ds:itemID="{7946C510-7D04-49D8-9B25-EEC04582A1CA}"/>
</file>

<file path=customXml/itemProps11.xml><?xml version="1.0" encoding="utf-8"?>
<ds:datastoreItem xmlns:ds="http://schemas.openxmlformats.org/officeDocument/2006/customXml" ds:itemID="{F6B2B1A1-1C4B-4AC9-9A7D-7A102DD1C942}"/>
</file>

<file path=customXml/itemProps12.xml><?xml version="1.0" encoding="utf-8"?>
<ds:datastoreItem xmlns:ds="http://schemas.openxmlformats.org/officeDocument/2006/customXml" ds:itemID="{078388C9-06F9-42F4-B857-EF76B5CAF1FD}"/>
</file>

<file path=customXml/itemProps13.xml><?xml version="1.0" encoding="utf-8"?>
<ds:datastoreItem xmlns:ds="http://schemas.openxmlformats.org/officeDocument/2006/customXml" ds:itemID="{8D732231-4216-4543-A665-18A2886B0EB7}"/>
</file>

<file path=customXml/itemProps14.xml><?xml version="1.0" encoding="utf-8"?>
<ds:datastoreItem xmlns:ds="http://schemas.openxmlformats.org/officeDocument/2006/customXml" ds:itemID="{0389C43E-394D-44C0-87DC-4780FCFCFB40}"/>
</file>

<file path=customXml/itemProps15.xml><?xml version="1.0" encoding="utf-8"?>
<ds:datastoreItem xmlns:ds="http://schemas.openxmlformats.org/officeDocument/2006/customXml" ds:itemID="{BF5C6359-7763-4C37-8EAF-2BC4698CB285}"/>
</file>

<file path=customXml/itemProps16.xml><?xml version="1.0" encoding="utf-8"?>
<ds:datastoreItem xmlns:ds="http://schemas.openxmlformats.org/officeDocument/2006/customXml" ds:itemID="{E3716282-BFD2-4ED2-BA47-BFA1123827F0}"/>
</file>

<file path=customXml/itemProps17.xml><?xml version="1.0" encoding="utf-8"?>
<ds:datastoreItem xmlns:ds="http://schemas.openxmlformats.org/officeDocument/2006/customXml" ds:itemID="{BE26B669-A686-459C-A5E9-FEC3409C4C81}"/>
</file>

<file path=customXml/itemProps18.xml><?xml version="1.0" encoding="utf-8"?>
<ds:datastoreItem xmlns:ds="http://schemas.openxmlformats.org/officeDocument/2006/customXml" ds:itemID="{98A113BB-8B7A-453C-8BD4-8EFC67FC2D3F}"/>
</file>

<file path=customXml/itemProps19.xml><?xml version="1.0" encoding="utf-8"?>
<ds:datastoreItem xmlns:ds="http://schemas.openxmlformats.org/officeDocument/2006/customXml" ds:itemID="{C0BCDC1E-6052-4E48-9BAF-94A40814E7C2}"/>
</file>

<file path=customXml/itemProps20.xml><?xml version="1.0" encoding="utf-8"?>
<ds:datastoreItem xmlns:ds="http://schemas.openxmlformats.org/officeDocument/2006/customXml" ds:itemID="{CB52044A-5C0B-44A2-99D0-C1C315EC302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Sanjaykumar Gunde</cp:lastModifiedBy>
  <cp:revision/>
  <dcterms:created xsi:type="dcterms:W3CDTF">2021-01-01T16:39:53Z</dcterms:created>
  <dcterms:modified xsi:type="dcterms:W3CDTF">2024-07-23T06:37:59Z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