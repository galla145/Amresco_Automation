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WFreport\"/>
    </mc:Choice>
  </mc:AlternateContent>
  <xr:revisionPtr revIDLastSave="93" documentId="13_ncr:1_{D4E85909-361E-4A75-B3CA-100FB3576525}" xr6:coauthVersionLast="47" xr6:coauthVersionMax="47" xr10:uidLastSave="{0DBD6762-27F9-4A88-8F98-28D2CEFF9461}"/>
  <bookViews>
    <workbookView xWindow="43080" yWindow="-120" windowWidth="29040" windowHeight="15720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0" l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E17" i="18" l="1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1" i="18" l="1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<sst xmlns="http://schemas.openxmlformats.org/spreadsheetml/2006/main" count="396" uniqueCount="156">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</sst>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34" fillId="40" borderId="1" xfId="0" applyFont="1" applyFill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7" fillId="40" borderId="1" xfId="0" applyFont="1" applyFill="1" applyBorder="1" applyAlignment="1">
      <alignment horizontal="left"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30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vertical="center" wrapText="1"/>
    </xf>
    <xf numFmtId="49" fontId="27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0" fillId="38" borderId="1" xfId="2" applyNumberFormat="1" applyFont="1" applyFill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49" fontId="27" fillId="0" borderId="1" xfId="0" applyNumberFormat="1" applyFont="1" applyBorder="1" applyAlignment="1">
      <alignment horizontal="left" wrapText="1"/>
    </xf>
    <xf numFmtId="3" fontId="30" fillId="0" borderId="1" xfId="1" applyNumberFormat="1" applyFont="1" applyFill="1" applyBorder="1" applyAlignment="1">
      <alignment horizontal="right" vertical="center" wrapText="1"/>
    </xf>
    <xf numFmtId="3" fontId="30" fillId="0" borderId="1" xfId="0" applyNumberFormat="1" applyFont="1" applyBorder="1" applyAlignment="1">
      <alignment horizontal="center" vertical="center"/>
    </xf>
    <xf numFmtId="3" fontId="30" fillId="0" borderId="1" xfId="1" applyNumberFormat="1" applyFont="1" applyFill="1" applyBorder="1" applyAlignment="1">
      <alignment horizontal="center" vertical="center"/>
    </xf>
    <xf numFmtId="0" fontId="23" fillId="0" borderId="12" xfId="0" applyFont="1" applyBorder="1"/>
    <xf numFmtId="49" fontId="28" fillId="0" borderId="13" xfId="0" applyNumberFormat="1" applyFont="1" applyBorder="1" applyAlignment="1">
      <alignment vertical="center" wrapText="1"/>
    </xf>
    <xf numFmtId="3" fontId="30" fillId="0" borderId="1" xfId="1" applyNumberFormat="1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Catalyze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SUM(C4:C92)</f>
        <v>6163368.4718271438</v>
      </c>
      <c r="D2" s="5">
        <f>SUM(D4:D92)</f>
        <v>7617212.1230000006</v>
      </c>
      <c r="E2" s="5">
        <f>C2-D2</f>
        <v>-1453843.6511728568</v>
      </c>
      <c r="F2" s="6">
        <f>IFERROR(E2/D2, 0)</f>
        <v>-0.19086295979378184</v>
      </c>
      <c r="G2" s="5">
        <f>SUM(G4:G92)</f>
        <v>19035358.130000003</v>
      </c>
      <c r="H2" s="7">
        <f>C2-G2</f>
        <v>-12871989.658172859</v>
      </c>
      <c r="I2" s="6">
        <f>IFERROR(H2/G2, 0)</f>
        <v>-0.67621473524506037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432425.93749999988</v>
      </c>
      <c r="D4" s="37">
        <f>SUM('1st Qtr'!D4, '2nd Qtr'!D4, '3rd Qtr'!D4, '4th Qtr'!D4)</f>
        <v>439254.92</v>
      </c>
      <c r="E4" s="37">
        <f>IF(AND(ISNUMBER(C4),ISNUMBER(D4)), C4-D4, "")</f>
        <v>-6828.9825000001001</v>
      </c>
      <c r="F4" s="38">
        <f>IFERROR(E4/D4, "")</f>
        <v>-1.5546741058700266E-2</v>
      </c>
      <c r="G4" s="39">
        <f>SUM('1st Qtr'!G4, '2nd Qtr'!G4, '3rd Qtr'!G4, '4th Qtr'!G4)</f>
        <v>474059.68</v>
      </c>
      <c r="H4" s="39">
        <f>SUM('1st Qtr'!H4, '2nd Qtr'!H4, '3rd Qtr'!H4, '4th Qtr'!H4)</f>
        <v>-41633.742500000102</v>
      </c>
      <c r="I4" s="40">
        <f>IFERROR(H4/G4, "")</f>
        <v>-8.7823842137344607E-2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3793038.45</v>
      </c>
      <c r="H5" s="46">
        <f>SUM(Jan!H5, Feb!H5, Mar!H5)</f>
        <v>-1198363.4500000002</v>
      </c>
      <c r="I5" s="45">
        <f>IFERROR(H5/G5, "")</f>
        <v>-0.31593759615065337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3081536</v>
      </c>
      <c r="H6" s="39">
        <f>SUM(Jan!H6, Feb!H6, Mar!H6)</f>
        <v>-471279.3</v>
      </c>
      <c r="I6" s="40">
        <f t="shared" ref="I6:I15" si="2">IFERROR(H6/G6, "")</f>
        <v>-0.15293649011402105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264928.48</v>
      </c>
      <c r="H7" s="46">
        <f>SUM(Jan!H7, Feb!H7, Mar!H7)</f>
        <v>-17768.789999999997</v>
      </c>
      <c r="I7" s="45">
        <f t="shared" si="2"/>
        <v>-6.7070139080554869E-2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74892.138999999996</v>
      </c>
      <c r="H8" s="39">
        <f>SUM(Jan!H8, Feb!H8, Mar!H8)</f>
        <v>-9322.2040000003508</v>
      </c>
      <c r="I8" s="40">
        <f t="shared" si="2"/>
        <v>-0.124475066735647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67023.581000000006</v>
      </c>
      <c r="H9" s="46">
        <f>SUM(Jan!H9, Feb!H9, Mar!H9)</f>
        <v>-6768.8868291059707</v>
      </c>
      <c r="I9" s="45">
        <f t="shared" si="2"/>
        <v>-0.10099261674940899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103000.68</v>
      </c>
      <c r="H10" s="39">
        <f>SUM(Jan!H10, Feb!H10, Mar!H10)</f>
        <v>-8334.25</v>
      </c>
      <c r="I10" s="40">
        <f t="shared" si="2"/>
        <v>-8.0914514350779052E-2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233396.91000000003</v>
      </c>
      <c r="H11" s="46">
        <f>SUM(Jan!H11, Feb!H11, Mar!H11)</f>
        <v>-11927.27</v>
      </c>
      <c r="I11" s="45">
        <f t="shared" si="2"/>
        <v>-5.1102947335506708E-2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3667570</v>
      </c>
      <c r="H12" s="39">
        <f>SUM(Jan!H12, Feb!H12, Mar!H12)</f>
        <v>-509052</v>
      </c>
      <c r="I12" s="40">
        <f t="shared" si="2"/>
        <v>-0.1387981688147738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2667186.6</v>
      </c>
      <c r="H13" s="46">
        <f>SUM(Jan!H13, Feb!H13, Mar!H13)</f>
        <v>-32019.999999999942</v>
      </c>
      <c r="I13" s="45">
        <f t="shared" si="2"/>
        <v>-1.2005159294066618E-2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2921496.5</v>
      </c>
      <c r="H14" s="39">
        <f>SUM(Jan!H14, Feb!H14, Mar!H14)</f>
        <v>-167958.09999999998</v>
      </c>
      <c r="I14" s="40">
        <f t="shared" si="2"/>
        <v>-5.7490433413149723E-2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525589.07000000007</v>
      </c>
      <c r="H15" s="46">
        <f>SUM(Jan!H15, Feb!H15, Mar!H15)</f>
        <v>-40178.804843750004</v>
      </c>
      <c r="I15" s="45">
        <f t="shared" si="2"/>
        <v>-7.6445282326266795E-2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639876.37</v>
      </c>
      <c r="H16" s="39">
        <f>SUM(Jan!H16, Feb!H16, Mar!H16)</f>
        <v>-28355.72</v>
      </c>
      <c r="I16" s="40">
        <f t="shared" ref="I16:I17" si="5">IFERROR(H16/G16, "")</f>
        <v>-4.4314372790481386E-2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521763.67</v>
      </c>
      <c r="H17" s="46">
        <f>SUM(Jan!H17, Feb!H17, Mar!H17)</f>
        <v>-10606.319999999992</v>
      </c>
      <c r="I17" s="45">
        <f t="shared" si="5"/>
        <v>-2.0327823897742809E-2</v>
      </c>
    </row>
    <row r="18" spans="1:9" ht="12.9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2.9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2.9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2.9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2.9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2.9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2.9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2.9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2.9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2.9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2.9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2.9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2.9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2.9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Catalyze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4.4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2.9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2.9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2.9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2.9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2.9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2.9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2.9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2.9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2.9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2.9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2.9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2.9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2.9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K31" sqref="K31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Catalyze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SUM(C4:C92)</f>
        <v>8341373.8199056787</v>
      </c>
      <c r="D2" s="5">
        <f>SUM(D4:D92)</f>
        <v>9149355.7499999981</v>
      </c>
      <c r="E2" s="5">
        <f>C2-D2</f>
        <v>-807981.9300943194</v>
      </c>
      <c r="F2" s="6">
        <f>IFERROR(E2/D2, 0)</f>
        <v>-8.8310253986388004E-2</v>
      </c>
      <c r="G2" s="5">
        <f>SUM(G4:G92)</f>
        <v>10574867.620000001</v>
      </c>
      <c r="H2" s="7">
        <f>C2-G2</f>
        <v>-2233493.8000943223</v>
      </c>
      <c r="I2" s="6">
        <f>IFERROR(H2/G2, 0)</f>
        <v>-0.21120773142069102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240067.37187500001</v>
      </c>
      <c r="D4" s="37">
        <f>SUM(Apr!D4, May!D4, Jun!D4)</f>
        <v>249062.8</v>
      </c>
      <c r="E4" s="37">
        <f>IF(AND(ISNUMBER(C4),ISNUMBER(D4)), C4-D4, "")</f>
        <v>-8995.4281249999767</v>
      </c>
      <c r="F4" s="38">
        <f>IFERROR(E4/D4, "")</f>
        <v>-3.611710831565363E-2</v>
      </c>
      <c r="G4" s="39">
        <f>SUM(Apr!G4+May!G4+Jun!G4)</f>
        <v>256446.8</v>
      </c>
      <c r="H4" s="39">
        <f>SUM(Apr!H4, May!H4, Jun!H4)</f>
        <v>-16379.428125000006</v>
      </c>
      <c r="I4" s="40">
        <f>IFERROR(H4/G4, "")</f>
        <v>-6.3870666840061985E-2</v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846857</v>
      </c>
      <c r="D5" s="44">
        <f>SUM(Apr!D5, May!D5, Jun!D5)</f>
        <v>1180302</v>
      </c>
      <c r="E5" s="44">
        <f t="shared" ref="E5:E15" si="0">IF(AND(ISNUMBER(C5),ISNUMBER(D5)), C5-D5, "")</f>
        <v>-333445</v>
      </c>
      <c r="F5" s="45">
        <f>IFERROR(E5/D5, "")</f>
        <v>-0.28250820552706002</v>
      </c>
      <c r="G5" s="46">
        <f>SUM(Apr!G5+May!G5+Jun!G5)</f>
        <v>1896554</v>
      </c>
      <c r="H5" s="46">
        <f>SUM(Apr!H5, May!H5, Jun!H5)</f>
        <v>-1049697</v>
      </c>
      <c r="I5" s="45">
        <f>IFERROR(H5/G5, "")</f>
        <v>-0.553475935828877</v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1273910</v>
      </c>
      <c r="D6" s="37">
        <f>SUM(Apr!D6, May!D6, Jun!D6)</f>
        <v>1463342</v>
      </c>
      <c r="E6" s="37">
        <f t="shared" si="0"/>
        <v>-189432</v>
      </c>
      <c r="F6" s="38">
        <f t="shared" ref="F6:F15" si="1">IFERROR(E6/D6, "")</f>
        <v>-0.12945162511565991</v>
      </c>
      <c r="G6" s="39">
        <f>SUM(Apr!G6+May!G6+Jun!G6)</f>
        <v>1588827.7000000002</v>
      </c>
      <c r="H6" s="39">
        <f>SUM(Apr!H6, May!H6, Jun!H6)</f>
        <v>-314917.70000000007</v>
      </c>
      <c r="I6" s="40">
        <f t="shared" ref="I6:I15" si="2">IFERROR(H6/G6, "")</f>
        <v>-0.19820758412004022</v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119414.5</v>
      </c>
      <c r="D7" s="44">
        <f>SUM(Apr!D7, May!D7, Jun!D7)</f>
        <v>123935.39</v>
      </c>
      <c r="E7" s="44">
        <f t="shared" si="0"/>
        <v>-4520.8899999999994</v>
      </c>
      <c r="F7" s="45">
        <f t="shared" si="1"/>
        <v>-3.6477797019882692E-2</v>
      </c>
      <c r="G7" s="46">
        <f>SUM(Apr!G7+May!G7+Jun!G7)</f>
        <v>140772.19</v>
      </c>
      <c r="H7" s="46">
        <f>SUM(Apr!H7, May!H7, Jun!H7)</f>
        <v>-21357.690000000002</v>
      </c>
      <c r="I7" s="45">
        <f t="shared" si="2"/>
        <v>-0.15171810568550509</v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36188.375</v>
      </c>
      <c r="D8" s="37">
        <f>SUM(Apr!D8, May!D8, Jun!D8)</f>
        <v>36852.020000000004</v>
      </c>
      <c r="E8" s="37">
        <f t="shared" si="0"/>
        <v>-663.64500000000407</v>
      </c>
      <c r="F8" s="38">
        <f t="shared" si="1"/>
        <v>-1.8008375117564899E-2</v>
      </c>
      <c r="G8" s="39">
        <f>SUM(Apr!G8+May!G8+Jun!G8)</f>
        <v>38837.31</v>
      </c>
      <c r="H8" s="39">
        <f>SUM(Apr!H8, May!H8, Jun!H8)</f>
        <v>-2648.9350000000013</v>
      </c>
      <c r="I8" s="40">
        <f t="shared" si="2"/>
        <v>-6.8205933933117441E-2</v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34686.691955772898</v>
      </c>
      <c r="D9" s="44">
        <f>SUM(Apr!D9, May!D9, Jun!D9)</f>
        <v>36341.53</v>
      </c>
      <c r="E9" s="44">
        <f t="shared" si="0"/>
        <v>-1654.8380442271009</v>
      </c>
      <c r="F9" s="45">
        <f t="shared" si="1"/>
        <v>-4.5535728524008237E-2</v>
      </c>
      <c r="G9" s="46">
        <f>SUM(Apr!G9+May!G9+Jun!G9)</f>
        <v>39162.400000000001</v>
      </c>
      <c r="H9" s="46">
        <f>SUM(Apr!H9, May!H9, Jun!H9)</f>
        <v>-4475.7080442271017</v>
      </c>
      <c r="I9" s="45">
        <f t="shared" si="2"/>
        <v>-0.11428584673633642</v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50053.6875</v>
      </c>
      <c r="D10" s="37">
        <f>SUM(Apr!D10, May!D10, Jun!D10)</f>
        <v>53171.14</v>
      </c>
      <c r="E10" s="37">
        <f t="shared" si="0"/>
        <v>-3117.4524999999994</v>
      </c>
      <c r="F10" s="38">
        <f t="shared" si="1"/>
        <v>-5.8630537167343025E-2</v>
      </c>
      <c r="G10" s="39">
        <f>SUM(Apr!G10+May!G10+Jun!G10)</f>
        <v>56556.43</v>
      </c>
      <c r="H10" s="39">
        <f>SUM(Apr!H10, May!H10, Jun!H10)</f>
        <v>-6502.7425000000003</v>
      </c>
      <c r="I10" s="40">
        <f t="shared" si="2"/>
        <v>-0.11497795210907054</v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119913.7462311557</v>
      </c>
      <c r="D11" s="44">
        <f>SUM(Apr!D11, May!D11, Jun!D11)</f>
        <v>127512.59</v>
      </c>
      <c r="E11" s="44">
        <f t="shared" si="0"/>
        <v>-7598.8437688442937</v>
      </c>
      <c r="F11" s="45">
        <f t="shared" si="1"/>
        <v>-5.9592890151821822E-2</v>
      </c>
      <c r="G11" s="46">
        <f>SUM(Apr!G11+May!G11+Jun!G11)</f>
        <v>130597.89000000001</v>
      </c>
      <c r="H11" s="46">
        <f>SUM(Apr!H11, May!H11, Jun!H11)</f>
        <v>-10684.143768844304</v>
      </c>
      <c r="I11" s="45">
        <f t="shared" si="2"/>
        <v>-8.1809466974116521E-2</v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1834999</v>
      </c>
      <c r="D12" s="37">
        <f>SUM(Apr!D12, May!D12, Jun!D12)</f>
        <v>1827519.31</v>
      </c>
      <c r="E12" s="37">
        <f t="shared" si="0"/>
        <v>7479.6899999999441</v>
      </c>
      <c r="F12" s="38">
        <f t="shared" si="1"/>
        <v>4.0928103791143767E-3</v>
      </c>
      <c r="G12" s="39">
        <f>SUM(Apr!G12+May!G12+Jun!G12)</f>
        <v>2153868</v>
      </c>
      <c r="H12" s="39">
        <f>SUM(Apr!H12, May!H12, Jun!H12)</f>
        <v>-318869</v>
      </c>
      <c r="I12" s="40">
        <f t="shared" si="2"/>
        <v>-0.14804481983111314</v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1407045</v>
      </c>
      <c r="D13" s="44">
        <f>SUM(Apr!D13, May!D13, Jun!D13)</f>
        <v>1540191.67</v>
      </c>
      <c r="E13" s="44">
        <f t="shared" si="0"/>
        <v>-133146.66999999993</v>
      </c>
      <c r="F13" s="45">
        <f t="shared" si="1"/>
        <v>-8.6448117200893529E-2</v>
      </c>
      <c r="G13" s="46">
        <f>SUM(Apr!G13+May!G13+Jun!G13)</f>
        <v>1641486.6</v>
      </c>
      <c r="H13" s="46">
        <f>SUM(Apr!H13, May!H13, Jun!H13)</f>
        <v>-234441.59999999998</v>
      </c>
      <c r="I13" s="45">
        <f t="shared" si="2"/>
        <v>-0.14282273154103114</v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1528532</v>
      </c>
      <c r="D14" s="37">
        <f>SUM(Apr!D14, May!D14, Jun!D14)</f>
        <v>1632902.1</v>
      </c>
      <c r="E14" s="37">
        <f t="shared" si="0"/>
        <v>-104370.10000000009</v>
      </c>
      <c r="F14" s="38">
        <f t="shared" si="1"/>
        <v>-6.391693660017958E-2</v>
      </c>
      <c r="G14" s="39">
        <f>SUM(Apr!G14+May!G14+Jun!G14)</f>
        <v>1801881.4</v>
      </c>
      <c r="H14" s="39">
        <f>SUM(Apr!H14, May!H14, Jun!H14)</f>
        <v>-273349.40000000002</v>
      </c>
      <c r="I14" s="40">
        <f t="shared" si="2"/>
        <v>-0.15170221525123687</v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231780.19734374998</v>
      </c>
      <c r="D15" s="44">
        <f>SUM(Apr!D15, May!D15, Jun!D15)</f>
        <v>238684.7</v>
      </c>
      <c r="E15" s="44">
        <f t="shared" si="0"/>
        <v>-6904.5026562500279</v>
      </c>
      <c r="F15" s="45">
        <f t="shared" si="1"/>
        <v>-2.8927294695680231E-2</v>
      </c>
      <c r="G15" s="46">
        <f>SUM(Apr!G15+May!G15+Jun!G15)</f>
        <v>257022.4</v>
      </c>
      <c r="H15" s="46">
        <f>SUM(Apr!H15, May!H15, Jun!H15)</f>
        <v>-25242.202656249996</v>
      </c>
      <c r="I15" s="45">
        <f t="shared" si="2"/>
        <v>-9.8210127429554761E-2</v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345026.5</v>
      </c>
      <c r="D16" s="37">
        <f>SUM(Apr!D16, May!D16, Jun!D16)</f>
        <v>342884.1</v>
      </c>
      <c r="E16" s="37">
        <f t="shared" ref="E16:E17" si="3">IF(AND(ISNUMBER(C16),ISNUMBER(D16)), C16-D16, "")</f>
        <v>2142.4000000000233</v>
      </c>
      <c r="F16" s="38">
        <f t="shared" ref="F16:F17" si="4">IFERROR(E16/D16, "")</f>
        <v>6.2481754038756056E-3</v>
      </c>
      <c r="G16" s="39">
        <f>SUM(Apr!G16+May!G16+Jun!G16)</f>
        <v>309021.40000000002</v>
      </c>
      <c r="H16" s="39">
        <f>SUM(Apr!H16, May!H16, Jun!H16)</f>
        <v>36005.100000000006</v>
      </c>
      <c r="I16" s="40">
        <f t="shared" ref="I16:I17" si="5">IFERROR(H16/G16, "")</f>
        <v>0.11651329001810232</v>
      </c>
    </row>
    <row r="17" spans="1:9" ht="15.75">
      <c r="A17" s="56" t="str">
        <v>Friona - 900 Millard Ave</v>
      </c>
      <c r="B17" s="42" t="str">
        <v>TX</v>
      </c>
      <c r="C17" s="43">
        <f>SUM(Apr!C17, May!C17, Jun!C17)</f>
        <v>272899.75</v>
      </c>
      <c r="D17" s="44">
        <f>SUM(Apr!D17, May!D17, Jun!D17)</f>
        <v>296654.40000000002</v>
      </c>
      <c r="E17" s="44">
        <f t="shared" si="3"/>
        <v>-23754.650000000023</v>
      </c>
      <c r="F17" s="65">
        <f t="shared" si="4"/>
        <v>-8.0075164905695051E-2</v>
      </c>
      <c r="G17" s="46">
        <f>SUM(Apr!G17+May!G17+Jun!G17)</f>
        <v>263833.09999999998</v>
      </c>
      <c r="H17" s="46">
        <f>SUM(Apr!H17, May!H17, Jun!H17)</f>
        <v>9066.6499999999942</v>
      </c>
      <c r="I17" s="66">
        <f t="shared" si="5"/>
        <v>3.4365096722132268E-2</v>
      </c>
    </row>
    <row r="18" spans="1:9" ht="12.9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2.9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2.9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2.9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2.9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2.9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2.9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2.9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2.9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2.9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2.9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2.9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2.9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2.9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:F92 I18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Catalyze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0</v>
      </c>
      <c r="D16" s="37">
        <f>SUM(Jul!D16, Aug!D16, Sep!D16)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SUM(Jul!H16, Aug!H16, Sep!H16)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2.9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2.9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2.9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2.9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2.9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2.9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2.9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2.9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Catalyze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4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4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4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4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2.9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2.9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2.9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2.9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2.9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2.9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2.9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2.9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2.9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E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7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4">
      <c r="A1" s="71" t="str" cm="1">
        <f t="array" ref="A1">portfolio</f>
        <v>Catalyze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1" ht="15.4">
      <c r="A2" s="73" t="s">
        <v>2</v>
      </c>
      <c r="B2" s="73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.4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7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7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7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4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36</v>
      </c>
      <c r="E1" s="72"/>
      <c r="F1" s="72"/>
      <c r="G1" s="70" t="s">
        <v>37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2.9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8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8"/>
    </row>
    <row r="12" spans="1:11" ht="28.7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8" t="s">
        <v>49</v>
      </c>
    </row>
    <row r="14" spans="1:11" ht="71.650000000000006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8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7" t="s">
        <v>52</v>
      </c>
      <c r="K17" s="68" t="s">
        <v>53</v>
      </c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4" activePane="bottomRight" state="frozen"/>
      <selection pane="bottomRight" activeCell="N20" sqref="N20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1" t="str" cm="1">
        <f t="array" ref="A1">portfolio</f>
        <v>Catalyze</v>
      </c>
      <c r="B1" s="71"/>
      <c r="C1" s="71"/>
      <c r="D1" s="72" t="s">
        <v>54</v>
      </c>
      <c r="E1" s="72"/>
      <c r="F1" s="72"/>
      <c r="G1" s="70" t="s">
        <v>55</v>
      </c>
      <c r="H1" s="70"/>
      <c r="I1" s="70"/>
      <c r="J1" s="4"/>
      <c r="K1" s="4"/>
    </row>
    <row r="2" spans="1:13" ht="19.5" customHeight="1">
      <c r="A2" s="73" t="s">
        <v>2</v>
      </c>
      <c r="B2" s="73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29.1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1" t="s">
        <v>56</v>
      </c>
      <c r="K4" s="61" t="s">
        <v>57</v>
      </c>
      <c r="M4" s="60"/>
    </row>
    <row r="5" spans="1:13" ht="57.4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2" t="s">
        <v>58</v>
      </c>
      <c r="K5" s="62" t="s">
        <v>59</v>
      </c>
      <c r="M5" s="60"/>
    </row>
    <row r="6" spans="1:13" ht="15.75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1" t="s">
        <v>60</v>
      </c>
      <c r="K6" s="61" t="s">
        <v>61</v>
      </c>
      <c r="M6" s="60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2"/>
      <c r="K7" s="63"/>
      <c r="M7" s="60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1"/>
      <c r="K8" s="61"/>
      <c r="M8" s="60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2"/>
      <c r="K9" s="63"/>
      <c r="M9" s="60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1"/>
      <c r="K10" s="61"/>
      <c r="M10" s="60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2"/>
      <c r="K11" s="63"/>
      <c r="M11" s="60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1"/>
      <c r="K12" s="61"/>
      <c r="M12" s="60"/>
    </row>
    <row r="13" spans="1:13" ht="47.1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2" t="s">
        <v>62</v>
      </c>
      <c r="K13" s="63" t="s">
        <v>63</v>
      </c>
      <c r="M13" s="60"/>
    </row>
    <row r="14" spans="1:13" ht="42.9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1" t="s">
        <v>64</v>
      </c>
      <c r="K14" s="61" t="s">
        <v>65</v>
      </c>
      <c r="M14" s="60"/>
    </row>
    <row r="15" spans="1:13" ht="31.3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2" t="s">
        <v>66</v>
      </c>
      <c r="K15" s="63" t="s">
        <v>67</v>
      </c>
      <c r="M15" s="60"/>
    </row>
    <row r="16" spans="1:13" ht="28.7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1" t="s">
        <v>68</v>
      </c>
      <c r="K16" s="61" t="s">
        <v>69</v>
      </c>
      <c r="M16" s="60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2" t="s">
        <v>70</v>
      </c>
      <c r="K17" s="63" t="s">
        <v>71</v>
      </c>
      <c r="M17" s="60"/>
    </row>
    <row r="18" spans="1:13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0"/>
    </row>
    <row r="19" spans="1:13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0"/>
    </row>
    <row r="20" spans="1:13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0"/>
    </row>
    <row r="21" spans="1:13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0"/>
    </row>
    <row r="22" spans="1:13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0"/>
    </row>
    <row r="23" spans="1:13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0"/>
    </row>
    <row r="24" spans="1:13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0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0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0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0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0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0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0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0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0"/>
    </row>
    <row r="33" spans="1:13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0"/>
    </row>
    <row r="34" spans="1:13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0"/>
    </row>
    <row r="35" spans="1:13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0"/>
    </row>
    <row r="36" spans="1:13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0"/>
    </row>
    <row r="37" spans="1:13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0"/>
    </row>
    <row r="38" spans="1:13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0"/>
    </row>
    <row r="39" spans="1:13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0"/>
    </row>
    <row r="40" spans="1:13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0"/>
    </row>
    <row r="41" spans="1:13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0"/>
    </row>
    <row r="42" spans="1:13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Q17" sqref="Q17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72</v>
      </c>
      <c r="E1" s="72"/>
      <c r="F1" s="72"/>
      <c r="G1" s="70" t="s">
        <v>73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110443.934375</v>
      </c>
      <c r="D4" s="37"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v>119130.8</v>
      </c>
      <c r="H4" s="39">
        <f>IF(AND(ISNUMBER(C4),ISNUMBER(G4)), C4-G4, "")</f>
        <v>-8686.8656250000058</v>
      </c>
      <c r="I4" s="40">
        <f>IFERROR(H4/G4, "")</f>
        <v>-7.2918721480926887E-2</v>
      </c>
      <c r="J4" s="57" t="s">
        <v>74</v>
      </c>
      <c r="K4" s="57" t="s">
        <v>75</v>
      </c>
    </row>
    <row r="5" spans="1:11" ht="15.75">
      <c r="A5" s="49" t="str">
        <v>Adelanto - 1 Sheep Creek Road</v>
      </c>
      <c r="B5" s="50" t="str">
        <v>CA</v>
      </c>
      <c r="C5" s="43">
        <v>402561</v>
      </c>
      <c r="D5" s="44">
        <v>693821</v>
      </c>
      <c r="E5" s="44">
        <f t="shared" ref="E5:E17" si="0">IF(AND(ISNUMBER(C5),ISNUMBER(D5)), C5-D5, "")</f>
        <v>-291260</v>
      </c>
      <c r="F5" s="45">
        <f>IFERROR(E5/D5, "")</f>
        <v>-0.41979127181218212</v>
      </c>
      <c r="G5" s="64">
        <v>898384</v>
      </c>
      <c r="H5" s="46">
        <f t="shared" ref="H5:H17" si="1">IF(AND(ISNUMBER(C5),ISNUMBER(G5)), C5-G5, "")</f>
        <v>-495823</v>
      </c>
      <c r="I5" s="45">
        <f t="shared" ref="I5:I17" si="2">IFERROR(H5/G5, "")</f>
        <v>-0.55190542128978259</v>
      </c>
      <c r="J5" s="58" t="s">
        <v>76</v>
      </c>
      <c r="K5" s="58" t="s">
        <v>77</v>
      </c>
    </row>
    <row r="6" spans="1:11" ht="30" customHeight="1">
      <c r="A6" s="51" t="str">
        <v>Blackstone - 83 Federal Street</v>
      </c>
      <c r="B6" s="48" t="str">
        <v>MA</v>
      </c>
      <c r="C6" s="36">
        <v>606024</v>
      </c>
      <c r="D6" s="37">
        <v>680455.2</v>
      </c>
      <c r="E6" s="37">
        <f t="shared" si="0"/>
        <v>-74431.199999999953</v>
      </c>
      <c r="F6" s="38">
        <f t="shared" ref="F6:F17" si="3">IFERROR(E6/D6, "")</f>
        <v>-0.10938442383863031</v>
      </c>
      <c r="G6" s="39">
        <v>770475.3</v>
      </c>
      <c r="H6" s="39">
        <f t="shared" si="1"/>
        <v>-164451.30000000005</v>
      </c>
      <c r="I6" s="40">
        <f t="shared" si="2"/>
        <v>-0.21344136534941488</v>
      </c>
      <c r="J6" s="57"/>
      <c r="K6" s="57"/>
    </row>
    <row r="7" spans="1:11" ht="27.75" customHeight="1">
      <c r="A7" s="49" t="str">
        <v>Charlton - 299 Worcester Road</v>
      </c>
      <c r="B7" s="50" t="str">
        <v>MA</v>
      </c>
      <c r="C7" s="43">
        <v>56399</v>
      </c>
      <c r="D7" s="44">
        <v>57742.91</v>
      </c>
      <c r="E7" s="44">
        <f t="shared" si="0"/>
        <v>-1343.9100000000035</v>
      </c>
      <c r="F7" s="45">
        <f t="shared" si="3"/>
        <v>-2.3274026196462967E-2</v>
      </c>
      <c r="G7" s="46">
        <v>70885.53</v>
      </c>
      <c r="H7" s="46">
        <f t="shared" si="1"/>
        <v>-14486.529999999999</v>
      </c>
      <c r="I7" s="45">
        <f t="shared" si="2"/>
        <v>-0.2043651221906643</v>
      </c>
      <c r="J7" s="58" t="s">
        <v>78</v>
      </c>
      <c r="K7" s="59" t="s">
        <v>79</v>
      </c>
    </row>
    <row r="8" spans="1:11" ht="15.75">
      <c r="A8" s="51" t="str">
        <v>Wareham - 8 Thatcher Drive</v>
      </c>
      <c r="B8" s="48" t="str">
        <v>MA</v>
      </c>
      <c r="C8" s="36">
        <v>16925.875</v>
      </c>
      <c r="D8" s="37">
        <v>17111.189999999999</v>
      </c>
      <c r="E8" s="37">
        <f t="shared" si="0"/>
        <v>-185.31499999999869</v>
      </c>
      <c r="F8" s="38">
        <f t="shared" si="3"/>
        <v>-1.0830047471858983E-2</v>
      </c>
      <c r="G8" s="39">
        <v>18394.93</v>
      </c>
      <c r="H8" s="39">
        <f t="shared" si="1"/>
        <v>-1469.0550000000003</v>
      </c>
      <c r="I8" s="40">
        <f t="shared" si="2"/>
        <v>-7.9861951091958511E-2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16282.5226917034</v>
      </c>
      <c r="D9" s="44">
        <v>16635.099999999999</v>
      </c>
      <c r="E9" s="44">
        <f t="shared" si="0"/>
        <v>-352.57730829659886</v>
      </c>
      <c r="F9" s="45">
        <f t="shared" si="3"/>
        <v>-2.1194781413793658E-2</v>
      </c>
      <c r="G9" s="46">
        <v>18770.490000000002</v>
      </c>
      <c r="H9" s="46">
        <f t="shared" si="1"/>
        <v>-2487.9673082966019</v>
      </c>
      <c r="I9" s="45">
        <f t="shared" si="2"/>
        <v>-0.13254674269540123</v>
      </c>
      <c r="J9" s="58"/>
      <c r="K9" s="59"/>
    </row>
    <row r="10" spans="1:11" ht="42.95">
      <c r="A10" s="51" t="str">
        <v>Harrison - 130 Union Street</v>
      </c>
      <c r="B10" s="48" t="str">
        <v>NY</v>
      </c>
      <c r="C10" s="36">
        <v>21737.375</v>
      </c>
      <c r="D10" s="37">
        <v>23442.16</v>
      </c>
      <c r="E10" s="37">
        <f t="shared" si="0"/>
        <v>-1704.7849999999999</v>
      </c>
      <c r="F10" s="38">
        <f t="shared" si="3"/>
        <v>-7.2723034054882313E-2</v>
      </c>
      <c r="G10" s="39">
        <v>26207.47</v>
      </c>
      <c r="H10" s="39">
        <f t="shared" si="1"/>
        <v>-4470.0950000000012</v>
      </c>
      <c r="I10" s="40">
        <f t="shared" si="2"/>
        <v>-0.17056568222724289</v>
      </c>
      <c r="J10" s="57" t="s">
        <v>80</v>
      </c>
      <c r="K10" s="57" t="s">
        <v>81</v>
      </c>
    </row>
    <row r="11" spans="1:11" ht="15.75">
      <c r="A11" s="49" t="str">
        <v>Staten Island - Ellis Storage</v>
      </c>
      <c r="B11" s="50" t="str">
        <v>NY</v>
      </c>
      <c r="C11" s="43">
        <v>56581</v>
      </c>
      <c r="D11" s="44">
        <v>60019.33</v>
      </c>
      <c r="E11" s="44">
        <f t="shared" si="0"/>
        <v>-3438.3300000000017</v>
      </c>
      <c r="F11" s="45">
        <f t="shared" si="3"/>
        <v>-5.7287044023983637E-2</v>
      </c>
      <c r="G11" s="46">
        <v>60619.51</v>
      </c>
      <c r="H11" s="46">
        <f t="shared" si="1"/>
        <v>-4038.510000000002</v>
      </c>
      <c r="I11" s="45">
        <f t="shared" si="2"/>
        <v>-6.6620630882697693E-2</v>
      </c>
      <c r="J11" s="58"/>
      <c r="K11" s="59"/>
    </row>
    <row r="12" spans="1:11" ht="28.7">
      <c r="A12" s="51" t="str">
        <v>Amherst - 595 Scholles Road</v>
      </c>
      <c r="B12" s="48" t="str">
        <v>NY</v>
      </c>
      <c r="C12" s="36">
        <v>718270</v>
      </c>
      <c r="D12" s="37">
        <v>768638</v>
      </c>
      <c r="E12" s="37">
        <f t="shared" si="0"/>
        <v>-50368</v>
      </c>
      <c r="F12" s="38">
        <f t="shared" si="3"/>
        <v>-6.5528896567695061E-2</v>
      </c>
      <c r="G12" s="39">
        <v>953051</v>
      </c>
      <c r="H12" s="39">
        <f t="shared" si="1"/>
        <v>-234781</v>
      </c>
      <c r="I12" s="40">
        <f t="shared" si="2"/>
        <v>-0.24634673275616939</v>
      </c>
      <c r="J12" s="57" t="s">
        <v>82</v>
      </c>
      <c r="K12" s="57" t="s">
        <v>83</v>
      </c>
    </row>
    <row r="13" spans="1:11" ht="31.35">
      <c r="A13" s="49" t="str">
        <v>Lancaster 1 - Gunnville Road</v>
      </c>
      <c r="B13" s="50" t="str">
        <v>NY</v>
      </c>
      <c r="C13" s="43">
        <v>557874</v>
      </c>
      <c r="D13" s="44">
        <v>635837.5</v>
      </c>
      <c r="E13" s="44">
        <f t="shared" si="0"/>
        <v>-77963.5</v>
      </c>
      <c r="F13" s="45">
        <f t="shared" si="3"/>
        <v>-0.12261544812943559</v>
      </c>
      <c r="G13" s="46">
        <v>746890.6</v>
      </c>
      <c r="H13" s="46">
        <f t="shared" si="1"/>
        <v>-189016.59999999998</v>
      </c>
      <c r="I13" s="45">
        <f t="shared" si="2"/>
        <v>-0.25307133333851034</v>
      </c>
      <c r="J13" s="58" t="s">
        <v>84</v>
      </c>
      <c r="K13" s="59" t="s">
        <v>85</v>
      </c>
    </row>
    <row r="14" spans="1:11" ht="15.75">
      <c r="A14" s="51" t="str">
        <v>Lancaster 2 - Shisler Road</v>
      </c>
      <c r="B14" s="48" t="str">
        <v>NY</v>
      </c>
      <c r="C14" s="36">
        <v>609258</v>
      </c>
      <c r="D14" s="37">
        <v>678559.1</v>
      </c>
      <c r="E14" s="37">
        <f t="shared" si="0"/>
        <v>-69301.099999999977</v>
      </c>
      <c r="F14" s="38">
        <f t="shared" si="3"/>
        <v>-0.10212979237917519</v>
      </c>
      <c r="G14" s="39">
        <v>820159.4</v>
      </c>
      <c r="H14" s="39">
        <f t="shared" si="1"/>
        <v>-210901.40000000002</v>
      </c>
      <c r="I14" s="40">
        <f t="shared" si="2"/>
        <v>-0.25714684243087382</v>
      </c>
      <c r="J14" s="57" t="s">
        <v>86</v>
      </c>
      <c r="K14" s="57" t="s">
        <v>87</v>
      </c>
    </row>
    <row r="15" spans="1:11" ht="15.75">
      <c r="A15" s="49" t="str">
        <v>Fullerton - 200 W Orangethorpe</v>
      </c>
      <c r="B15" s="50" t="str">
        <v>CA</v>
      </c>
      <c r="C15" s="43">
        <v>118417.19734375</v>
      </c>
      <c r="D15" s="44">
        <v>125423.7</v>
      </c>
      <c r="E15" s="44">
        <f t="shared" si="0"/>
        <v>-7006.5026562499988</v>
      </c>
      <c r="F15" s="45">
        <f t="shared" si="3"/>
        <v>-5.5862669146660472E-2</v>
      </c>
      <c r="G15" s="46">
        <v>121841.4</v>
      </c>
      <c r="H15" s="46">
        <f t="shared" si="1"/>
        <v>-3424.2026562499959</v>
      </c>
      <c r="I15" s="45">
        <f t="shared" si="2"/>
        <v>-2.8103769788019477E-2</v>
      </c>
      <c r="J15" s="58" t="s">
        <v>88</v>
      </c>
      <c r="K15" s="59" t="s">
        <v>89</v>
      </c>
    </row>
    <row r="16" spans="1:11" ht="28.7">
      <c r="A16" s="51" t="str">
        <v>El Paso - 10500 Railroad Drive</v>
      </c>
      <c r="B16" s="48" t="str">
        <v>TX</v>
      </c>
      <c r="C16" s="36">
        <v>160423.625</v>
      </c>
      <c r="D16" s="37">
        <v>160278.5</v>
      </c>
      <c r="E16" s="37">
        <f t="shared" si="0"/>
        <v>145.125</v>
      </c>
      <c r="F16" s="38">
        <f t="shared" si="3"/>
        <v>9.05455192056327E-4</v>
      </c>
      <c r="G16" s="39">
        <v>148074</v>
      </c>
      <c r="H16" s="39">
        <f t="shared" si="1"/>
        <v>12349.625</v>
      </c>
      <c r="I16" s="40">
        <f t="shared" si="2"/>
        <v>8.3401711306508905E-2</v>
      </c>
      <c r="J16" s="57" t="s">
        <v>90</v>
      </c>
      <c r="K16" s="57" t="s">
        <v>91</v>
      </c>
    </row>
    <row r="17" spans="1:11" ht="15.75">
      <c r="A17" s="49" t="str">
        <v>Friona - 900 Millard Ave</v>
      </c>
      <c r="B17" s="50" t="str">
        <v>TX</v>
      </c>
      <c r="C17" s="43">
        <v>135532.75</v>
      </c>
      <c r="D17" s="44">
        <v>143491.79999999999</v>
      </c>
      <c r="E17" s="44">
        <f t="shared" si="0"/>
        <v>-7959.0499999999884</v>
      </c>
      <c r="F17" s="45">
        <f t="shared" si="3"/>
        <v>-5.5466932605208026E-2</v>
      </c>
      <c r="G17" s="46">
        <v>124718.6</v>
      </c>
      <c r="H17" s="46">
        <f t="shared" si="1"/>
        <v>10814.149999999994</v>
      </c>
      <c r="I17" s="45">
        <f t="shared" si="2"/>
        <v>8.6708397945454763E-2</v>
      </c>
      <c r="J17" s="58" t="s">
        <v>92</v>
      </c>
      <c r="K17" s="59" t="s">
        <v>71</v>
      </c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J17" sqref="J17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93</v>
      </c>
      <c r="E1" s="72"/>
      <c r="F1" s="72"/>
      <c r="G1" s="70" t="s">
        <v>94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129623.4375</v>
      </c>
      <c r="D4" s="37">
        <v>138492</v>
      </c>
      <c r="E4" s="37">
        <f>IF(AND(ISNUMBER(C4),ISNUMBER(D4)), C4-D4, "")</f>
        <v>-8868.5625</v>
      </c>
      <c r="F4" s="38">
        <f>IFERROR(E4/D4, "")</f>
        <v>-6.4036641105623432E-2</v>
      </c>
      <c r="G4" s="39">
        <v>137316</v>
      </c>
      <c r="H4" s="39">
        <f>IF(AND(ISNUMBER(C4),ISNUMBER(G4)), C4-G4, "")</f>
        <v>-7692.5625</v>
      </c>
      <c r="I4" s="40">
        <f>IFERROR(H4/G4, "")</f>
        <v>-5.6020875207550468E-2</v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>
        <v>444296</v>
      </c>
      <c r="D5" s="44">
        <v>486481</v>
      </c>
      <c r="E5" s="44">
        <f>IF(AND(ISNUMBER(C5),ISNUMBER(D5)), C5-D5, "")</f>
        <v>-42185</v>
      </c>
      <c r="F5" s="45">
        <f>IFERROR(E5/D5, "")</f>
        <v>-8.671458905897661E-2</v>
      </c>
      <c r="G5" s="46">
        <v>998170</v>
      </c>
      <c r="H5" s="46">
        <f t="shared" ref="H5:H17" si="0">IF(AND(ISNUMBER(C5),ISNUMBER(G5)), C5-G5, "")</f>
        <v>-553874</v>
      </c>
      <c r="I5" s="45">
        <f t="shared" ref="I5:I17" si="1">IFERROR(H5/G5, "")</f>
        <v>-0.5548894476892714</v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>
        <v>667886</v>
      </c>
      <c r="D6" s="37">
        <v>782886.8</v>
      </c>
      <c r="E6" s="37">
        <f t="shared" ref="E5:E17" si="2">IF(AND(ISNUMBER(C6),ISNUMBER(D6)), C6-D6, "")</f>
        <v>-115000.80000000005</v>
      </c>
      <c r="F6" s="38">
        <f t="shared" ref="F6:F17" si="3">IFERROR(E6/D6, "")</f>
        <v>-0.146893267328048</v>
      </c>
      <c r="G6" s="39">
        <v>818352.4</v>
      </c>
      <c r="H6" s="39">
        <f t="shared" si="0"/>
        <v>-150466.40000000002</v>
      </c>
      <c r="I6" s="40">
        <f t="shared" si="1"/>
        <v>-0.18386504395905728</v>
      </c>
      <c r="J6" s="57" t="s">
        <v>95</v>
      </c>
      <c r="K6" s="57" t="s">
        <v>96</v>
      </c>
    </row>
    <row r="7" spans="1:11" ht="15.75">
      <c r="A7" s="49" t="str">
        <v>Charlton - 299 Worcester Road</v>
      </c>
      <c r="B7" s="50" t="str">
        <v>MA</v>
      </c>
      <c r="C7" s="43">
        <v>63015.5</v>
      </c>
      <c r="D7" s="44">
        <v>66192.479999999996</v>
      </c>
      <c r="E7" s="44">
        <f t="shared" si="2"/>
        <v>-3176.9799999999959</v>
      </c>
      <c r="F7" s="45">
        <f t="shared" si="3"/>
        <v>-4.7996086564516031E-2</v>
      </c>
      <c r="G7" s="46">
        <v>69886.66</v>
      </c>
      <c r="H7" s="46">
        <f t="shared" si="0"/>
        <v>-6871.1600000000035</v>
      </c>
      <c r="I7" s="45">
        <f t="shared" si="1"/>
        <v>-9.8318620463476197E-2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19262.5</v>
      </c>
      <c r="D8" s="37">
        <v>19740.830000000002</v>
      </c>
      <c r="E8" s="37">
        <f t="shared" si="2"/>
        <v>-478.33000000000175</v>
      </c>
      <c r="F8" s="38">
        <f t="shared" si="3"/>
        <v>-2.4230490815229232E-2</v>
      </c>
      <c r="G8" s="39">
        <v>20442.38</v>
      </c>
      <c r="H8" s="39">
        <f t="shared" si="0"/>
        <v>-1179.880000000001</v>
      </c>
      <c r="I8" s="40">
        <f t="shared" si="1"/>
        <v>-5.7717349936749096E-2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18404.1692640695</v>
      </c>
      <c r="D9" s="44">
        <v>19706.43</v>
      </c>
      <c r="E9" s="44">
        <f t="shared" si="2"/>
        <v>-1302.2607359305002</v>
      </c>
      <c r="F9" s="45">
        <f t="shared" si="3"/>
        <v>-6.6083036649991919E-2</v>
      </c>
      <c r="G9" s="46">
        <v>20391.91</v>
      </c>
      <c r="H9" s="46">
        <f t="shared" si="0"/>
        <v>-1987.7407359304998</v>
      </c>
      <c r="I9" s="45">
        <f t="shared" si="1"/>
        <v>-9.7476927660552631E-2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28316.3125</v>
      </c>
      <c r="D10" s="37">
        <v>29728.98</v>
      </c>
      <c r="E10" s="37">
        <f t="shared" si="2"/>
        <v>-1412.6674999999996</v>
      </c>
      <c r="F10" s="38">
        <f t="shared" si="3"/>
        <v>-4.7518196049780366E-2</v>
      </c>
      <c r="G10" s="39">
        <v>30348.959999999999</v>
      </c>
      <c r="H10" s="39">
        <f t="shared" si="0"/>
        <v>-2032.6474999999991</v>
      </c>
      <c r="I10" s="40">
        <f t="shared" si="1"/>
        <v>-6.6975853538309024E-2</v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>
        <v>63332.746231155703</v>
      </c>
      <c r="D11" s="44">
        <v>67493.259999999995</v>
      </c>
      <c r="E11" s="44">
        <f t="shared" si="2"/>
        <v>-4160.5137688442919</v>
      </c>
      <c r="F11" s="45">
        <f t="shared" si="3"/>
        <v>-6.1643396227183164E-2</v>
      </c>
      <c r="G11" s="46">
        <v>69978.38</v>
      </c>
      <c r="H11" s="46">
        <f t="shared" si="0"/>
        <v>-6645.6337688443018</v>
      </c>
      <c r="I11" s="45">
        <f t="shared" si="1"/>
        <v>-9.4966956492052279E-2</v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>
        <v>1116729</v>
      </c>
      <c r="D12" s="37">
        <v>1058881.31</v>
      </c>
      <c r="E12" s="37">
        <f t="shared" si="2"/>
        <v>57847.689999999944</v>
      </c>
      <c r="F12" s="38">
        <f t="shared" si="3"/>
        <v>5.4630948203250408E-2</v>
      </c>
      <c r="G12" s="39">
        <v>1200817</v>
      </c>
      <c r="H12" s="39">
        <f t="shared" si="0"/>
        <v>-84088</v>
      </c>
      <c r="I12" s="40">
        <f t="shared" si="1"/>
        <v>-7.002565753149731E-2</v>
      </c>
      <c r="J12" s="57"/>
      <c r="K12" s="57"/>
    </row>
    <row r="13" spans="1:11" ht="16.5">
      <c r="A13" s="49" t="str">
        <v>Lancaster 1 - Gunnville Road</v>
      </c>
      <c r="B13" s="50" t="str">
        <v>NY</v>
      </c>
      <c r="C13" s="43">
        <v>849171</v>
      </c>
      <c r="D13" s="44">
        <v>904354.17</v>
      </c>
      <c r="E13" s="44">
        <f t="shared" si="2"/>
        <v>-55183.170000000042</v>
      </c>
      <c r="F13" s="45">
        <f t="shared" si="3"/>
        <v>-6.1019423396919861E-2</v>
      </c>
      <c r="G13" s="69">
        <v>894596</v>
      </c>
      <c r="H13" s="46">
        <f t="shared" si="0"/>
        <v>-45425</v>
      </c>
      <c r="I13" s="45">
        <f t="shared" si="1"/>
        <v>-5.0777110561638999E-2</v>
      </c>
      <c r="J13" s="58" t="s">
        <v>97</v>
      </c>
      <c r="K13" s="59" t="s">
        <v>98</v>
      </c>
    </row>
    <row r="14" spans="1:11" ht="156.75" customHeight="1">
      <c r="A14" s="51" t="str">
        <v>Lancaster 2 - Shisler Road</v>
      </c>
      <c r="B14" s="48" t="str">
        <v>NY</v>
      </c>
      <c r="C14" s="36">
        <v>919274</v>
      </c>
      <c r="D14" s="37">
        <v>954343</v>
      </c>
      <c r="E14" s="37">
        <f t="shared" si="2"/>
        <v>-35069</v>
      </c>
      <c r="F14" s="38">
        <f t="shared" si="3"/>
        <v>-3.6746746190834949E-2</v>
      </c>
      <c r="G14" s="39">
        <v>981722</v>
      </c>
      <c r="H14" s="39">
        <f t="shared" si="0"/>
        <v>-62448</v>
      </c>
      <c r="I14" s="40">
        <f t="shared" si="1"/>
        <v>-6.3610675934735086E-2</v>
      </c>
      <c r="J14" s="57" t="s">
        <v>99</v>
      </c>
      <c r="K14" s="57" t="s">
        <v>100</v>
      </c>
    </row>
    <row r="15" spans="1:11" ht="15.75">
      <c r="A15" s="49" t="str">
        <v>Fullerton - 200 W Orangethorpe</v>
      </c>
      <c r="B15" s="50" t="str">
        <v>CA</v>
      </c>
      <c r="C15" s="43">
        <v>113363</v>
      </c>
      <c r="D15" s="44">
        <v>113261</v>
      </c>
      <c r="E15" s="44">
        <f t="shared" si="2"/>
        <v>102</v>
      </c>
      <c r="F15" s="45">
        <f t="shared" si="3"/>
        <v>9.0057477860870021E-4</v>
      </c>
      <c r="G15" s="46">
        <v>135181</v>
      </c>
      <c r="H15" s="46">
        <f t="shared" si="0"/>
        <v>-21818</v>
      </c>
      <c r="I15" s="45">
        <f t="shared" si="1"/>
        <v>-0.16139842137578506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184602.875</v>
      </c>
      <c r="D16" s="37">
        <v>182605.6</v>
      </c>
      <c r="E16" s="37">
        <f t="shared" si="2"/>
        <v>1997.2749999999942</v>
      </c>
      <c r="F16" s="38">
        <f t="shared" si="3"/>
        <v>1.0937643752436913E-2</v>
      </c>
      <c r="G16" s="39">
        <v>160947.4</v>
      </c>
      <c r="H16" s="39">
        <f t="shared" si="0"/>
        <v>23655.475000000006</v>
      </c>
      <c r="I16" s="40">
        <f t="shared" si="1"/>
        <v>0.14697643453699785</v>
      </c>
      <c r="J16" s="57" t="s">
        <v>101</v>
      </c>
      <c r="K16" s="57" t="s">
        <v>91</v>
      </c>
    </row>
    <row r="17" spans="1:11" ht="30.75">
      <c r="A17" s="49" t="str">
        <v>Friona - 900 Millard Ave</v>
      </c>
      <c r="B17" s="50" t="str">
        <v>TX</v>
      </c>
      <c r="C17" s="43">
        <v>137367</v>
      </c>
      <c r="D17" s="44">
        <v>153162.6</v>
      </c>
      <c r="E17" s="44">
        <f t="shared" si="2"/>
        <v>-15795.600000000006</v>
      </c>
      <c r="F17" s="45">
        <f t="shared" si="3"/>
        <v>-0.10312961519326523</v>
      </c>
      <c r="G17" s="46">
        <v>139114.5</v>
      </c>
      <c r="H17" s="46">
        <f t="shared" si="0"/>
        <v>-1747.5</v>
      </c>
      <c r="I17" s="45">
        <f t="shared" si="1"/>
        <v>-1.2561594945171064E-2</v>
      </c>
      <c r="J17" s="58" t="s">
        <v>102</v>
      </c>
      <c r="K17" s="59" t="s">
        <v>103</v>
      </c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workbookViewId="0">
      <pane xSplit="2" ySplit="3" topLeftCell="C4" activePane="bottomRight" state="frozen"/>
      <selection pane="bottomRight" activeCell="A37" sqref="A37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104</v>
      </c>
      <c r="E1" s="72"/>
      <c r="F1" s="72"/>
      <c r="G1" s="70" t="s">
        <v>105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106</v>
      </c>
      <c r="E1" s="72"/>
      <c r="F1" s="72"/>
      <c r="G1" s="70" t="s">
        <v>107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108</v>
      </c>
      <c r="E1" s="72"/>
      <c r="F1" s="72"/>
      <c r="G1" s="70" t="s">
        <v>109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110</v>
      </c>
      <c r="E1" s="72"/>
      <c r="F1" s="72"/>
      <c r="G1" s="70" t="s">
        <v>111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112</v>
      </c>
      <c r="E1" s="72"/>
      <c r="F1" s="72"/>
      <c r="G1" s="70" t="s">
        <v>113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114</v>
      </c>
      <c r="E1" s="72"/>
      <c r="F1" s="72"/>
      <c r="G1" s="70" t="s">
        <v>115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Catalyze</v>
      </c>
      <c r="B1" s="71"/>
      <c r="C1" s="71"/>
      <c r="D1" s="72" t="s">
        <v>116</v>
      </c>
      <c r="E1" s="72"/>
      <c r="F1" s="72"/>
      <c r="G1" s="70" t="s">
        <v>117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4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1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C25" sqref="C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118</v>
      </c>
      <c r="B1" t="s">
        <v>119</v>
      </c>
    </row>
    <row r="3" spans="1:12">
      <c r="A3" t="s">
        <v>120</v>
      </c>
      <c r="B3" t="s">
        <v>3</v>
      </c>
      <c r="C3" t="s">
        <v>4</v>
      </c>
      <c r="D3" t="s">
        <v>121</v>
      </c>
      <c r="E3" s="2" t="s">
        <v>122</v>
      </c>
    </row>
    <row r="4" spans="1:12" ht="14.45">
      <c r="A4" s="26" t="s">
        <v>123</v>
      </c>
      <c r="B4" t="s">
        <v>124</v>
      </c>
      <c r="C4" s="25" t="s">
        <v>125</v>
      </c>
      <c r="D4" s="24" t="s">
        <v>126</v>
      </c>
      <c r="E4" t="s">
        <v>127</v>
      </c>
      <c r="G4" s="3"/>
    </row>
    <row r="5" spans="1:12" ht="14.45">
      <c r="A5" s="26" t="s">
        <v>128</v>
      </c>
      <c r="B5" t="s">
        <v>129</v>
      </c>
      <c r="C5" s="25" t="s">
        <v>125</v>
      </c>
      <c r="D5" s="24"/>
      <c r="E5" t="s">
        <v>130</v>
      </c>
      <c r="G5" s="3"/>
    </row>
    <row r="6" spans="1:12" ht="14.45">
      <c r="A6" s="26" t="s">
        <v>131</v>
      </c>
      <c r="B6" t="s">
        <v>132</v>
      </c>
      <c r="C6" s="25" t="s">
        <v>133</v>
      </c>
      <c r="D6" s="24" t="s">
        <v>126</v>
      </c>
      <c r="E6" t="s">
        <v>127</v>
      </c>
      <c r="G6" s="3"/>
    </row>
    <row r="7" spans="1:12" ht="12.75" customHeight="1">
      <c r="A7" s="26" t="s">
        <v>134</v>
      </c>
      <c r="B7" t="s">
        <v>135</v>
      </c>
      <c r="C7" s="25" t="s">
        <v>133</v>
      </c>
      <c r="D7" s="24" t="s">
        <v>126</v>
      </c>
      <c r="E7" t="s">
        <v>127</v>
      </c>
    </row>
    <row r="8" spans="1:12" ht="12.75" customHeight="1">
      <c r="A8" s="26" t="s">
        <v>136</v>
      </c>
      <c r="B8" t="s">
        <v>137</v>
      </c>
      <c r="C8" s="25" t="s">
        <v>133</v>
      </c>
      <c r="D8" s="24" t="s">
        <v>126</v>
      </c>
      <c r="E8" t="s">
        <v>127</v>
      </c>
    </row>
    <row r="9" spans="1:12" ht="12.75" customHeight="1">
      <c r="A9" s="26" t="s">
        <v>138</v>
      </c>
      <c r="B9" t="s">
        <v>139</v>
      </c>
      <c r="C9" s="25" t="s">
        <v>133</v>
      </c>
      <c r="D9" s="24" t="s">
        <v>126</v>
      </c>
      <c r="E9" t="s">
        <v>127</v>
      </c>
    </row>
    <row r="10" spans="1:12" ht="12.75" customHeight="1">
      <c r="A10" s="26" t="s">
        <v>140</v>
      </c>
      <c r="B10" t="s">
        <v>141</v>
      </c>
      <c r="C10" s="25" t="s">
        <v>142</v>
      </c>
      <c r="D10" s="24" t="s">
        <v>126</v>
      </c>
      <c r="E10" t="s">
        <v>127</v>
      </c>
      <c r="K10" s="21"/>
      <c r="L10" s="21"/>
    </row>
    <row r="11" spans="1:12" ht="12.75" customHeight="1">
      <c r="A11" s="26" t="s">
        <v>143</v>
      </c>
      <c r="B11" t="s">
        <v>144</v>
      </c>
      <c r="C11" s="25" t="s">
        <v>142</v>
      </c>
      <c r="D11" s="24" t="s">
        <v>126</v>
      </c>
      <c r="E11" t="s">
        <v>127</v>
      </c>
      <c r="K11" s="21"/>
      <c r="L11" s="21"/>
    </row>
    <row r="12" spans="1:12" ht="12.75" customHeight="1">
      <c r="A12" s="26" t="s">
        <v>145</v>
      </c>
      <c r="B12" t="s">
        <v>146</v>
      </c>
      <c r="C12" s="25" t="s">
        <v>142</v>
      </c>
      <c r="D12" s="24"/>
      <c r="E12" t="s">
        <v>130</v>
      </c>
      <c r="K12" s="21"/>
      <c r="L12" s="21"/>
    </row>
    <row r="13" spans="1:12" ht="12.75" customHeight="1">
      <c r="A13" s="26" t="s">
        <v>147</v>
      </c>
      <c r="B13" t="s">
        <v>147</v>
      </c>
      <c r="C13" s="25" t="s">
        <v>142</v>
      </c>
      <c r="D13" s="24"/>
      <c r="E13" t="s">
        <v>127</v>
      </c>
      <c r="K13" s="21"/>
      <c r="L13" s="21"/>
    </row>
    <row r="14" spans="1:12" ht="12.75" customHeight="1">
      <c r="A14" s="26" t="s">
        <v>148</v>
      </c>
      <c r="B14" t="s">
        <v>148</v>
      </c>
      <c r="C14" s="25" t="s">
        <v>142</v>
      </c>
      <c r="D14" s="24"/>
      <c r="E14" t="s">
        <v>127</v>
      </c>
      <c r="K14" s="21"/>
      <c r="L14" s="21"/>
    </row>
    <row r="15" spans="1:12" ht="12.75" customHeight="1">
      <c r="A15" s="26" t="s">
        <v>149</v>
      </c>
      <c r="B15" t="s">
        <v>150</v>
      </c>
      <c r="C15" s="25" t="s">
        <v>125</v>
      </c>
      <c r="D15" s="24"/>
      <c r="E15" t="s">
        <v>127</v>
      </c>
      <c r="K15" s="21"/>
      <c r="L15" s="21"/>
    </row>
    <row r="16" spans="1:12" ht="12.75" customHeight="1">
      <c r="A16" s="26" t="s">
        <v>151</v>
      </c>
      <c r="B16" t="s">
        <v>152</v>
      </c>
      <c r="C16" s="25" t="s">
        <v>153</v>
      </c>
      <c r="D16" s="24" t="s">
        <v>126</v>
      </c>
      <c r="E16" t="s">
        <v>127</v>
      </c>
      <c r="K16" s="21"/>
      <c r="L16" s="21"/>
    </row>
    <row r="17" spans="1:12" ht="12.75" customHeight="1">
      <c r="A17" s="26" t="s">
        <v>154</v>
      </c>
      <c r="B17" t="s">
        <v>155</v>
      </c>
      <c r="C17" s="25" t="s">
        <v>153</v>
      </c>
      <c r="D17" s="24" t="s">
        <v>126</v>
      </c>
      <c r="E17" t="s">
        <v>127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2024-07-23T10:37:49Z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