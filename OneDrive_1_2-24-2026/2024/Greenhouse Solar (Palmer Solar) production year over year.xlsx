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"/>
    </mc:Choice>
  </mc:AlternateContent>
  <xr:revisionPtr revIDLastSave="0" documentId="8_{B2058F73-03C9-4647-984A-ECA397C73C97}" xr6:coauthVersionLast="47" xr6:coauthVersionMax="47" xr10:uidLastSave="{00000000-0000-0000-0000-000000000000}"/>
  <bookViews>
    <workbookView xWindow="-110" yWindow="-110" windowWidth="24220" windowHeight="15500" firstSheet="1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B57" i="1"/>
  <c r="B58" i="1"/>
  <c r="B56" i="1"/>
  <c r="B17" i="1"/>
  <c r="F17" i="1"/>
  <c r="C17" i="1"/>
  <c r="G16" i="1"/>
  <c r="H16" i="1" s="1"/>
  <c r="D16" i="1"/>
  <c r="E16" i="1" s="1"/>
  <c r="G15" i="1"/>
  <c r="H15" i="1" s="1"/>
  <c r="D15" i="1"/>
  <c r="E15" i="1" s="1"/>
  <c r="G14" i="1"/>
  <c r="H14" i="1" s="1"/>
  <c r="D14" i="1"/>
  <c r="E14" i="1" s="1"/>
  <c r="G13" i="1"/>
  <c r="H13" i="1" s="1"/>
  <c r="D13" i="1"/>
  <c r="E13" i="1" s="1"/>
  <c r="G12" i="1"/>
  <c r="H12" i="1" s="1"/>
  <c r="D12" i="1"/>
  <c r="E12" i="1" s="1"/>
  <c r="G11" i="1"/>
  <c r="H11" i="1" s="1"/>
  <c r="D11" i="1"/>
  <c r="E11" i="1" s="1"/>
  <c r="G10" i="1"/>
  <c r="H10" i="1" s="1"/>
  <c r="D10" i="1"/>
  <c r="E10" i="1" s="1"/>
  <c r="G9" i="1"/>
  <c r="H9" i="1" s="1"/>
  <c r="D9" i="1"/>
  <c r="E9" i="1" s="1"/>
  <c r="G8" i="1"/>
  <c r="H8" i="1" s="1"/>
  <c r="D8" i="1"/>
  <c r="E8" i="1" s="1"/>
  <c r="G7" i="1"/>
  <c r="H7" i="1" s="1"/>
  <c r="D7" i="1"/>
  <c r="E7" i="1" s="1"/>
  <c r="G6" i="1"/>
  <c r="H6" i="1" s="1"/>
  <c r="D6" i="1"/>
  <c r="E6" i="1" s="1"/>
  <c r="G5" i="1"/>
  <c r="H5" i="1" s="1"/>
  <c r="D5" i="1"/>
  <c r="E5" i="1" s="1"/>
  <c r="F51" i="1"/>
  <c r="G51" i="1" s="1"/>
  <c r="H51" i="1" s="1"/>
  <c r="C51" i="1"/>
  <c r="G50" i="1"/>
  <c r="H50" i="1" s="1"/>
  <c r="D50" i="1"/>
  <c r="E50" i="1" s="1"/>
  <c r="G49" i="1"/>
  <c r="H49" i="1" s="1"/>
  <c r="D49" i="1"/>
  <c r="E49" i="1" s="1"/>
  <c r="G48" i="1"/>
  <c r="H48" i="1" s="1"/>
  <c r="D48" i="1"/>
  <c r="E48" i="1" s="1"/>
  <c r="G47" i="1"/>
  <c r="H47" i="1" s="1"/>
  <c r="D47" i="1"/>
  <c r="E47" i="1" s="1"/>
  <c r="G46" i="1"/>
  <c r="H46" i="1" s="1"/>
  <c r="D46" i="1"/>
  <c r="E46" i="1" s="1"/>
  <c r="G45" i="1"/>
  <c r="H45" i="1" s="1"/>
  <c r="D45" i="1"/>
  <c r="E45" i="1" s="1"/>
  <c r="G44" i="1"/>
  <c r="H44" i="1" s="1"/>
  <c r="D44" i="1"/>
  <c r="E44" i="1" s="1"/>
  <c r="G43" i="1"/>
  <c r="H43" i="1" s="1"/>
  <c r="D43" i="1"/>
  <c r="E43" i="1" s="1"/>
  <c r="G42" i="1"/>
  <c r="H42" i="1" s="1"/>
  <c r="D42" i="1"/>
  <c r="E42" i="1" s="1"/>
  <c r="G41" i="1"/>
  <c r="H41" i="1" s="1"/>
  <c r="D41" i="1"/>
  <c r="E41" i="1" s="1"/>
  <c r="G40" i="1"/>
  <c r="H40" i="1" s="1"/>
  <c r="D40" i="1"/>
  <c r="E40" i="1" s="1"/>
  <c r="G39" i="1"/>
  <c r="H39" i="1" s="1"/>
  <c r="D39" i="1"/>
  <c r="E39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B7" i="2"/>
  <c r="F8" i="2"/>
  <c r="F7" i="2"/>
  <c r="F6" i="2"/>
  <c r="F5" i="2"/>
  <c r="C5" i="2"/>
  <c r="C6" i="2"/>
  <c r="C7" i="2"/>
  <c r="C8" i="2"/>
  <c r="B8" i="2"/>
  <c r="B6" i="2"/>
  <c r="B5" i="2"/>
  <c r="F34" i="1"/>
  <c r="C34" i="1"/>
  <c r="B34" i="1"/>
  <c r="G17" i="1" l="1"/>
  <c r="H17" i="1" s="1"/>
  <c r="D17" i="1"/>
  <c r="E17" i="1" s="1"/>
  <c r="D51" i="1"/>
  <c r="E51" i="1" s="1"/>
  <c r="G8" i="2"/>
  <c r="H8" i="2" s="1"/>
  <c r="D6" i="2"/>
  <c r="E6" i="2" s="1"/>
  <c r="D8" i="2"/>
  <c r="E8" i="2" s="1"/>
  <c r="G5" i="2"/>
  <c r="H5" i="2" s="1"/>
  <c r="D5" i="2"/>
  <c r="E5" i="2" s="1"/>
  <c r="C9" i="2"/>
  <c r="G6" i="2"/>
  <c r="H6" i="2" s="1"/>
  <c r="F9" i="2"/>
  <c r="D7" i="2"/>
  <c r="E7" i="2" s="1"/>
  <c r="G7" i="2"/>
  <c r="H7" i="2" s="1"/>
  <c r="B9" i="2"/>
  <c r="G34" i="1"/>
  <c r="H34" i="1" s="1"/>
  <c r="D34" i="1"/>
  <c r="E34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<sst xmlns="http://schemas.openxmlformats.org/spreadsheetml/2006/main" count="136" uniqueCount="43">
  <si>
    <t>Palmer Solar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</si>
  <si>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</si>
  <si>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</si>
  <si>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</si>
  <si>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</si>
  <si>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</si>
  <si>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</si>
  <si>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</si>
  <si>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</si>
  <si>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</si>
  <si>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</si>
  <si>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</si>
  <si>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</si>
  <si>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</si>
  <si>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</si>
  <si>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</si>
  <si>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</si>
  <si>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</si>
  <si>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</si>
  <si>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</si>
  <si>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</si>
  <si>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</si>
  <si>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</si>
  <si>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</si>
  <si>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</si>
  <si>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</si>
  <si>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</si>
  <si>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</si>
  <si>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</si>
  <si>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</si>
  <si>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</si>
  <si>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1. Inverter 1 zone 7 was offline almost throughout the month</t>
  </si>
  <si>
    <t>1. SR078060</t>
  </si>
  <si>
    <t>Dec</t>
  </si>
  <si>
    <t>Totals</t>
  </si>
  <si>
    <t>1. Site tripped offline on 01/10 and reenerzied on 01/11 at 8:00 AM</t>
  </si>
  <si>
    <t>1. SR080119</t>
  </si>
  <si>
    <t>1. Inverter 1 derating 175 kW compared to its peers from 3/29 and still it is offline</t>
  </si>
  <si>
    <t>1. SR082921</t>
  </si>
  <si>
    <t>2024 vs 2023</t>
  </si>
  <si>
    <t xml:space="preserve">January 2024 was one of the worst production months in the last 5 years. </t>
  </si>
  <si>
    <t>% year over year</t>
  </si>
  <si>
    <t>Rainy and overcast 52%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</si>
</sst>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9" fontId="6" fillId="7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/>
    <xf numFmtId="0" fontId="10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3" fontId="6" fillId="3" borderId="25" xfId="0" applyNumberFormat="1" applyFont="1" applyFill="1" applyBorder="1" applyAlignment="1">
      <alignment horizontal="right"/>
    </xf>
    <xf numFmtId="0" fontId="12" fillId="8" borderId="26" xfId="0" applyFont="1" applyFill="1" applyBorder="1" applyAlignment="1">
      <alignment horizontal="left" vertical="top"/>
    </xf>
    <xf numFmtId="0" fontId="12" fillId="8" borderId="3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0" fontId="0" fillId="0" borderId="3" xfId="0" applyNumberFormat="1" applyBorder="1"/>
    <xf numFmtId="0" fontId="0" fillId="0" borderId="3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</cellXfs>
  <cellStyles count="3">
    <cellStyle name="Comma" xfId="1" builtinId="3"/>
    <cellStyle name="Normal" xfId="0" builtinId="0"/>
    <cellStyle name="Percent" xfId="2" builtinId="5"/>
  </cellStyles>
  <dxfs count="48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47" dataDxfId="45" headerRowBorderDxfId="46" tableBorderDxfId="44" dataCellStyle="Percent">
  <autoFilter ref="A4:H8" xr:uid="{BF044CE3-EF2D-4D70-8313-90420726FB98}"/>
  <tableColumns count="8">
    <tableColumn id="1" xr3:uid="{4BC4C9B6-A03A-415C-BCE1-1E0A01FD2113}" name="Quarter" dataDxfId="43"/>
    <tableColumn id="2" xr3:uid="{14458B0A-F61F-4B46-BC0C-E9D0D13BA1D4}" name="Actual" dataDxfId="42"/>
    <tableColumn id="3" xr3:uid="{65AD0361-5994-4C6F-A094-4DCD8B32F876}" name="Expected" dataDxfId="41"/>
    <tableColumn id="4" xr3:uid="{40E851A8-F5F3-4887-9AA4-8ECBE3F17A08}" name="Delta Expected" dataDxfId="40">
      <calculatedColumnFormula>B5-C5</calculatedColumnFormula>
    </tableColumn>
    <tableColumn id="5" xr3:uid="{BDAB55DD-7845-48B4-8EF2-F0BA9E49A5BA}" name="% Expected" dataDxfId="39" dataCellStyle="Percent">
      <calculatedColumnFormula>IFERROR(D5/C5, 0)</calculatedColumnFormula>
    </tableColumn>
    <tableColumn id="6" xr3:uid="{4A96277B-65C9-410B-BF8F-A980698BC1F3}" name="Forecasted" dataDxfId="38"/>
    <tableColumn id="7" xr3:uid="{4A6547F1-DE47-4709-B2ED-1C0B676C0D28}" name="Delta Forecasted" dataDxfId="37" dataCellStyle="Comma">
      <calculatedColumnFormula>B5-F5</calculatedColumnFormula>
    </tableColumn>
    <tableColumn id="8" xr3:uid="{52485586-5CF7-4A7D-A2F9-AA276D4B30AA}" name="% Forecasted" dataDxfId="36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21:J33" totalsRowShown="0" headerRowDxfId="35" dataDxfId="33" headerRowBorderDxfId="34" tableBorderDxfId="32" dataCellStyle="Percent">
  <autoFilter ref="A21:J33" xr:uid="{59CC1993-FB68-424F-ABAC-4A131FA108B5}"/>
  <tableColumns count="10">
    <tableColumn id="1" xr3:uid="{FBDD0233-8515-42AA-9991-71A2ADDF4212}" name="Month" dataDxfId="31"/>
    <tableColumn id="2" xr3:uid="{4B627D97-5EE2-4A9E-8EDC-4653E3804DE5}" name="Actual" dataDxfId="30"/>
    <tableColumn id="3" xr3:uid="{6840E30D-F1AC-4AE8-82B2-BA121BBB93A5}" name="Expected" dataDxfId="29"/>
    <tableColumn id="4" xr3:uid="{7E2E935F-606E-4CFD-91BE-87B665995E67}" name="Delta Expected" dataDxfId="28">
      <calculatedColumnFormula>B22-C22</calculatedColumnFormula>
    </tableColumn>
    <tableColumn id="5" xr3:uid="{D0AE28DC-B020-4DB0-9210-5071CAC59D13}" name="% Expected" dataDxfId="27" dataCellStyle="Percent">
      <calculatedColumnFormula>IFERROR(D22/C22, 0)</calculatedColumnFormula>
    </tableColumn>
    <tableColumn id="6" xr3:uid="{E104F17E-1287-4E77-9C21-19F33D6CDCEB}" name="Forecasted" dataDxfId="26"/>
    <tableColumn id="7" xr3:uid="{0EC651AE-4897-4539-9A99-0F95D36CCFD1}" name="Delta Forecasted" dataDxfId="25" dataCellStyle="Comma">
      <calculatedColumnFormula>B22-F22</calculatedColumnFormula>
    </tableColumn>
    <tableColumn id="8" xr3:uid="{8DF46A5A-8533-4717-B9A9-F059CB8E4A37}" name="% Forecasted" dataDxfId="24" dataCellStyle="Percent">
      <calculatedColumnFormula>IFERROR(G22/F22, 0)</calculatedColumnFormula>
    </tableColumn>
    <tableColumn id="9" xr3:uid="{91668AC9-A528-46F6-8BE5-EB036F59A18E}" name="Notes" dataDxfId="23" dataCellStyle="Percent"/>
    <tableColumn id="10" xr3:uid="{CD4FC54A-2343-4F00-AB7D-88E561824952}" name="Service Request" dataDxfId="22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C0D51C-A12B-445E-BD2C-EB8FB3B180C3}" name="Data4" displayName="Data4" ref="A4:J16" totalsRowShown="0" headerRowDxfId="21" dataDxfId="19" headerRowBorderDxfId="20" tableBorderDxfId="18" dataCellStyle="Percent">
  <autoFilter ref="A4:J16" xr:uid="{DEC0D51C-A12B-445E-BD2C-EB8FB3B180C3}"/>
  <tableColumns count="10">
    <tableColumn id="1" xr3:uid="{62F41DF8-409E-4E2B-B94A-B0FF59661A65}" name="Month" dataDxfId="17"/>
    <tableColumn id="2" xr3:uid="{B64F08F1-9EFD-429F-8F72-55F3F1CC0877}" name="Actual" dataDxfId="16"/>
    <tableColumn id="3" xr3:uid="{95527BE2-A4B5-4804-96D2-6F8E0C9DDF59}" name="Expected" dataDxfId="15"/>
    <tableColumn id="4" xr3:uid="{29802C94-07C2-446F-A21D-87B5CFE84304}" name="Delta Expected" dataDxfId="14">
      <calculatedColumnFormula>B5-C5</calculatedColumnFormula>
    </tableColumn>
    <tableColumn id="5" xr3:uid="{83BE7B0D-6F1A-4919-BE19-01FA7D9B6589}" name="% Expected" dataDxfId="13" dataCellStyle="Percent">
      <calculatedColumnFormula>IFERROR(D5/C5, 0)</calculatedColumnFormula>
    </tableColumn>
    <tableColumn id="6" xr3:uid="{79FF5FF2-961A-4FEA-A4E9-A0EF203A60A8}" name="Forecasted" dataDxfId="12"/>
    <tableColumn id="7" xr3:uid="{85E17DA9-8169-4800-8B28-07A3B22B2F91}" name="Delta Forecasted" dataDxfId="11" dataCellStyle="Comma">
      <calculatedColumnFormula>B5-F5</calculatedColumnFormula>
    </tableColumn>
    <tableColumn id="8" xr3:uid="{525CACED-4201-4741-BA51-4464EB7307EA}" name="% Forecasted" dataDxfId="10" dataCellStyle="Percent">
      <calculatedColumnFormula>IFERROR(G5/F5, 0)</calculatedColumnFormula>
    </tableColumn>
    <tableColumn id="9" xr3:uid="{42F7C06E-79DA-49CE-A298-BFE71DB51931}" name="Notes" dataDxfId="9" dataCellStyle="Percent"/>
    <tableColumn id="10" xr3:uid="{412D170B-7E78-4C6D-9DF4-B81275AE99F5}" name="Service Request" dataDxfId="8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C16" sqref="C16"/>
    </sheetView>
  </sheetViews>
  <sheetFormatPr defaultRowHeight="14.5" x14ac:dyDescent="0.35"/>
  <cols>
    <col min="1" max="1" width="22" customWidth="1"/>
    <col min="2" max="2" width="11.453125" customWidth="1"/>
    <col min="3" max="3" width="12.54296875" customWidth="1"/>
    <col min="4" max="4" width="15.26953125" customWidth="1"/>
    <col min="5" max="5" width="13.7265625" customWidth="1"/>
    <col min="6" max="6" width="12.54296875" customWidth="1"/>
    <col min="7" max="7" width="17.26953125" customWidth="1"/>
    <col min="8" max="8" width="16" customWidth="1"/>
  </cols>
  <sheetData>
    <row r="1" spans="1:8" ht="26" x14ac:dyDescent="0.35">
      <c r="A1" s="68" t="s">
        <v>0</v>
      </c>
      <c r="B1" s="68"/>
      <c r="C1" s="68"/>
      <c r="D1" s="68"/>
      <c r="E1" s="68"/>
      <c r="F1" s="68"/>
      <c r="G1" s="68"/>
      <c r="H1" s="68"/>
    </row>
    <row r="3" spans="1:8" ht="15.5" x14ac:dyDescent="0.35">
      <c r="A3" s="69" t="s">
        <v>1</v>
      </c>
      <c r="B3" s="70"/>
      <c r="C3" s="70"/>
      <c r="D3" s="70"/>
      <c r="E3" s="71"/>
      <c r="F3" s="72" t="s">
        <v>2</v>
      </c>
      <c r="G3" s="73"/>
      <c r="H3" s="74"/>
    </row>
    <row r="4" spans="1:8" x14ac:dyDescent="0.35">
      <c r="A4" s="31" t="s">
        <v>3</v>
      </c>
      <c r="B4" s="47" t="s">
        <v>4</v>
      </c>
      <c r="C4" s="47" t="s">
        <v>5</v>
      </c>
      <c r="D4" s="47" t="s">
        <v>6</v>
      </c>
      <c r="E4" s="48" t="s">
        <v>7</v>
      </c>
      <c r="F4" s="49" t="s">
        <v>8</v>
      </c>
      <c r="G4" s="50" t="s">
        <v>9</v>
      </c>
      <c r="H4" s="51" t="s">
        <v>10</v>
      </c>
    </row>
    <row r="5" spans="1:8" x14ac:dyDescent="0.35">
      <c r="A5" s="32" t="s">
        <v>11</v>
      </c>
      <c r="B5" s="33">
        <f>SUM(Monthly!B22:B24)</f>
        <v>565060</v>
      </c>
      <c r="C5" s="33">
        <f>SUM(Monthly!C22:C24)</f>
        <v>0</v>
      </c>
      <c r="D5" s="34">
        <f>B5-C5</f>
        <v>565060</v>
      </c>
      <c r="E5" s="35">
        <f t="shared" ref="E5:E8" si="0">IFERROR(D5/C5, 0)</f>
        <v>0</v>
      </c>
      <c r="F5" s="36">
        <f>SUM(Monthly!F22:F24)</f>
        <v>0</v>
      </c>
      <c r="G5" s="37">
        <f>B5-F5</f>
        <v>565060</v>
      </c>
      <c r="H5" s="38">
        <f t="shared" ref="H5:H8" si="1">IFERROR(G5/F5, 0)</f>
        <v>0</v>
      </c>
    </row>
    <row r="6" spans="1:8" x14ac:dyDescent="0.35">
      <c r="A6" s="39" t="s">
        <v>12</v>
      </c>
      <c r="B6" s="33">
        <f>SUM(Monthly!B25:B27)</f>
        <v>892237</v>
      </c>
      <c r="C6" s="33">
        <f>SUM(Monthly!C25:C27)</f>
        <v>0</v>
      </c>
      <c r="D6" s="34">
        <f t="shared" ref="D6:D8" si="2">B6-C6</f>
        <v>892237</v>
      </c>
      <c r="E6" s="40">
        <f t="shared" si="0"/>
        <v>0</v>
      </c>
      <c r="F6" s="41">
        <f>SUM(Monthly!F25:F27)</f>
        <v>0</v>
      </c>
      <c r="G6" s="37">
        <f t="shared" ref="G6:G8" si="3">B6-F6</f>
        <v>892237</v>
      </c>
      <c r="H6" s="38">
        <f t="shared" si="1"/>
        <v>0</v>
      </c>
    </row>
    <row r="7" spans="1:8" x14ac:dyDescent="0.35">
      <c r="A7" s="39" t="s">
        <v>13</v>
      </c>
      <c r="B7" s="34">
        <f>SUM(Monthly!B28:B30)</f>
        <v>804698</v>
      </c>
      <c r="C7" s="34">
        <f>SUM(Monthly!C28:C30)</f>
        <v>0</v>
      </c>
      <c r="D7" s="34">
        <f t="shared" si="2"/>
        <v>804698</v>
      </c>
      <c r="E7" s="40">
        <f t="shared" si="0"/>
        <v>0</v>
      </c>
      <c r="F7" s="42">
        <f>SUM(Monthly!F28:F30)</f>
        <v>0</v>
      </c>
      <c r="G7" s="37">
        <f t="shared" si="3"/>
        <v>804698</v>
      </c>
      <c r="H7" s="38">
        <f t="shared" si="1"/>
        <v>0</v>
      </c>
    </row>
    <row r="8" spans="1:8" x14ac:dyDescent="0.35">
      <c r="A8" s="39" t="s">
        <v>14</v>
      </c>
      <c r="B8" s="34">
        <f>SUM(Monthly!B31:B33)</f>
        <v>532889</v>
      </c>
      <c r="C8" s="34">
        <f>SUM(Monthly!C31:C33)</f>
        <v>0</v>
      </c>
      <c r="D8" s="34">
        <f t="shared" si="2"/>
        <v>532889</v>
      </c>
      <c r="E8" s="40">
        <f t="shared" si="0"/>
        <v>0</v>
      </c>
      <c r="F8" s="37">
        <f>SUM(Monthly!F31:F33)</f>
        <v>0</v>
      </c>
      <c r="G8" s="37">
        <f t="shared" si="3"/>
        <v>532889</v>
      </c>
      <c r="H8" s="38">
        <f t="shared" si="1"/>
        <v>0</v>
      </c>
    </row>
    <row r="9" spans="1:8" x14ac:dyDescent="0.35">
      <c r="A9" s="43" t="s">
        <v>15</v>
      </c>
      <c r="B9" s="44">
        <f>SUM(B5:B8)</f>
        <v>2794884</v>
      </c>
      <c r="C9" s="44">
        <f>SUM(C5:C8)</f>
        <v>0</v>
      </c>
      <c r="D9" s="44">
        <f>B9-C9</f>
        <v>2794884</v>
      </c>
      <c r="E9" s="45">
        <f>IFERROR(D9/C9, 0)</f>
        <v>0</v>
      </c>
      <c r="F9" s="44">
        <f>SUM(F5:F8)</f>
        <v>0</v>
      </c>
      <c r="G9" s="44">
        <f>B9-F9</f>
        <v>2794884</v>
      </c>
      <c r="H9" s="46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7" priority="1" operator="lessThanOrEqual">
      <formula>-0.1</formula>
    </cfRule>
    <cfRule type="cellIs" dxfId="6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67"/>
  <sheetViews>
    <sheetView tabSelected="1" topLeftCell="A37" workbookViewId="0">
      <selection activeCell="C59" sqref="C59"/>
    </sheetView>
  </sheetViews>
  <sheetFormatPr defaultRowHeight="14.5" x14ac:dyDescent="0.35"/>
  <cols>
    <col min="1" max="1" width="11.453125" bestFit="1" customWidth="1"/>
    <col min="2" max="2" width="10.54296875" customWidth="1"/>
    <col min="3" max="3" width="11" bestFit="1" customWidth="1"/>
    <col min="4" max="4" width="15" customWidth="1"/>
    <col min="5" max="5" width="13.26953125" customWidth="1"/>
    <col min="6" max="6" width="12.54296875" customWidth="1"/>
    <col min="7" max="7" width="17.1796875" customWidth="1"/>
    <col min="8" max="8" width="15.26953125" customWidth="1"/>
    <col min="9" max="9" width="69.81640625" customWidth="1"/>
    <col min="10" max="10" width="18.81640625" customWidth="1"/>
  </cols>
  <sheetData>
    <row r="1" spans="1:10" ht="30.75" customHeight="1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5" thickBot="1" x14ac:dyDescent="0.4">
      <c r="A2">
        <v>2022</v>
      </c>
    </row>
    <row r="3" spans="1:10" ht="15.5" x14ac:dyDescent="0.35">
      <c r="A3" s="69" t="s">
        <v>1</v>
      </c>
      <c r="B3" s="70"/>
      <c r="C3" s="70"/>
      <c r="D3" s="70"/>
      <c r="E3" s="71"/>
      <c r="F3" s="72" t="s">
        <v>2</v>
      </c>
      <c r="G3" s="73"/>
      <c r="H3" s="74"/>
      <c r="I3" s="75" t="s">
        <v>16</v>
      </c>
      <c r="J3" s="76"/>
    </row>
    <row r="4" spans="1:10" ht="15" thickBot="1" x14ac:dyDescent="0.4">
      <c r="A4" s="1" t="s">
        <v>17</v>
      </c>
      <c r="B4" s="60" t="s">
        <v>4</v>
      </c>
      <c r="C4" s="60" t="s">
        <v>5</v>
      </c>
      <c r="D4" s="60" t="s">
        <v>6</v>
      </c>
      <c r="E4" s="61" t="s">
        <v>7</v>
      </c>
      <c r="F4" s="62" t="s">
        <v>8</v>
      </c>
      <c r="G4" s="2" t="s">
        <v>9</v>
      </c>
      <c r="H4" s="3" t="s">
        <v>10</v>
      </c>
      <c r="I4" s="4" t="s">
        <v>16</v>
      </c>
      <c r="J4" s="5" t="s">
        <v>18</v>
      </c>
    </row>
    <row r="5" spans="1:10" x14ac:dyDescent="0.35">
      <c r="A5" s="58" t="s">
        <v>19</v>
      </c>
      <c r="B5" s="52">
        <v>0</v>
      </c>
      <c r="C5" s="53">
        <v>0</v>
      </c>
      <c r="D5" s="54">
        <f>B5-C5</f>
        <v>0</v>
      </c>
      <c r="E5" s="55">
        <f t="shared" ref="E5:E16" si="0">IFERROR(D5/C5, 0)</f>
        <v>0</v>
      </c>
      <c r="F5" s="56">
        <v>0</v>
      </c>
      <c r="G5" s="13">
        <f>B5-F5</f>
        <v>0</v>
      </c>
      <c r="H5" s="9">
        <f t="shared" ref="H5:H16" si="1">IFERROR(G5/F5, 0)</f>
        <v>0</v>
      </c>
      <c r="I5" s="10"/>
      <c r="J5" s="10" t="s">
        <v>20</v>
      </c>
    </row>
    <row r="6" spans="1:10" x14ac:dyDescent="0.35">
      <c r="A6" s="59" t="s">
        <v>21</v>
      </c>
      <c r="B6" s="57">
        <v>0</v>
      </c>
      <c r="C6" s="53">
        <v>0</v>
      </c>
      <c r="D6" s="54">
        <f t="shared" ref="D6:D16" si="2">B6-C6</f>
        <v>0</v>
      </c>
      <c r="E6" s="55">
        <f t="shared" si="0"/>
        <v>0</v>
      </c>
      <c r="F6" s="56">
        <v>0</v>
      </c>
      <c r="G6" s="13">
        <f t="shared" ref="G6:G16" si="3">B6-F6</f>
        <v>0</v>
      </c>
      <c r="H6" s="9">
        <f t="shared" si="1"/>
        <v>0</v>
      </c>
      <c r="I6" s="10"/>
      <c r="J6" s="10" t="s">
        <v>20</v>
      </c>
    </row>
    <row r="7" spans="1:10" x14ac:dyDescent="0.35">
      <c r="A7" s="59" t="s">
        <v>22</v>
      </c>
      <c r="B7" s="57">
        <v>0</v>
      </c>
      <c r="C7" s="53">
        <v>0</v>
      </c>
      <c r="D7" s="54">
        <f t="shared" si="2"/>
        <v>0</v>
      </c>
      <c r="E7" s="55">
        <f t="shared" si="0"/>
        <v>0</v>
      </c>
      <c r="F7" s="56">
        <v>0</v>
      </c>
      <c r="G7" s="13">
        <f t="shared" si="3"/>
        <v>0</v>
      </c>
      <c r="H7" s="9">
        <f t="shared" si="1"/>
        <v>0</v>
      </c>
      <c r="I7" s="14"/>
      <c r="J7" s="14"/>
    </row>
    <row r="8" spans="1:10" x14ac:dyDescent="0.35">
      <c r="A8" s="59" t="s">
        <v>23</v>
      </c>
      <c r="B8" s="57">
        <v>0</v>
      </c>
      <c r="C8" s="53">
        <v>0</v>
      </c>
      <c r="D8" s="54">
        <f t="shared" si="2"/>
        <v>0</v>
      </c>
      <c r="E8" s="55">
        <f t="shared" si="0"/>
        <v>0</v>
      </c>
      <c r="F8" s="56">
        <v>0</v>
      </c>
      <c r="G8" s="13">
        <f t="shared" si="3"/>
        <v>0</v>
      </c>
      <c r="H8" s="9">
        <f t="shared" si="1"/>
        <v>0</v>
      </c>
      <c r="I8" s="10"/>
      <c r="J8" s="10"/>
    </row>
    <row r="9" spans="1:10" x14ac:dyDescent="0.35">
      <c r="A9" s="59" t="s">
        <v>24</v>
      </c>
      <c r="B9" s="57">
        <v>0</v>
      </c>
      <c r="C9" s="53">
        <v>0</v>
      </c>
      <c r="D9" s="54">
        <f t="shared" si="2"/>
        <v>0</v>
      </c>
      <c r="E9" s="55">
        <f t="shared" si="0"/>
        <v>0</v>
      </c>
      <c r="F9" s="56">
        <v>0</v>
      </c>
      <c r="G9" s="13">
        <f t="shared" si="3"/>
        <v>0</v>
      </c>
      <c r="H9" s="9">
        <f t="shared" si="1"/>
        <v>0</v>
      </c>
      <c r="I9" s="15"/>
      <c r="J9" s="16"/>
    </row>
    <row r="10" spans="1:10" x14ac:dyDescent="0.35">
      <c r="A10" s="59" t="s">
        <v>25</v>
      </c>
      <c r="B10" s="52">
        <v>358822</v>
      </c>
      <c r="C10" s="53">
        <v>0</v>
      </c>
      <c r="D10" s="54">
        <f t="shared" si="2"/>
        <v>358822</v>
      </c>
      <c r="E10" s="55">
        <f t="shared" si="0"/>
        <v>0</v>
      </c>
      <c r="F10" s="56">
        <v>0</v>
      </c>
      <c r="G10" s="13">
        <f t="shared" si="3"/>
        <v>358822</v>
      </c>
      <c r="H10" s="9">
        <f t="shared" si="1"/>
        <v>0</v>
      </c>
      <c r="I10" s="10"/>
      <c r="J10" s="10" t="s">
        <v>20</v>
      </c>
    </row>
    <row r="11" spans="1:10" x14ac:dyDescent="0.35">
      <c r="A11" s="11" t="s">
        <v>26</v>
      </c>
      <c r="B11" s="6">
        <v>393542</v>
      </c>
      <c r="C11" s="53">
        <v>0</v>
      </c>
      <c r="D11" s="6">
        <f t="shared" si="2"/>
        <v>393542</v>
      </c>
      <c r="E11" s="7">
        <f t="shared" si="0"/>
        <v>0</v>
      </c>
      <c r="F11" s="56">
        <v>0</v>
      </c>
      <c r="G11" s="8">
        <f t="shared" si="3"/>
        <v>393542</v>
      </c>
      <c r="H11" s="9">
        <f t="shared" si="1"/>
        <v>0</v>
      </c>
      <c r="I11" s="10"/>
      <c r="J11" s="10" t="s">
        <v>20</v>
      </c>
    </row>
    <row r="12" spans="1:10" x14ac:dyDescent="0.35">
      <c r="A12" s="11" t="s">
        <v>27</v>
      </c>
      <c r="B12" s="63">
        <v>344979</v>
      </c>
      <c r="C12" s="53">
        <v>0</v>
      </c>
      <c r="D12" s="6">
        <f t="shared" si="2"/>
        <v>344979</v>
      </c>
      <c r="E12" s="12">
        <f t="shared" si="0"/>
        <v>0</v>
      </c>
      <c r="F12" s="56">
        <v>0</v>
      </c>
      <c r="G12" s="8">
        <f t="shared" si="3"/>
        <v>344979</v>
      </c>
      <c r="H12" s="9">
        <f t="shared" si="1"/>
        <v>0</v>
      </c>
      <c r="I12" s="14"/>
      <c r="J12" s="14"/>
    </row>
    <row r="13" spans="1:10" x14ac:dyDescent="0.35">
      <c r="A13" s="11" t="s">
        <v>28</v>
      </c>
      <c r="B13" s="6">
        <v>286906</v>
      </c>
      <c r="C13" s="53">
        <v>0</v>
      </c>
      <c r="D13" s="6">
        <f t="shared" si="2"/>
        <v>286906</v>
      </c>
      <c r="E13" s="12">
        <f t="shared" si="0"/>
        <v>0</v>
      </c>
      <c r="F13" s="56">
        <v>0</v>
      </c>
      <c r="G13" s="8">
        <f t="shared" si="3"/>
        <v>286906</v>
      </c>
      <c r="H13" s="9">
        <f t="shared" si="1"/>
        <v>0</v>
      </c>
      <c r="I13" s="10"/>
      <c r="J13" s="10"/>
    </row>
    <row r="14" spans="1:10" x14ac:dyDescent="0.35">
      <c r="A14" s="11" t="s">
        <v>29</v>
      </c>
      <c r="B14" s="6">
        <v>0</v>
      </c>
      <c r="C14" s="53">
        <v>0</v>
      </c>
      <c r="D14" s="6">
        <f t="shared" si="2"/>
        <v>0</v>
      </c>
      <c r="E14" s="12">
        <f t="shared" si="0"/>
        <v>0</v>
      </c>
      <c r="F14" s="56">
        <v>0</v>
      </c>
      <c r="G14" s="8">
        <f t="shared" si="3"/>
        <v>0</v>
      </c>
      <c r="H14" s="9">
        <f t="shared" si="1"/>
        <v>0</v>
      </c>
      <c r="I14" s="15"/>
      <c r="J14" s="16"/>
    </row>
    <row r="15" spans="1:10" x14ac:dyDescent="0.35">
      <c r="A15" s="11" t="s">
        <v>30</v>
      </c>
      <c r="B15" s="17">
        <v>0</v>
      </c>
      <c r="C15" s="17">
        <v>0</v>
      </c>
      <c r="D15" s="6">
        <f t="shared" si="2"/>
        <v>0</v>
      </c>
      <c r="E15" s="12">
        <f t="shared" si="0"/>
        <v>0</v>
      </c>
      <c r="F15" s="18">
        <v>0</v>
      </c>
      <c r="G15" s="8">
        <f t="shared" si="3"/>
        <v>0</v>
      </c>
      <c r="H15" s="9">
        <f t="shared" si="1"/>
        <v>0</v>
      </c>
      <c r="I15" s="16" t="s">
        <v>20</v>
      </c>
      <c r="J15" s="16" t="s">
        <v>20</v>
      </c>
    </row>
    <row r="16" spans="1:10" x14ac:dyDescent="0.35">
      <c r="A16" s="19" t="s">
        <v>33</v>
      </c>
      <c r="B16" s="20">
        <v>0</v>
      </c>
      <c r="C16" s="20">
        <v>0</v>
      </c>
      <c r="D16" s="20">
        <f t="shared" si="2"/>
        <v>0</v>
      </c>
      <c r="E16" s="21">
        <f t="shared" si="0"/>
        <v>0</v>
      </c>
      <c r="F16" s="22">
        <v>0</v>
      </c>
      <c r="G16" s="23">
        <f t="shared" si="3"/>
        <v>0</v>
      </c>
      <c r="H16" s="24">
        <f t="shared" si="1"/>
        <v>0</v>
      </c>
      <c r="I16" s="25"/>
      <c r="J16" s="25" t="s">
        <v>20</v>
      </c>
    </row>
    <row r="17" spans="1:10" x14ac:dyDescent="0.35">
      <c r="A17" s="26" t="s">
        <v>34</v>
      </c>
      <c r="B17" s="27">
        <f>SUM(B5:B16)</f>
        <v>1384249</v>
      </c>
      <c r="C17" s="27">
        <f t="shared" ref="C17" si="4">SUM(C5:C16)</f>
        <v>0</v>
      </c>
      <c r="D17" s="27">
        <f>B17-C17</f>
        <v>1384249</v>
      </c>
      <c r="E17" s="28">
        <f>IFERROR(D17/C17, 0)</f>
        <v>0</v>
      </c>
      <c r="F17" s="27">
        <f t="shared" ref="F17" si="5">SUM(F5:F16)</f>
        <v>0</v>
      </c>
      <c r="G17" s="27">
        <f>B17-F17</f>
        <v>1384249</v>
      </c>
      <c r="H17" s="29">
        <f>IFERROR(G17/F17, 0)</f>
        <v>0</v>
      </c>
      <c r="I17" s="30"/>
      <c r="J17" s="30"/>
    </row>
    <row r="18" spans="1:10" ht="30.75" customHeight="1" x14ac:dyDescent="0.35">
      <c r="A18" s="64"/>
      <c r="B18" s="64"/>
      <c r="C18" s="64"/>
      <c r="D18" s="64"/>
      <c r="E18" s="64"/>
      <c r="F18" s="64"/>
      <c r="G18" s="64"/>
      <c r="H18" s="64"/>
      <c r="I18" s="64"/>
      <c r="J18" s="64"/>
    </row>
    <row r="19" spans="1:10" ht="15" thickBot="1" x14ac:dyDescent="0.4">
      <c r="A19">
        <v>2023</v>
      </c>
    </row>
    <row r="20" spans="1:10" ht="15.5" x14ac:dyDescent="0.35">
      <c r="A20" s="69" t="s">
        <v>1</v>
      </c>
      <c r="B20" s="70"/>
      <c r="C20" s="70"/>
      <c r="D20" s="70"/>
      <c r="E20" s="71"/>
      <c r="F20" s="72" t="s">
        <v>2</v>
      </c>
      <c r="G20" s="73"/>
      <c r="H20" s="74"/>
      <c r="I20" s="75" t="s">
        <v>16</v>
      </c>
      <c r="J20" s="76"/>
    </row>
    <row r="21" spans="1:10" x14ac:dyDescent="0.35">
      <c r="A21" s="1" t="s">
        <v>17</v>
      </c>
      <c r="B21" s="60" t="s">
        <v>4</v>
      </c>
      <c r="C21" s="60" t="s">
        <v>5</v>
      </c>
      <c r="D21" s="60" t="s">
        <v>6</v>
      </c>
      <c r="E21" s="61" t="s">
        <v>7</v>
      </c>
      <c r="F21" s="62" t="s">
        <v>8</v>
      </c>
      <c r="G21" s="2" t="s">
        <v>9</v>
      </c>
      <c r="H21" s="3" t="s">
        <v>10</v>
      </c>
      <c r="I21" s="4" t="s">
        <v>16</v>
      </c>
      <c r="J21" s="5" t="s">
        <v>18</v>
      </c>
    </row>
    <row r="22" spans="1:10" x14ac:dyDescent="0.35">
      <c r="A22" s="58" t="s">
        <v>19</v>
      </c>
      <c r="B22" s="52">
        <v>100696</v>
      </c>
      <c r="C22" s="53">
        <v>0</v>
      </c>
      <c r="D22" s="54">
        <f>B22-C22</f>
        <v>100696</v>
      </c>
      <c r="E22" s="55">
        <f t="shared" ref="E22:E33" si="6">IFERROR(D22/C22, 0)</f>
        <v>0</v>
      </c>
      <c r="F22" s="56">
        <v>0</v>
      </c>
      <c r="G22" s="13">
        <f>B22-F22</f>
        <v>100696</v>
      </c>
      <c r="H22" s="9">
        <f t="shared" ref="H22:H33" si="7">IFERROR(G22/F22, 0)</f>
        <v>0</v>
      </c>
      <c r="I22" s="10"/>
      <c r="J22" s="10" t="s">
        <v>20</v>
      </c>
    </row>
    <row r="23" spans="1:10" x14ac:dyDescent="0.35">
      <c r="A23" s="59" t="s">
        <v>21</v>
      </c>
      <c r="B23" s="57">
        <v>188937</v>
      </c>
      <c r="C23" s="53">
        <v>0</v>
      </c>
      <c r="D23" s="54">
        <f t="shared" ref="D23:D27" si="8">B23-C23</f>
        <v>188937</v>
      </c>
      <c r="E23" s="55">
        <f t="shared" si="6"/>
        <v>0</v>
      </c>
      <c r="F23" s="56">
        <v>0</v>
      </c>
      <c r="G23" s="13">
        <f t="shared" ref="G23:G33" si="9">B23-F23</f>
        <v>188937</v>
      </c>
      <c r="H23" s="9">
        <f t="shared" si="7"/>
        <v>0</v>
      </c>
      <c r="I23" s="10"/>
      <c r="J23" s="10" t="s">
        <v>20</v>
      </c>
    </row>
    <row r="24" spans="1:10" x14ac:dyDescent="0.35">
      <c r="A24" s="59" t="s">
        <v>22</v>
      </c>
      <c r="B24" s="57">
        <v>275427</v>
      </c>
      <c r="C24" s="53">
        <v>0</v>
      </c>
      <c r="D24" s="54">
        <f t="shared" si="8"/>
        <v>275427</v>
      </c>
      <c r="E24" s="55">
        <f t="shared" si="6"/>
        <v>0</v>
      </c>
      <c r="F24" s="56">
        <v>0</v>
      </c>
      <c r="G24" s="13">
        <f t="shared" si="9"/>
        <v>275427</v>
      </c>
      <c r="H24" s="9">
        <f t="shared" si="7"/>
        <v>0</v>
      </c>
      <c r="I24" s="14"/>
      <c r="J24" s="14"/>
    </row>
    <row r="25" spans="1:10" x14ac:dyDescent="0.35">
      <c r="A25" s="59" t="s">
        <v>23</v>
      </c>
      <c r="B25" s="57">
        <v>303805</v>
      </c>
      <c r="C25" s="53">
        <v>0</v>
      </c>
      <c r="D25" s="54">
        <f t="shared" si="8"/>
        <v>303805</v>
      </c>
      <c r="E25" s="55">
        <f t="shared" si="6"/>
        <v>0</v>
      </c>
      <c r="F25" s="56">
        <v>0</v>
      </c>
      <c r="G25" s="13">
        <f t="shared" si="9"/>
        <v>303805</v>
      </c>
      <c r="H25" s="9">
        <f t="shared" si="7"/>
        <v>0</v>
      </c>
      <c r="I25" s="10"/>
      <c r="J25" s="10"/>
    </row>
    <row r="26" spans="1:10" x14ac:dyDescent="0.35">
      <c r="A26" s="59" t="s">
        <v>24</v>
      </c>
      <c r="B26" s="57">
        <v>375176</v>
      </c>
      <c r="C26" s="53">
        <v>0</v>
      </c>
      <c r="D26" s="54">
        <f t="shared" si="8"/>
        <v>375176</v>
      </c>
      <c r="E26" s="55">
        <f t="shared" si="6"/>
        <v>0</v>
      </c>
      <c r="F26" s="56">
        <v>0</v>
      </c>
      <c r="G26" s="13">
        <f t="shared" si="9"/>
        <v>375176</v>
      </c>
      <c r="H26" s="9">
        <f t="shared" si="7"/>
        <v>0</v>
      </c>
      <c r="I26" s="15"/>
      <c r="J26" s="16"/>
    </row>
    <row r="27" spans="1:10" x14ac:dyDescent="0.35">
      <c r="A27" s="59" t="s">
        <v>25</v>
      </c>
      <c r="B27" s="52">
        <v>213256</v>
      </c>
      <c r="C27" s="53">
        <v>0</v>
      </c>
      <c r="D27" s="54">
        <f t="shared" si="8"/>
        <v>213256</v>
      </c>
      <c r="E27" s="55">
        <f t="shared" si="6"/>
        <v>0</v>
      </c>
      <c r="F27" s="56">
        <v>0</v>
      </c>
      <c r="G27" s="13">
        <f t="shared" si="9"/>
        <v>213256</v>
      </c>
      <c r="H27" s="9">
        <f t="shared" si="7"/>
        <v>0</v>
      </c>
      <c r="I27" s="10"/>
      <c r="J27" s="10" t="s">
        <v>20</v>
      </c>
    </row>
    <row r="28" spans="1:10" x14ac:dyDescent="0.35">
      <c r="A28" s="11" t="s">
        <v>26</v>
      </c>
      <c r="B28" s="6">
        <v>270954</v>
      </c>
      <c r="C28" s="53">
        <v>0</v>
      </c>
      <c r="D28" s="6">
        <f t="shared" ref="D28:D33" si="10">B28-C28</f>
        <v>270954</v>
      </c>
      <c r="E28" s="7">
        <f t="shared" si="6"/>
        <v>0</v>
      </c>
      <c r="F28" s="56">
        <v>0</v>
      </c>
      <c r="G28" s="8">
        <f t="shared" si="9"/>
        <v>270954</v>
      </c>
      <c r="H28" s="9">
        <f t="shared" si="7"/>
        <v>0</v>
      </c>
      <c r="I28" s="10"/>
      <c r="J28" s="10" t="s">
        <v>20</v>
      </c>
    </row>
    <row r="29" spans="1:10" x14ac:dyDescent="0.35">
      <c r="A29" s="11" t="s">
        <v>27</v>
      </c>
      <c r="B29" s="63">
        <v>286064</v>
      </c>
      <c r="C29" s="53">
        <v>0</v>
      </c>
      <c r="D29" s="6">
        <f t="shared" si="10"/>
        <v>286064</v>
      </c>
      <c r="E29" s="12">
        <f t="shared" si="6"/>
        <v>0</v>
      </c>
      <c r="F29" s="56">
        <v>0</v>
      </c>
      <c r="G29" s="8">
        <f t="shared" si="9"/>
        <v>286064</v>
      </c>
      <c r="H29" s="9">
        <f t="shared" si="7"/>
        <v>0</v>
      </c>
      <c r="I29" s="14"/>
      <c r="J29" s="14"/>
    </row>
    <row r="30" spans="1:10" x14ac:dyDescent="0.35">
      <c r="A30" s="11" t="s">
        <v>28</v>
      </c>
      <c r="B30" s="6">
        <v>247680</v>
      </c>
      <c r="C30" s="53">
        <v>0</v>
      </c>
      <c r="D30" s="6">
        <f t="shared" si="10"/>
        <v>247680</v>
      </c>
      <c r="E30" s="12">
        <f t="shared" si="6"/>
        <v>0</v>
      </c>
      <c r="F30" s="56">
        <v>0</v>
      </c>
      <c r="G30" s="8">
        <f t="shared" si="9"/>
        <v>247680</v>
      </c>
      <c r="H30" s="9">
        <f t="shared" si="7"/>
        <v>0</v>
      </c>
      <c r="I30" s="10"/>
      <c r="J30" s="10"/>
    </row>
    <row r="31" spans="1:10" x14ac:dyDescent="0.35">
      <c r="A31" s="11" t="s">
        <v>29</v>
      </c>
      <c r="B31" s="6">
        <v>221566</v>
      </c>
      <c r="C31" s="53">
        <v>0</v>
      </c>
      <c r="D31" s="6">
        <f t="shared" si="10"/>
        <v>221566</v>
      </c>
      <c r="E31" s="12">
        <f t="shared" si="6"/>
        <v>0</v>
      </c>
      <c r="F31" s="56">
        <v>0</v>
      </c>
      <c r="G31" s="8">
        <f t="shared" si="9"/>
        <v>221566</v>
      </c>
      <c r="H31" s="9">
        <f t="shared" si="7"/>
        <v>0</v>
      </c>
      <c r="I31" s="15"/>
      <c r="J31" s="16"/>
    </row>
    <row r="32" spans="1:10" x14ac:dyDescent="0.35">
      <c r="A32" s="11" t="s">
        <v>30</v>
      </c>
      <c r="B32" s="17">
        <v>194357</v>
      </c>
      <c r="C32" s="17">
        <v>0</v>
      </c>
      <c r="D32" s="6">
        <f t="shared" si="10"/>
        <v>194357</v>
      </c>
      <c r="E32" s="12">
        <f t="shared" si="6"/>
        <v>0</v>
      </c>
      <c r="F32" s="18">
        <v>0</v>
      </c>
      <c r="G32" s="8">
        <f t="shared" si="9"/>
        <v>194357</v>
      </c>
      <c r="H32" s="9">
        <f t="shared" si="7"/>
        <v>0</v>
      </c>
      <c r="I32" s="16" t="s">
        <v>31</v>
      </c>
      <c r="J32" s="16" t="s">
        <v>32</v>
      </c>
    </row>
    <row r="33" spans="1:10" x14ac:dyDescent="0.35">
      <c r="A33" s="19" t="s">
        <v>33</v>
      </c>
      <c r="B33" s="20">
        <v>116966</v>
      </c>
      <c r="C33" s="20">
        <v>0</v>
      </c>
      <c r="D33" s="20">
        <f t="shared" si="10"/>
        <v>116966</v>
      </c>
      <c r="E33" s="21">
        <f t="shared" si="6"/>
        <v>0</v>
      </c>
      <c r="F33" s="22">
        <v>0</v>
      </c>
      <c r="G33" s="23">
        <f t="shared" si="9"/>
        <v>116966</v>
      </c>
      <c r="H33" s="24">
        <f t="shared" si="7"/>
        <v>0</v>
      </c>
      <c r="I33" s="25"/>
      <c r="J33" s="25" t="s">
        <v>20</v>
      </c>
    </row>
    <row r="34" spans="1:10" x14ac:dyDescent="0.35">
      <c r="A34" s="26" t="s">
        <v>34</v>
      </c>
      <c r="B34" s="27">
        <f>SUM(B22:B33)</f>
        <v>2794884</v>
      </c>
      <c r="C34" s="27">
        <f t="shared" ref="C34:F34" si="11">SUM(C22:C33)</f>
        <v>0</v>
      </c>
      <c r="D34" s="27">
        <f>B34-C34</f>
        <v>2794884</v>
      </c>
      <c r="E34" s="28">
        <f>IFERROR(D34/C34, 0)</f>
        <v>0</v>
      </c>
      <c r="F34" s="27">
        <f t="shared" si="11"/>
        <v>0</v>
      </c>
      <c r="G34" s="27">
        <f>B34-F34</f>
        <v>2794884</v>
      </c>
      <c r="H34" s="29">
        <f>IFERROR(G34/F34, 0)</f>
        <v>0</v>
      </c>
      <c r="I34" s="30"/>
      <c r="J34" s="30"/>
    </row>
    <row r="35" spans="1:10" ht="30.75" customHeight="1" x14ac:dyDescent="0.35">
      <c r="A35" s="64"/>
      <c r="B35" s="64"/>
      <c r="C35" s="64"/>
      <c r="D35" s="64"/>
      <c r="E35" s="64"/>
      <c r="F35" s="64"/>
      <c r="G35" s="64"/>
      <c r="H35" s="64"/>
      <c r="I35" s="64"/>
      <c r="J35" s="64"/>
    </row>
    <row r="36" spans="1:10" ht="15" thickBot="1" x14ac:dyDescent="0.4">
      <c r="A36">
        <v>2024</v>
      </c>
    </row>
    <row r="37" spans="1:10" ht="15.5" x14ac:dyDescent="0.35">
      <c r="A37" s="69" t="s">
        <v>1</v>
      </c>
      <c r="B37" s="70"/>
      <c r="C37" s="70"/>
      <c r="D37" s="70"/>
      <c r="E37" s="71"/>
      <c r="F37" s="72" t="s">
        <v>2</v>
      </c>
      <c r="G37" s="73"/>
      <c r="H37" s="74"/>
      <c r="I37" s="75" t="s">
        <v>16</v>
      </c>
      <c r="J37" s="76"/>
    </row>
    <row r="38" spans="1:10" ht="15" thickBot="1" x14ac:dyDescent="0.4">
      <c r="A38" s="1" t="s">
        <v>17</v>
      </c>
      <c r="B38" s="60" t="s">
        <v>4</v>
      </c>
      <c r="C38" s="60" t="s">
        <v>5</v>
      </c>
      <c r="D38" s="60" t="s">
        <v>6</v>
      </c>
      <c r="E38" s="61" t="s">
        <v>7</v>
      </c>
      <c r="F38" s="62" t="s">
        <v>8</v>
      </c>
      <c r="G38" s="2" t="s">
        <v>9</v>
      </c>
      <c r="H38" s="3" t="s">
        <v>10</v>
      </c>
      <c r="I38" s="4" t="s">
        <v>16</v>
      </c>
      <c r="J38" s="5" t="s">
        <v>18</v>
      </c>
    </row>
    <row r="39" spans="1:10" x14ac:dyDescent="0.35">
      <c r="A39" s="58" t="s">
        <v>19</v>
      </c>
      <c r="B39" s="52">
        <v>62254</v>
      </c>
      <c r="C39" s="53">
        <v>0</v>
      </c>
      <c r="D39" s="54">
        <f>B39-C39</f>
        <v>62254</v>
      </c>
      <c r="E39" s="55">
        <f t="shared" ref="E39:E50" si="12">IFERROR(D39/C39, 0)</f>
        <v>0</v>
      </c>
      <c r="F39" s="56">
        <v>0</v>
      </c>
      <c r="G39" s="13">
        <f>B39-F39</f>
        <v>62254</v>
      </c>
      <c r="H39" s="9">
        <f t="shared" ref="H39:H50" si="13">IFERROR(G39/F39, 0)</f>
        <v>0</v>
      </c>
      <c r="I39" s="66" t="s">
        <v>35</v>
      </c>
      <c r="J39" s="66" t="s">
        <v>36</v>
      </c>
    </row>
    <row r="40" spans="1:10" x14ac:dyDescent="0.35">
      <c r="A40" s="59" t="s">
        <v>21</v>
      </c>
      <c r="B40" s="57">
        <v>238221</v>
      </c>
      <c r="C40" s="53">
        <v>0</v>
      </c>
      <c r="D40" s="54">
        <f t="shared" ref="D40:D50" si="14">B40-C40</f>
        <v>238221</v>
      </c>
      <c r="E40" s="55">
        <f t="shared" si="12"/>
        <v>0</v>
      </c>
      <c r="F40" s="56">
        <v>0</v>
      </c>
      <c r="G40" s="13">
        <f t="shared" ref="G40:G50" si="15">B40-F40</f>
        <v>238221</v>
      </c>
      <c r="H40" s="9">
        <f t="shared" si="13"/>
        <v>0</v>
      </c>
      <c r="I40" s="10"/>
      <c r="J40" s="10" t="s">
        <v>20</v>
      </c>
    </row>
    <row r="41" spans="1:10" x14ac:dyDescent="0.35">
      <c r="A41" s="59" t="s">
        <v>22</v>
      </c>
      <c r="B41" s="57">
        <v>258395</v>
      </c>
      <c r="C41" s="53">
        <v>0</v>
      </c>
      <c r="D41" s="54">
        <f t="shared" si="14"/>
        <v>258395</v>
      </c>
      <c r="E41" s="55">
        <f t="shared" si="12"/>
        <v>0</v>
      </c>
      <c r="F41" s="56">
        <v>0</v>
      </c>
      <c r="G41" s="13">
        <f t="shared" si="15"/>
        <v>258395</v>
      </c>
      <c r="H41" s="9">
        <f t="shared" si="13"/>
        <v>0</v>
      </c>
      <c r="I41" s="67" t="s">
        <v>37</v>
      </c>
      <c r="J41" s="67" t="s">
        <v>38</v>
      </c>
    </row>
    <row r="42" spans="1:10" x14ac:dyDescent="0.35">
      <c r="A42" s="59" t="s">
        <v>23</v>
      </c>
      <c r="B42" s="57">
        <v>0</v>
      </c>
      <c r="C42" s="53">
        <v>0</v>
      </c>
      <c r="D42" s="54">
        <f t="shared" si="14"/>
        <v>0</v>
      </c>
      <c r="E42" s="55">
        <f t="shared" si="12"/>
        <v>0</v>
      </c>
      <c r="F42" s="56">
        <v>0</v>
      </c>
      <c r="G42" s="13">
        <f t="shared" si="15"/>
        <v>0</v>
      </c>
      <c r="H42" s="9">
        <f t="shared" si="13"/>
        <v>0</v>
      </c>
      <c r="I42" s="10"/>
      <c r="J42" s="10"/>
    </row>
    <row r="43" spans="1:10" x14ac:dyDescent="0.35">
      <c r="A43" s="59" t="s">
        <v>24</v>
      </c>
      <c r="B43" s="57">
        <v>0</v>
      </c>
      <c r="C43" s="53">
        <v>0</v>
      </c>
      <c r="D43" s="54">
        <f t="shared" si="14"/>
        <v>0</v>
      </c>
      <c r="E43" s="55">
        <f t="shared" si="12"/>
        <v>0</v>
      </c>
      <c r="F43" s="56">
        <v>0</v>
      </c>
      <c r="G43" s="13">
        <f t="shared" si="15"/>
        <v>0</v>
      </c>
      <c r="H43" s="9">
        <f t="shared" si="13"/>
        <v>0</v>
      </c>
      <c r="I43" s="15"/>
      <c r="J43" s="16"/>
    </row>
    <row r="44" spans="1:10" x14ac:dyDescent="0.35">
      <c r="A44" s="59" t="s">
        <v>25</v>
      </c>
      <c r="B44" s="52">
        <v>0</v>
      </c>
      <c r="C44" s="53">
        <v>0</v>
      </c>
      <c r="D44" s="54">
        <f t="shared" si="14"/>
        <v>0</v>
      </c>
      <c r="E44" s="55">
        <f t="shared" si="12"/>
        <v>0</v>
      </c>
      <c r="F44" s="56">
        <v>0</v>
      </c>
      <c r="G44" s="13">
        <f t="shared" si="15"/>
        <v>0</v>
      </c>
      <c r="H44" s="9">
        <f t="shared" si="13"/>
        <v>0</v>
      </c>
      <c r="I44" s="10"/>
      <c r="J44" s="10" t="s">
        <v>20</v>
      </c>
    </row>
    <row r="45" spans="1:10" x14ac:dyDescent="0.35">
      <c r="A45" s="11" t="s">
        <v>26</v>
      </c>
      <c r="B45" s="6">
        <v>0</v>
      </c>
      <c r="C45" s="53">
        <v>0</v>
      </c>
      <c r="D45" s="6">
        <f t="shared" si="14"/>
        <v>0</v>
      </c>
      <c r="E45" s="7">
        <f t="shared" si="12"/>
        <v>0</v>
      </c>
      <c r="F45" s="56">
        <v>0</v>
      </c>
      <c r="G45" s="8">
        <f t="shared" si="15"/>
        <v>0</v>
      </c>
      <c r="H45" s="9">
        <f t="shared" si="13"/>
        <v>0</v>
      </c>
      <c r="I45" s="10"/>
      <c r="J45" s="10" t="s">
        <v>20</v>
      </c>
    </row>
    <row r="46" spans="1:10" x14ac:dyDescent="0.35">
      <c r="A46" s="11" t="s">
        <v>27</v>
      </c>
      <c r="B46" s="63">
        <v>0</v>
      </c>
      <c r="C46" s="53">
        <v>0</v>
      </c>
      <c r="D46" s="6">
        <f t="shared" si="14"/>
        <v>0</v>
      </c>
      <c r="E46" s="12">
        <f t="shared" si="12"/>
        <v>0</v>
      </c>
      <c r="F46" s="56">
        <v>0</v>
      </c>
      <c r="G46" s="8">
        <f t="shared" si="15"/>
        <v>0</v>
      </c>
      <c r="H46" s="9">
        <f t="shared" si="13"/>
        <v>0</v>
      </c>
      <c r="I46" s="14"/>
      <c r="J46" s="14"/>
    </row>
    <row r="47" spans="1:10" x14ac:dyDescent="0.35">
      <c r="A47" s="11" t="s">
        <v>28</v>
      </c>
      <c r="B47" s="6">
        <v>0</v>
      </c>
      <c r="C47" s="53">
        <v>0</v>
      </c>
      <c r="D47" s="6">
        <f t="shared" si="14"/>
        <v>0</v>
      </c>
      <c r="E47" s="12">
        <f t="shared" si="12"/>
        <v>0</v>
      </c>
      <c r="F47" s="56">
        <v>0</v>
      </c>
      <c r="G47" s="8">
        <f t="shared" si="15"/>
        <v>0</v>
      </c>
      <c r="H47" s="9">
        <f t="shared" si="13"/>
        <v>0</v>
      </c>
      <c r="I47" s="10"/>
      <c r="J47" s="10"/>
    </row>
    <row r="48" spans="1:10" x14ac:dyDescent="0.35">
      <c r="A48" s="11" t="s">
        <v>29</v>
      </c>
      <c r="B48" s="6">
        <v>0</v>
      </c>
      <c r="C48" s="53">
        <v>0</v>
      </c>
      <c r="D48" s="6">
        <f t="shared" si="14"/>
        <v>0</v>
      </c>
      <c r="E48" s="12">
        <f t="shared" si="12"/>
        <v>0</v>
      </c>
      <c r="F48" s="56">
        <v>0</v>
      </c>
      <c r="G48" s="8">
        <f t="shared" si="15"/>
        <v>0</v>
      </c>
      <c r="H48" s="9">
        <f t="shared" si="13"/>
        <v>0</v>
      </c>
      <c r="I48" s="15"/>
      <c r="J48" s="16"/>
    </row>
    <row r="49" spans="1:10" x14ac:dyDescent="0.35">
      <c r="A49" s="11" t="s">
        <v>30</v>
      </c>
      <c r="B49" s="17">
        <v>0</v>
      </c>
      <c r="C49" s="17">
        <v>0</v>
      </c>
      <c r="D49" s="6">
        <f t="shared" si="14"/>
        <v>0</v>
      </c>
      <c r="E49" s="12">
        <f t="shared" si="12"/>
        <v>0</v>
      </c>
      <c r="F49" s="18">
        <v>0</v>
      </c>
      <c r="G49" s="8">
        <f t="shared" si="15"/>
        <v>0</v>
      </c>
      <c r="H49" s="9">
        <f t="shared" si="13"/>
        <v>0</v>
      </c>
      <c r="I49" s="16" t="s">
        <v>20</v>
      </c>
      <c r="J49" s="16" t="s">
        <v>20</v>
      </c>
    </row>
    <row r="50" spans="1:10" x14ac:dyDescent="0.35">
      <c r="A50" s="19" t="s">
        <v>33</v>
      </c>
      <c r="B50" s="20">
        <v>0</v>
      </c>
      <c r="C50" s="20">
        <v>0</v>
      </c>
      <c r="D50" s="20">
        <f t="shared" si="14"/>
        <v>0</v>
      </c>
      <c r="E50" s="21">
        <f t="shared" si="12"/>
        <v>0</v>
      </c>
      <c r="F50" s="22">
        <v>0</v>
      </c>
      <c r="G50" s="23">
        <f t="shared" si="15"/>
        <v>0</v>
      </c>
      <c r="H50" s="24">
        <f t="shared" si="13"/>
        <v>0</v>
      </c>
      <c r="I50" s="25"/>
      <c r="J50" s="25" t="s">
        <v>20</v>
      </c>
    </row>
    <row r="51" spans="1:10" x14ac:dyDescent="0.35">
      <c r="A51" s="26" t="s">
        <v>34</v>
      </c>
      <c r="B51" s="27">
        <v>0</v>
      </c>
      <c r="C51" s="27">
        <f t="shared" ref="C51" si="16">SUM(C39:C50)</f>
        <v>0</v>
      </c>
      <c r="D51" s="27">
        <f>B51-C51</f>
        <v>0</v>
      </c>
      <c r="E51" s="28">
        <f>IFERROR(D51/C51, 0)</f>
        <v>0</v>
      </c>
      <c r="F51" s="27">
        <f t="shared" ref="F51" si="17">SUM(F39:F50)</f>
        <v>0</v>
      </c>
      <c r="G51" s="27">
        <f>B51-F51</f>
        <v>0</v>
      </c>
      <c r="H51" s="29">
        <f>IFERROR(G51/F51, 0)</f>
        <v>0</v>
      </c>
    </row>
    <row r="52" spans="1:10" x14ac:dyDescent="0.35">
      <c r="B52" s="65">
        <v>0</v>
      </c>
    </row>
    <row r="55" spans="1:10" ht="29" x14ac:dyDescent="0.35">
      <c r="A55" t="s">
        <v>39</v>
      </c>
      <c r="B55" s="77" t="s">
        <v>41</v>
      </c>
      <c r="C55" t="s">
        <v>16</v>
      </c>
    </row>
    <row r="56" spans="1:10" x14ac:dyDescent="0.35">
      <c r="A56" s="11" t="s">
        <v>19</v>
      </c>
      <c r="B56" s="78">
        <f>(B39-B22)/B39</f>
        <v>-0.61750248979985223</v>
      </c>
      <c r="C56" s="80" t="s">
        <v>40</v>
      </c>
      <c r="D56" s="81"/>
      <c r="E56" s="81"/>
      <c r="F56" s="81"/>
      <c r="G56" s="82"/>
    </row>
    <row r="57" spans="1:10" x14ac:dyDescent="0.35">
      <c r="A57" s="11" t="s">
        <v>21</v>
      </c>
      <c r="B57" s="78">
        <f t="shared" ref="B57:B58" si="18">(B40-B23)/B40</f>
        <v>0.20688352412255848</v>
      </c>
      <c r="C57" s="80"/>
      <c r="D57" s="81"/>
      <c r="E57" s="81"/>
      <c r="F57" s="81"/>
      <c r="G57" s="82"/>
    </row>
    <row r="58" spans="1:10" x14ac:dyDescent="0.35">
      <c r="A58" s="11" t="s">
        <v>22</v>
      </c>
      <c r="B58" s="78">
        <f t="shared" si="18"/>
        <v>-6.5914588130575283E-2</v>
      </c>
      <c r="C58" s="80" t="s">
        <v>42</v>
      </c>
      <c r="D58" s="81"/>
      <c r="E58" s="81"/>
      <c r="F58" s="81"/>
      <c r="G58" s="82"/>
    </row>
    <row r="59" spans="1:10" x14ac:dyDescent="0.35">
      <c r="A59" s="11" t="s">
        <v>23</v>
      </c>
      <c r="B59" s="79"/>
      <c r="C59" s="80"/>
      <c r="D59" s="81"/>
      <c r="E59" s="81"/>
      <c r="F59" s="81"/>
      <c r="G59" s="82"/>
    </row>
    <row r="60" spans="1:10" x14ac:dyDescent="0.35">
      <c r="A60" s="11" t="s">
        <v>24</v>
      </c>
      <c r="B60" s="79"/>
      <c r="C60" s="80"/>
      <c r="D60" s="81"/>
      <c r="E60" s="81"/>
      <c r="F60" s="81"/>
      <c r="G60" s="82"/>
    </row>
    <row r="61" spans="1:10" x14ac:dyDescent="0.35">
      <c r="A61" s="11" t="s">
        <v>25</v>
      </c>
      <c r="B61" s="79"/>
      <c r="C61" s="80"/>
      <c r="D61" s="81"/>
      <c r="E61" s="81"/>
      <c r="F61" s="81"/>
      <c r="G61" s="82"/>
      <c r="I61">
        <f>16/31</f>
        <v>0.5161290322580645</v>
      </c>
    </row>
    <row r="62" spans="1:10" x14ac:dyDescent="0.35">
      <c r="A62" s="11" t="s">
        <v>26</v>
      </c>
      <c r="B62" s="79"/>
      <c r="C62" s="80"/>
      <c r="D62" s="81"/>
      <c r="E62" s="81"/>
      <c r="F62" s="81"/>
      <c r="G62" s="82"/>
    </row>
    <row r="63" spans="1:10" x14ac:dyDescent="0.35">
      <c r="A63" s="11" t="s">
        <v>27</v>
      </c>
      <c r="B63" s="79"/>
      <c r="C63" s="80"/>
      <c r="D63" s="81"/>
      <c r="E63" s="81"/>
      <c r="F63" s="81"/>
      <c r="G63" s="82"/>
    </row>
    <row r="64" spans="1:10" x14ac:dyDescent="0.35">
      <c r="A64" s="11" t="s">
        <v>28</v>
      </c>
      <c r="B64" s="79"/>
      <c r="C64" s="80"/>
      <c r="D64" s="81"/>
      <c r="E64" s="81"/>
      <c r="F64" s="81"/>
      <c r="G64" s="82"/>
    </row>
    <row r="65" spans="1:7" x14ac:dyDescent="0.35">
      <c r="A65" s="11" t="s">
        <v>29</v>
      </c>
      <c r="B65" s="79"/>
      <c r="C65" s="80"/>
      <c r="D65" s="81"/>
      <c r="E65" s="81"/>
      <c r="F65" s="81"/>
      <c r="G65" s="82"/>
    </row>
    <row r="66" spans="1:7" x14ac:dyDescent="0.35">
      <c r="A66" s="11" t="s">
        <v>30</v>
      </c>
      <c r="B66" s="79"/>
      <c r="C66" s="80"/>
      <c r="D66" s="81"/>
      <c r="E66" s="81"/>
      <c r="F66" s="81"/>
      <c r="G66" s="82"/>
    </row>
    <row r="67" spans="1:7" x14ac:dyDescent="0.35">
      <c r="A67" s="11" t="s">
        <v>33</v>
      </c>
      <c r="B67" s="79"/>
      <c r="C67" s="80"/>
      <c r="D67" s="81"/>
      <c r="E67" s="81"/>
      <c r="F67" s="81"/>
      <c r="G67" s="82"/>
    </row>
  </sheetData>
  <mergeCells count="10">
    <mergeCell ref="A1:J1"/>
    <mergeCell ref="A37:E37"/>
    <mergeCell ref="F37:H37"/>
    <mergeCell ref="I37:J37"/>
    <mergeCell ref="A3:E3"/>
    <mergeCell ref="F3:H3"/>
    <mergeCell ref="I3:J3"/>
    <mergeCell ref="A20:E20"/>
    <mergeCell ref="F20:H20"/>
    <mergeCell ref="I20:J20"/>
  </mergeCells>
  <conditionalFormatting sqref="E5:E17 H5:H17">
    <cfRule type="cellIs" dxfId="5" priority="1" operator="lessThanOrEqual">
      <formula>-0.1</formula>
    </cfRule>
    <cfRule type="cellIs" dxfId="4" priority="2" operator="greaterThan">
      <formula>0.1</formula>
    </cfRule>
  </conditionalFormatting>
  <conditionalFormatting sqref="E22:E34 H22:H34">
    <cfRule type="cellIs" dxfId="3" priority="5" operator="lessThanOrEqual">
      <formula>-0.1</formula>
    </cfRule>
    <cfRule type="cellIs" dxfId="2" priority="6" operator="greaterThan">
      <formula>0.1</formula>
    </cfRule>
  </conditionalFormatting>
  <conditionalFormatting sqref="E39:E51 H39:H51">
    <cfRule type="cellIs" dxfId="1" priority="3" operator="lessThanOrEqual">
      <formula>-0.1</formula>
    </cfRule>
    <cfRule type="cellIs" dxfId="0" priority="4" operator="greaterThan">
      <formula>0.1</formula>
    </cfRule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sharepoint/v3"/>
    <ds:schemaRef ds:uri="http://schemas.microsoft.com/office/infopath/2007/PartnerControls"/>
    <ds:schemaRef ds:uri="ddcd8467-55ca-498e-a9f8-86795db5db7a"/>
    <ds:schemaRef ds:uri="http://purl.org/dc/dcmitype/"/>
    <ds:schemaRef ds:uri="http://purl.org/dc/terms/"/>
    <ds:schemaRef ds:uri="7f39bfab-6331-41a1-b6d4-5b974a316951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EECAA0A-BC5D-4120-8796-9597929B5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Dufault, Michael</cp:lastModifiedBy>
  <cp:revision/>
  <dcterms:created xsi:type="dcterms:W3CDTF">2023-06-15T21:59:03Z</dcterms:created>
  <dcterms:modified xsi:type="dcterms:W3CDTF">2024-05-13T18:26:15Z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