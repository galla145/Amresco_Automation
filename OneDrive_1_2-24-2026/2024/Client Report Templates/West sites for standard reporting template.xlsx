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Client Report Templates/"/>
    </mc:Choice>
  </mc:AlternateContent>
  <xr:revisionPtr revIDLastSave="0" documentId="8_{5CB7A68E-BE08-4D21-8D78-D26FF117C59A}" xr6:coauthVersionLast="47" xr6:coauthVersionMax="47" xr10:uidLastSave="{00000000-0000-0000-0000-000000000000}"/>
  <bookViews>
    <workbookView xWindow="28680" yWindow="15855" windowWidth="29040" windowHeight="15720" xr2:uid="{00000000-000D-0000-FFFF-FFFF00000000}"/>
  </bookViews>
  <sheets>
    <sheet name="DAS Names" sheetId="1" r:id="rId1"/>
    <sheet name="Locus NOC 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D69" i="1"/>
  <c r="D70" i="1"/>
  <c r="D71" i="1"/>
  <c r="D72" i="1"/>
  <c r="D73" i="1"/>
  <c r="D74" i="1"/>
  <c r="D75" i="1"/>
  <c r="D76" i="1"/>
  <c r="D68" i="1"/>
  <c r="D62" i="1"/>
  <c r="D61" i="1"/>
</calcChain>
</file>

<file path=xl/sharedStrings.xml><?xml version="1.0" encoding="utf-8"?>
<sst xmlns="http://schemas.openxmlformats.org/spreadsheetml/2006/main" count="528" uniqueCount="229">
  <si>
    <t>Asset</t>
  </si>
  <si>
    <t>DAS Provider</t>
  </si>
  <si>
    <t>Owner</t>
  </si>
  <si>
    <t>DAS Site Name - Exact</t>
  </si>
  <si>
    <t>ROC providing reporting as of 12/31/23</t>
  </si>
  <si>
    <t>ROC providing reporting as of 1/31/24</t>
  </si>
  <si>
    <t>CA: Rancho Cucamonga</t>
  </si>
  <si>
    <t>Also Energy API</t>
  </si>
  <si>
    <t>38D North</t>
  </si>
  <si>
    <t>6th St.</t>
  </si>
  <si>
    <t>Y</t>
  </si>
  <si>
    <t>CA: Adelanto - 1 Sheep Creek Road</t>
  </si>
  <si>
    <t>Aderis/Focus/Acuity</t>
  </si>
  <si>
    <t>Catalyze</t>
  </si>
  <si>
    <t>Sheep Creek Solar</t>
  </si>
  <si>
    <t>CA: Fullerton - 200 West Orangethorpe Avenue</t>
  </si>
  <si>
    <t xml:space="preserve">CA Fullerton - 200 W Orangethorpe - 19603 </t>
  </si>
  <si>
    <t>CA: Fresno - 3150 West Shaw Avenue</t>
  </si>
  <si>
    <t>CA Fresno - 3150 Shaw Ave - 19600</t>
  </si>
  <si>
    <t>TX: El Paso - 10500 Railroad Dr</t>
  </si>
  <si>
    <t>TX El Paso - 10500 Railroad Drive - 19648</t>
  </si>
  <si>
    <t>TX: Friona - 900 Millard Avenue</t>
  </si>
  <si>
    <t>TX Friona - 900 Millard Ave - 19506</t>
  </si>
  <si>
    <t>AZ: Cave Creek - DWES</t>
  </si>
  <si>
    <t>Obvius AcquiSuite</t>
  </si>
  <si>
    <t>Cave Creek USD</t>
  </si>
  <si>
    <t>AZ: Cave Creek - HTES</t>
  </si>
  <si>
    <t>AZ: Cave Creek - LMES</t>
  </si>
  <si>
    <t>CA: Clovis - Citi</t>
  </si>
  <si>
    <t>LocusNOC</t>
  </si>
  <si>
    <t>Citi</t>
  </si>
  <si>
    <t>Kaiser, KP6 - Clovis MOB - CN2950</t>
  </si>
  <si>
    <t>CA: Fresno Sequioa - Citi</t>
  </si>
  <si>
    <t>Kaiser, KP6 - Fresno Sequioa Hospital - CN7207</t>
  </si>
  <si>
    <t>CA: Elk Grove MOB - Citi</t>
  </si>
  <si>
    <t>Kaiser, KP6 - Elk Grove MOB - CN73727</t>
  </si>
  <si>
    <t>CA: Elk Grove Promenade - Citi</t>
  </si>
  <si>
    <t>Kaiser, KP6 - Elk Grove Promenade - CN 6950</t>
  </si>
  <si>
    <t>CA: Antioch Deer Valley - Citi</t>
  </si>
  <si>
    <t>Kaiser, KP6 - Antioch Deer Valley - CN5701</t>
  </si>
  <si>
    <t>CA: Antioch MC CUP - Citi</t>
  </si>
  <si>
    <t>Kaiser, KP6 - Antioch MC CUP - CN5701</t>
  </si>
  <si>
    <t>CA: Fresno MOB - Citi</t>
  </si>
  <si>
    <t>Kaiser, KP6 - Fresno Medical Offices - CN7201</t>
  </si>
  <si>
    <t>CA: Modesto Bangs - Citi</t>
  </si>
  <si>
    <t>Kaiser, KP6 - Modesto Bangs MOB</t>
  </si>
  <si>
    <t>CA: Napa Data Center - Citi</t>
  </si>
  <si>
    <t>Kaiser, KP6 - Napa Data Center - CN2205</t>
  </si>
  <si>
    <t>CA: Petaluma MOB - Citi</t>
  </si>
  <si>
    <t>Kaiser, KP6 - Petaluma MOB - CN2001</t>
  </si>
  <si>
    <t>CA: Pleasanton Tec Ctr - Citi</t>
  </si>
  <si>
    <t>Kaiser, KP6 - Pleasanton PTC - Bldg B - CN470B</t>
  </si>
  <si>
    <t>CA: Rancho Cordova - Citi</t>
  </si>
  <si>
    <t>Kaiser, KP6 - Rancho Cordova - Groundmount</t>
  </si>
  <si>
    <t>CA: S Sacramento Wyndham - Citi</t>
  </si>
  <si>
    <t>Kaiser, KP6 - South Sacramento Wyndham CN6014</t>
  </si>
  <si>
    <t>CA: Sacramento Point West - Citi</t>
  </si>
  <si>
    <t>Kaiser, KP6 - Sacramento Point West MOB</t>
  </si>
  <si>
    <t>CA: San Jose FHC - Citi</t>
  </si>
  <si>
    <t>Kaiser, KP6 - San Jose FHC - CN6320</t>
  </si>
  <si>
    <t>CA: San Jose MOB - Citi</t>
  </si>
  <si>
    <t>Kaiser, KP6 - San Jose MOB - CN6310</t>
  </si>
  <si>
    <t>CA: Selma - Citi</t>
  </si>
  <si>
    <t>Kaiser, KP6 - Selma Medical Offices - CN8450</t>
  </si>
  <si>
    <t>CA: Vacaville Hospital</t>
  </si>
  <si>
    <t>Kaiser, KP6 - Vacaville Hospital - CN6701</t>
  </si>
  <si>
    <t>NM: Albuquerque - Senior Affairs</t>
  </si>
  <si>
    <t>City of Albuquerque</t>
  </si>
  <si>
    <t>Dept of Senior Affairs CASA Kitchen Karsten</t>
  </si>
  <si>
    <t>NM: Albuquerque - Rio Grande Zoo</t>
  </si>
  <si>
    <t>Rio Grande Zoo</t>
  </si>
  <si>
    <t>AZ: COF Aquaplex</t>
  </si>
  <si>
    <t>City of Flagstaff</t>
  </si>
  <si>
    <t>AZ: COF Rio de Flag</t>
  </si>
  <si>
    <t>AZ: COF Sun Bear</t>
  </si>
  <si>
    <t>AZ: Peoria - Beardsley WWTP - Ad. Bldg</t>
  </si>
  <si>
    <t>City of Peoria</t>
  </si>
  <si>
    <t>City of Peoria, . - Beardsley WWTP - Admin Building</t>
  </si>
  <si>
    <t>AZ: Peoria - Fire Station 191</t>
  </si>
  <si>
    <t>Fire station 191(Peoria)</t>
  </si>
  <si>
    <t>AZ: Peoria - Fire Station 195</t>
  </si>
  <si>
    <t>Fire Station 195 (Peoria)</t>
  </si>
  <si>
    <t>AZ: Peoria - Fire Station 196</t>
  </si>
  <si>
    <t>Fire Station 196(Peoria)</t>
  </si>
  <si>
    <t>AZ: Peoria - Fire Station 197</t>
  </si>
  <si>
    <t>Fire Station 197 (Peoria)</t>
  </si>
  <si>
    <t>AZ: Peoria - Sunrise Library</t>
  </si>
  <si>
    <t>City of Peoria, . - Sunrise Library</t>
  </si>
  <si>
    <t>AZ: Peoria - Beardsley WWTP</t>
  </si>
  <si>
    <t>Beardsley WWTP - Trackers &amp; East Canopy</t>
  </si>
  <si>
    <t>AZ: Peoria - City Hall</t>
  </si>
  <si>
    <t>City of Peoria, . - DCS - Municipal Complex</t>
  </si>
  <si>
    <t>AZ: Peoria - Pinnacle Peak</t>
  </si>
  <si>
    <t>City of Peoria, . - Pinnacle Peak</t>
  </si>
  <si>
    <t>AZ: Sky Harbor COB Admin Building</t>
  </si>
  <si>
    <t>City of Phoenix</t>
  </si>
  <si>
    <t>SKY HARBOR AIRPORT PV PROJECT 1 COB ADMIN BUILDING</t>
  </si>
  <si>
    <t>TX: Westlake - Fidelity</t>
  </si>
  <si>
    <t>Fidelity Investments</t>
  </si>
  <si>
    <t>Westlake TX</t>
  </si>
  <si>
    <t>AZ: Mesa - Sequoia Charter School</t>
  </si>
  <si>
    <t>Generate Capital</t>
  </si>
  <si>
    <t>Sequoia Charter School</t>
  </si>
  <si>
    <t>AZ: Tempe - ASU - Parking #3</t>
  </si>
  <si>
    <t>ASU - Parking #3</t>
  </si>
  <si>
    <t>AZ: Tempe - ASU - PE East</t>
  </si>
  <si>
    <t>ASU - PE East</t>
  </si>
  <si>
    <t>AZ: Tempe - ASU - Schwada</t>
  </si>
  <si>
    <t>ASU - Schwada</t>
  </si>
  <si>
    <t>AZ: Globe - Gila CC</t>
  </si>
  <si>
    <t>GCC Globe Solar PV</t>
  </si>
  <si>
    <t>AZ: Payson - Gila CC</t>
  </si>
  <si>
    <t>GCC Payson Solar PV</t>
  </si>
  <si>
    <t>AZ: Phoenix - Starshine Academy</t>
  </si>
  <si>
    <t>Starshine</t>
  </si>
  <si>
    <t>AZ: Superior - JFK Elementary</t>
  </si>
  <si>
    <t>JFK Elementary</t>
  </si>
  <si>
    <t>AZ: Tempe - ASU - Farmer</t>
  </si>
  <si>
    <t>ASU - Farmer</t>
  </si>
  <si>
    <t>AZ: Tempe - ASU - Fulton</t>
  </si>
  <si>
    <t>ASU - Fulton</t>
  </si>
  <si>
    <t>AZ: Tempe - ASU - Noble</t>
  </si>
  <si>
    <t>ASU - Noble</t>
  </si>
  <si>
    <t>AZ: Tempe - SCNM</t>
  </si>
  <si>
    <t>Southwest College Naturopathic Medicine</t>
  </si>
  <si>
    <t>AZ: Yuma Airport</t>
  </si>
  <si>
    <t>Yuma Airport</t>
  </si>
  <si>
    <t>HI: Waipahu - 94-099 Waipahu St - PV</t>
  </si>
  <si>
    <t>94-099 Waipahu St – PV</t>
  </si>
  <si>
    <t>HI: Waipahu - 94-246 Leoku St - E.F.G.</t>
  </si>
  <si>
    <t>94-246 Leoku St. – PV Bldg E, F, G</t>
  </si>
  <si>
    <t>AZ: Joseph City USD</t>
  </si>
  <si>
    <t>Joseph City USD</t>
  </si>
  <si>
    <t>JCUSD</t>
  </si>
  <si>
    <t>AZ: Lake Havasu - District Office</t>
  </si>
  <si>
    <t>Lake Havasu USD</t>
  </si>
  <si>
    <t>AZ: Lake Havasu - HS Library</t>
  </si>
  <si>
    <t>AZ: Lake Havasu- Performing Arts</t>
  </si>
  <si>
    <t>AZ: Lake Havasu City - Police Station</t>
  </si>
  <si>
    <t>LX International America, Inc.</t>
  </si>
  <si>
    <t>AZ: Lake Havasu City - Aquatic Center</t>
  </si>
  <si>
    <t>AZ: Lake Havasu City - City Hall</t>
  </si>
  <si>
    <t>AZ: Lake Havasu City - Public Works</t>
  </si>
  <si>
    <t>AZ: Marana - Degrazia ES</t>
  </si>
  <si>
    <t>Marana USD</t>
  </si>
  <si>
    <t>AZ: Marana - Gladden Farms Ph 2</t>
  </si>
  <si>
    <t>AZ: Marana - Marana High School</t>
  </si>
  <si>
    <t>AZ: Marana - Mountain View HS Exp.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</si>
  <si>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</si>
  <si>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</si>
  <si>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</si>
  <si>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</si>
  <si>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</si>
  <si>
    <t>NM: New Mexico Tech - EMRTC</t>
  </si>
  <si>
    <t>New Mexico Tech</t>
  </si>
  <si>
    <t>New Mexico Tech- EMRTC (PLCS)</t>
  </si>
  <si>
    <t>NM: New Mexico Tech - Fac. Mgt.</t>
  </si>
  <si>
    <t>New Mexico Tech- Facilities Management (PLCS)</t>
  </si>
  <si>
    <t>NM: New Mexico Tech - Macey Ctr</t>
  </si>
  <si>
    <t>New Mexico Tech- Macey Center</t>
  </si>
  <si>
    <t>AZ: ASU - Pardee - Discovery Hall</t>
  </si>
  <si>
    <t>Pardee (ENCAP)</t>
  </si>
  <si>
    <t>Discovery Hall</t>
  </si>
  <si>
    <t>AZ: ASU - Pardee - Farrington</t>
  </si>
  <si>
    <t>Farrington</t>
  </si>
  <si>
    <t>AZ: ASU - Pardee - Macro Tech.</t>
  </si>
  <si>
    <t>Macro Technology Works</t>
  </si>
  <si>
    <t>AZ: ASU - Pardee - McCord Hall</t>
  </si>
  <si>
    <t>McCord Hall</t>
  </si>
  <si>
    <t>AZ: NAU - SF Garage</t>
  </si>
  <si>
    <t>NAU - SF Garage</t>
  </si>
  <si>
    <t>AZ: ASU - Pardee - Parking Lot 11</t>
  </si>
  <si>
    <t>Parking Lot 11</t>
  </si>
  <si>
    <t>AZ: ASU - Pardee - Parking Lot 19</t>
  </si>
  <si>
    <t>Parking Lot 19</t>
  </si>
  <si>
    <t>AZ: ASU - Pardee - Parking Lot 41</t>
  </si>
  <si>
    <t>Parking Lot 41</t>
  </si>
  <si>
    <t>AZ: ASU - Pardee - Parking Lot 58</t>
  </si>
  <si>
    <t>Parking Lot 58</t>
  </si>
  <si>
    <t>AZ: ASU - Pardee - Parking Lot 59S</t>
  </si>
  <si>
    <t>Parking Lot 59S</t>
  </si>
  <si>
    <t>AZ: ASU - Pardee - Sun Devil Complex</t>
  </si>
  <si>
    <t>Sun Devil Fitness Complex</t>
  </si>
  <si>
    <t>NV: Starbucks - Minden</t>
  </si>
  <si>
    <t>Starbucks</t>
  </si>
  <si>
    <t>AZ: Superior High School</t>
  </si>
  <si>
    <t>Superior USD</t>
  </si>
  <si>
    <t>AZ: Superior - Superior High School</t>
  </si>
  <si>
    <t>CA: Adams &amp; Broadway - WF</t>
  </si>
  <si>
    <t>Wells Fargo</t>
  </si>
  <si>
    <t>BE 191334 Adams &amp; Broadway</t>
  </si>
  <si>
    <t>CA: San Leandro - WF</t>
  </si>
  <si>
    <t>BE 144682 - San Leandro Ops Center</t>
  </si>
  <si>
    <t>CA: Van Nuys - WF</t>
  </si>
  <si>
    <t>BE 191705 - Van Nuys</t>
  </si>
  <si>
    <t>CA: Otay Mesa - WF</t>
  </si>
  <si>
    <t>BE 196270 - Otay Mesa (ATM)</t>
  </si>
  <si>
    <t>TX: San Antonio - Ops Ctr (Bldg 104)</t>
  </si>
  <si>
    <t>BE 144679 - 104 - San Antonio Ops</t>
  </si>
  <si>
    <t>TX: San Antonio - Ops Ctr (Bldg 102)</t>
  </si>
  <si>
    <t>BE 144679 - 102 - San Antonio Ops</t>
  </si>
  <si>
    <t>TX: San Antonio - Ops Ctr (Bldg 106)</t>
  </si>
  <si>
    <t>BE 144679 - 106 - San Antonio Ops</t>
  </si>
  <si>
    <t>TX: San Antonio - Ops Ctr GM - WF</t>
  </si>
  <si>
    <t>BE 144679 - GM - San Antonio Ops</t>
  </si>
  <si>
    <t>TX: San Antonio - Ctr (Bldg 201)</t>
  </si>
  <si>
    <t>BE 144679 - 201 - San Antonio Ops</t>
  </si>
  <si>
    <t>TX: San Antonio - Ops Ctr (Bldg 203)</t>
  </si>
  <si>
    <t>BE 144679 - 203 - San Antonio Ops</t>
  </si>
  <si>
    <t>TX: San Antonio - Ops Ctr (Bldg 205)</t>
  </si>
  <si>
    <t>BE 144679 - 205 - San Antonio Ops</t>
  </si>
  <si>
    <t>TX: San Antonio - Ops Ctr (Bldg 307)</t>
  </si>
  <si>
    <t>BE 144679 - 307 - San Antonio Ops</t>
  </si>
  <si>
    <t>TX: San Antonio - Ctr (Bldg 308)</t>
  </si>
  <si>
    <t>BE 144679 - 308 - San Antonio Ops</t>
  </si>
  <si>
    <t>Instructions for LocusNOC:</t>
  </si>
  <si>
    <t>1. Choose the site(s) in the particular portfolio</t>
  </si>
  <si>
    <t>2. Go to the reports tab</t>
  </si>
  <si>
    <t>3. For each site listed in the porfolio choose:</t>
  </si>
  <si>
    <t>a. Measured Data/AC Energy (kWh)</t>
  </si>
  <si>
    <t>b. Expected Data/AC Energy (kWh)</t>
  </si>
  <si>
    <t>c. Modeled Data/AC Energy (kWh)</t>
  </si>
  <si>
    <t>4. Label the report</t>
  </si>
  <si>
    <t>5. Chose the date range</t>
  </si>
  <si>
    <t>6. Choose the granularity: monthly</t>
  </si>
  <si>
    <t>7.Choose RUN NOW</t>
  </si>
  <si>
    <t>8. An email from LocusNOC will come to your email address.</t>
  </si>
  <si>
    <t>9: Open file and inport into template.</t>
  </si>
  <si>
    <t>* David Brown has created code to crunch this information (similar process as Silicon Ranch portfolio)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</si>
</sst>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59962</xdr:colOff>
      <xdr:row>0</xdr:row>
      <xdr:rowOff>0</xdr:rowOff>
    </xdr:from>
    <xdr:to>
      <xdr:col>32</xdr:col>
      <xdr:colOff>54862</xdr:colOff>
      <xdr:row>41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ACB03A-69BA-E330-EC74-A075D2D9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5962" y="0"/>
          <a:ext cx="13406100" cy="6696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6"/>
  <sheetViews>
    <sheetView tabSelected="1" workbookViewId="0">
      <pane ySplit="1" topLeftCell="A2" activePane="bottomLeft" state="frozen"/>
      <selection pane="bottomLeft" activeCell="I24" sqref="I24"/>
    </sheetView>
  </sheetViews>
  <sheetFormatPr defaultRowHeight="12.75"/>
  <cols>
    <col min="1" max="1" width="33.7109375" customWidth="1"/>
    <col min="2" max="2" width="17.7109375" customWidth="1"/>
    <col min="3" max="3" width="25.7109375" customWidth="1"/>
    <col min="4" max="4" width="33.7109375" customWidth="1"/>
    <col min="5" max="5" width="17.7109375" style="5" customWidth="1"/>
    <col min="6" max="6" width="26.28515625" bestFit="1" customWidth="1"/>
  </cols>
  <sheetData>
    <row r="1" spans="1:7" ht="38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>
      <c r="A2" s="7" t="s">
        <v>6</v>
      </c>
      <c r="B2" s="7" t="s">
        <v>7</v>
      </c>
      <c r="C2" s="7" t="s">
        <v>8</v>
      </c>
      <c r="D2" s="7" t="s">
        <v>9</v>
      </c>
      <c r="E2" s="4" t="s">
        <v>10</v>
      </c>
      <c r="F2" s="7"/>
    </row>
    <row r="3" spans="1:7">
      <c r="A3" s="7" t="s">
        <v>11</v>
      </c>
      <c r="B3" s="7" t="s">
        <v>12</v>
      </c>
      <c r="C3" s="7" t="s">
        <v>13</v>
      </c>
      <c r="D3" s="9" t="s">
        <v>14</v>
      </c>
      <c r="E3" s="4" t="s">
        <v>10</v>
      </c>
    </row>
    <row r="4" spans="1:7">
      <c r="A4" s="7" t="s">
        <v>15</v>
      </c>
      <c r="B4" s="7" t="s">
        <v>7</v>
      </c>
      <c r="C4" s="7" t="s">
        <v>13</v>
      </c>
      <c r="D4" s="9" t="s">
        <v>16</v>
      </c>
      <c r="E4" s="5" t="s">
        <v>10</v>
      </c>
    </row>
    <row r="5" spans="1:7">
      <c r="A5" s="7" t="s">
        <v>17</v>
      </c>
      <c r="B5" s="7" t="s">
        <v>7</v>
      </c>
      <c r="C5" s="7" t="s">
        <v>13</v>
      </c>
      <c r="D5" s="7" t="s">
        <v>18</v>
      </c>
      <c r="E5" s="5" t="s">
        <v>10</v>
      </c>
    </row>
    <row r="6" spans="1:7">
      <c r="A6" s="7" t="s">
        <v>19</v>
      </c>
      <c r="B6" s="7" t="s">
        <v>7</v>
      </c>
      <c r="C6" s="7" t="s">
        <v>13</v>
      </c>
      <c r="D6" s="7" t="s">
        <v>20</v>
      </c>
      <c r="E6" s="5" t="s">
        <v>10</v>
      </c>
    </row>
    <row r="7" spans="1:7">
      <c r="A7" s="7" t="s">
        <v>21</v>
      </c>
      <c r="B7" s="7" t="s">
        <v>7</v>
      </c>
      <c r="C7" s="7" t="s">
        <v>13</v>
      </c>
      <c r="D7" s="7" t="s">
        <v>22</v>
      </c>
      <c r="E7" s="5" t="s">
        <v>10</v>
      </c>
    </row>
    <row r="8" spans="1:7">
      <c r="A8" s="7" t="s">
        <v>23</v>
      </c>
      <c r="B8" s="7" t="s">
        <v>24</v>
      </c>
      <c r="C8" s="7" t="s">
        <v>25</v>
      </c>
      <c r="D8" s="7" t="s">
        <v>23</v>
      </c>
      <c r="F8" s="3" t="s">
        <v>10</v>
      </c>
      <c r="G8" s="1"/>
    </row>
    <row r="9" spans="1:7">
      <c r="A9" s="7" t="s">
        <v>26</v>
      </c>
      <c r="B9" s="7" t="s">
        <v>24</v>
      </c>
      <c r="C9" s="7" t="s">
        <v>25</v>
      </c>
      <c r="D9" s="7" t="s">
        <v>26</v>
      </c>
      <c r="F9" s="3" t="s">
        <v>10</v>
      </c>
      <c r="G9" s="1"/>
    </row>
    <row r="10" spans="1:7">
      <c r="A10" s="7" t="s">
        <v>27</v>
      </c>
      <c r="B10" s="7" t="s">
        <v>24</v>
      </c>
      <c r="C10" s="7" t="s">
        <v>25</v>
      </c>
      <c r="D10" s="7" t="s">
        <v>27</v>
      </c>
      <c r="F10" s="3" t="s">
        <v>10</v>
      </c>
      <c r="G10" s="1"/>
    </row>
    <row r="11" spans="1:7">
      <c r="A11" s="7" t="s">
        <v>28</v>
      </c>
      <c r="B11" s="7" t="s">
        <v>29</v>
      </c>
      <c r="C11" s="7" t="s">
        <v>30</v>
      </c>
      <c r="D11" s="10" t="s">
        <v>31</v>
      </c>
      <c r="F11" s="3" t="s">
        <v>10</v>
      </c>
      <c r="G11" s="1"/>
    </row>
    <row r="12" spans="1:7">
      <c r="A12" s="7" t="s">
        <v>32</v>
      </c>
      <c r="B12" s="7" t="s">
        <v>29</v>
      </c>
      <c r="C12" s="7" t="s">
        <v>30</v>
      </c>
      <c r="D12" s="10" t="s">
        <v>33</v>
      </c>
      <c r="F12" s="3" t="s">
        <v>10</v>
      </c>
      <c r="G12" s="1"/>
    </row>
    <row r="13" spans="1:7">
      <c r="A13" s="7" t="s">
        <v>34</v>
      </c>
      <c r="B13" s="7" t="s">
        <v>29</v>
      </c>
      <c r="C13" s="7" t="s">
        <v>30</v>
      </c>
      <c r="D13" s="10" t="s">
        <v>35</v>
      </c>
      <c r="F13" s="3" t="s">
        <v>10</v>
      </c>
      <c r="G13" s="1"/>
    </row>
    <row r="14" spans="1:7">
      <c r="A14" s="7" t="s">
        <v>36</v>
      </c>
      <c r="B14" s="7" t="s">
        <v>29</v>
      </c>
      <c r="C14" s="7" t="s">
        <v>30</v>
      </c>
      <c r="D14" s="10" t="s">
        <v>37</v>
      </c>
      <c r="F14" s="3" t="s">
        <v>10</v>
      </c>
      <c r="G14" s="1"/>
    </row>
    <row r="15" spans="1:7">
      <c r="A15" s="7" t="s">
        <v>38</v>
      </c>
      <c r="B15" s="7" t="s">
        <v>29</v>
      </c>
      <c r="C15" s="7" t="s">
        <v>30</v>
      </c>
      <c r="D15" s="10" t="s">
        <v>39</v>
      </c>
      <c r="F15" s="3" t="s">
        <v>10</v>
      </c>
      <c r="G15" s="1"/>
    </row>
    <row r="16" spans="1:7">
      <c r="A16" s="7" t="s">
        <v>40</v>
      </c>
      <c r="B16" s="7" t="s">
        <v>29</v>
      </c>
      <c r="C16" s="7" t="s">
        <v>30</v>
      </c>
      <c r="D16" s="10" t="s">
        <v>41</v>
      </c>
      <c r="F16" s="3" t="s">
        <v>10</v>
      </c>
      <c r="G16" s="1"/>
    </row>
    <row r="17" spans="1:7">
      <c r="A17" s="7" t="s">
        <v>42</v>
      </c>
      <c r="B17" s="7" t="s">
        <v>29</v>
      </c>
      <c r="C17" s="7" t="s">
        <v>30</v>
      </c>
      <c r="D17" s="10" t="s">
        <v>43</v>
      </c>
      <c r="E17" s="4"/>
      <c r="F17" s="3" t="s">
        <v>10</v>
      </c>
      <c r="G17" s="1"/>
    </row>
    <row r="18" spans="1:7">
      <c r="A18" s="7" t="s">
        <v>44</v>
      </c>
      <c r="B18" s="7" t="s">
        <v>29</v>
      </c>
      <c r="C18" s="7" t="s">
        <v>30</v>
      </c>
      <c r="D18" s="10" t="s">
        <v>45</v>
      </c>
      <c r="F18" s="3" t="s">
        <v>10</v>
      </c>
      <c r="G18" s="1"/>
    </row>
    <row r="19" spans="1:7">
      <c r="A19" s="7" t="s">
        <v>46</v>
      </c>
      <c r="B19" s="7" t="s">
        <v>29</v>
      </c>
      <c r="C19" s="7" t="s">
        <v>30</v>
      </c>
      <c r="D19" s="10" t="s">
        <v>47</v>
      </c>
      <c r="F19" s="3" t="s">
        <v>10</v>
      </c>
      <c r="G19" s="1"/>
    </row>
    <row r="20" spans="1:7" ht="25.5">
      <c r="A20" s="7" t="s">
        <v>48</v>
      </c>
      <c r="B20" s="7" t="s">
        <v>29</v>
      </c>
      <c r="C20" s="7" t="s">
        <v>30</v>
      </c>
      <c r="D20" s="11" t="s">
        <v>49</v>
      </c>
      <c r="F20" s="3" t="s">
        <v>10</v>
      </c>
      <c r="G20" s="1"/>
    </row>
    <row r="21" spans="1:7">
      <c r="A21" s="7" t="s">
        <v>50</v>
      </c>
      <c r="B21" s="7" t="s">
        <v>29</v>
      </c>
      <c r="C21" s="7" t="s">
        <v>30</v>
      </c>
      <c r="D21" s="10" t="s">
        <v>51</v>
      </c>
      <c r="F21" s="3" t="s">
        <v>10</v>
      </c>
      <c r="G21" s="1"/>
    </row>
    <row r="22" spans="1:7">
      <c r="A22" s="7" t="s">
        <v>52</v>
      </c>
      <c r="B22" s="7" t="s">
        <v>29</v>
      </c>
      <c r="C22" s="7" t="s">
        <v>30</v>
      </c>
      <c r="D22" s="10" t="s">
        <v>53</v>
      </c>
      <c r="F22" s="3" t="s">
        <v>10</v>
      </c>
      <c r="G22" s="1"/>
    </row>
    <row r="23" spans="1:7">
      <c r="A23" s="7" t="s">
        <v>54</v>
      </c>
      <c r="B23" s="7" t="s">
        <v>29</v>
      </c>
      <c r="C23" s="7" t="s">
        <v>30</v>
      </c>
      <c r="D23" s="10" t="s">
        <v>55</v>
      </c>
      <c r="F23" s="3" t="s">
        <v>10</v>
      </c>
      <c r="G23" s="1"/>
    </row>
    <row r="24" spans="1:7">
      <c r="A24" s="7" t="s">
        <v>56</v>
      </c>
      <c r="B24" s="7" t="s">
        <v>29</v>
      </c>
      <c r="C24" s="7" t="s">
        <v>30</v>
      </c>
      <c r="D24" s="10" t="s">
        <v>57</v>
      </c>
      <c r="F24" s="3" t="s">
        <v>10</v>
      </c>
      <c r="G24" s="1"/>
    </row>
    <row r="25" spans="1:7">
      <c r="A25" s="7" t="s">
        <v>58</v>
      </c>
      <c r="B25" s="7" t="s">
        <v>29</v>
      </c>
      <c r="C25" s="7" t="s">
        <v>30</v>
      </c>
      <c r="D25" s="10" t="s">
        <v>59</v>
      </c>
      <c r="F25" s="3" t="s">
        <v>10</v>
      </c>
      <c r="G25" s="1"/>
    </row>
    <row r="26" spans="1:7">
      <c r="A26" s="7" t="s">
        <v>60</v>
      </c>
      <c r="B26" s="7" t="s">
        <v>29</v>
      </c>
      <c r="C26" s="7" t="s">
        <v>30</v>
      </c>
      <c r="D26" s="10" t="s">
        <v>61</v>
      </c>
      <c r="F26" s="3" t="s">
        <v>10</v>
      </c>
      <c r="G26" s="1"/>
    </row>
    <row r="27" spans="1:7">
      <c r="A27" s="7" t="s">
        <v>62</v>
      </c>
      <c r="B27" s="7" t="s">
        <v>29</v>
      </c>
      <c r="C27" s="7" t="s">
        <v>30</v>
      </c>
      <c r="D27" s="10" t="s">
        <v>63</v>
      </c>
      <c r="F27" s="3" t="s">
        <v>10</v>
      </c>
      <c r="G27" s="1"/>
    </row>
    <row r="28" spans="1:7">
      <c r="A28" s="7" t="s">
        <v>64</v>
      </c>
      <c r="B28" s="7" t="s">
        <v>29</v>
      </c>
      <c r="C28" s="7" t="s">
        <v>30</v>
      </c>
      <c r="D28" s="10" t="s">
        <v>65</v>
      </c>
      <c r="F28" s="3" t="s">
        <v>10</v>
      </c>
      <c r="G28" s="1"/>
    </row>
    <row r="29" spans="1:7">
      <c r="A29" s="7" t="s">
        <v>66</v>
      </c>
      <c r="B29" s="7" t="s">
        <v>7</v>
      </c>
      <c r="C29" s="7" t="s">
        <v>67</v>
      </c>
      <c r="D29" s="7" t="s">
        <v>68</v>
      </c>
      <c r="E29" s="4"/>
      <c r="F29" s="3" t="s">
        <v>10</v>
      </c>
      <c r="G29" s="1"/>
    </row>
    <row r="30" spans="1:7">
      <c r="A30" s="7" t="s">
        <v>69</v>
      </c>
      <c r="B30" s="7" t="s">
        <v>7</v>
      </c>
      <c r="C30" s="7" t="s">
        <v>67</v>
      </c>
      <c r="D30" s="7" t="s">
        <v>70</v>
      </c>
      <c r="E30" s="4"/>
      <c r="F30" s="3" t="s">
        <v>10</v>
      </c>
      <c r="G30" s="1"/>
    </row>
    <row r="31" spans="1:7">
      <c r="A31" s="7" t="s">
        <v>71</v>
      </c>
      <c r="B31" s="7" t="s">
        <v>24</v>
      </c>
      <c r="C31" s="7" t="s">
        <v>72</v>
      </c>
      <c r="D31" s="7" t="s">
        <v>71</v>
      </c>
      <c r="E31" s="4"/>
      <c r="F31" s="3" t="s">
        <v>10</v>
      </c>
      <c r="G31" s="1"/>
    </row>
    <row r="32" spans="1:7">
      <c r="A32" s="7" t="s">
        <v>73</v>
      </c>
      <c r="B32" s="7" t="s">
        <v>24</v>
      </c>
      <c r="C32" s="7" t="s">
        <v>72</v>
      </c>
      <c r="D32" s="7" t="s">
        <v>73</v>
      </c>
      <c r="E32" s="4"/>
      <c r="F32" s="3" t="s">
        <v>10</v>
      </c>
      <c r="G32" s="1"/>
    </row>
    <row r="33" spans="1:7">
      <c r="A33" s="7" t="s">
        <v>74</v>
      </c>
      <c r="B33" s="7" t="s">
        <v>24</v>
      </c>
      <c r="C33" s="7" t="s">
        <v>72</v>
      </c>
      <c r="D33" s="7" t="s">
        <v>74</v>
      </c>
      <c r="E33" s="4"/>
      <c r="F33" s="3" t="s">
        <v>10</v>
      </c>
      <c r="G33" s="1"/>
    </row>
    <row r="34" spans="1:7">
      <c r="A34" s="7" t="s">
        <v>75</v>
      </c>
      <c r="B34" s="7" t="s">
        <v>7</v>
      </c>
      <c r="C34" s="7" t="s">
        <v>76</v>
      </c>
      <c r="D34" s="10" t="s">
        <v>77</v>
      </c>
      <c r="E34" s="4"/>
      <c r="F34" s="3" t="s">
        <v>10</v>
      </c>
      <c r="G34" s="1"/>
    </row>
    <row r="35" spans="1:7">
      <c r="A35" s="7" t="s">
        <v>78</v>
      </c>
      <c r="B35" s="7" t="s">
        <v>7</v>
      </c>
      <c r="C35" s="7" t="s">
        <v>76</v>
      </c>
      <c r="D35" s="7" t="s">
        <v>79</v>
      </c>
      <c r="E35" s="4"/>
      <c r="F35" s="3" t="s">
        <v>10</v>
      </c>
      <c r="G35" s="1"/>
    </row>
    <row r="36" spans="1:7">
      <c r="A36" s="7" t="s">
        <v>80</v>
      </c>
      <c r="B36" s="7" t="s">
        <v>7</v>
      </c>
      <c r="C36" s="7" t="s">
        <v>76</v>
      </c>
      <c r="D36" s="7" t="s">
        <v>81</v>
      </c>
      <c r="E36" s="4"/>
      <c r="F36" s="3" t="s">
        <v>10</v>
      </c>
      <c r="G36" s="1"/>
    </row>
    <row r="37" spans="1:7">
      <c r="A37" s="7" t="s">
        <v>82</v>
      </c>
      <c r="B37" s="7" t="s">
        <v>7</v>
      </c>
      <c r="C37" s="7" t="s">
        <v>76</v>
      </c>
      <c r="D37" s="7" t="s">
        <v>83</v>
      </c>
      <c r="E37" s="4"/>
      <c r="F37" s="3" t="s">
        <v>10</v>
      </c>
      <c r="G37" s="1"/>
    </row>
    <row r="38" spans="1:7">
      <c r="A38" s="7" t="s">
        <v>84</v>
      </c>
      <c r="B38" s="7" t="s">
        <v>7</v>
      </c>
      <c r="C38" s="7" t="s">
        <v>76</v>
      </c>
      <c r="D38" s="7" t="s">
        <v>85</v>
      </c>
      <c r="E38" s="4"/>
      <c r="F38" s="3" t="s">
        <v>10</v>
      </c>
      <c r="G38" s="1"/>
    </row>
    <row r="39" spans="1:7">
      <c r="A39" s="7" t="s">
        <v>86</v>
      </c>
      <c r="B39" s="7" t="s">
        <v>7</v>
      </c>
      <c r="C39" s="7" t="s">
        <v>76</v>
      </c>
      <c r="D39" s="10" t="s">
        <v>87</v>
      </c>
      <c r="E39" s="4"/>
      <c r="F39" s="3" t="s">
        <v>10</v>
      </c>
      <c r="G39" s="1"/>
    </row>
    <row r="40" spans="1:7">
      <c r="A40" s="7" t="s">
        <v>88</v>
      </c>
      <c r="B40" s="7" t="s">
        <v>29</v>
      </c>
      <c r="C40" s="7" t="s">
        <v>76</v>
      </c>
      <c r="D40" s="12" t="s">
        <v>89</v>
      </c>
      <c r="E40" s="4"/>
      <c r="F40" s="3" t="s">
        <v>10</v>
      </c>
      <c r="G40" s="1"/>
    </row>
    <row r="41" spans="1:7">
      <c r="A41" s="7" t="s">
        <v>90</v>
      </c>
      <c r="B41" s="7" t="s">
        <v>29</v>
      </c>
      <c r="C41" s="7" t="s">
        <v>76</v>
      </c>
      <c r="D41" s="7" t="s">
        <v>91</v>
      </c>
      <c r="E41" s="4"/>
      <c r="F41" s="3" t="s">
        <v>10</v>
      </c>
      <c r="G41" s="1"/>
    </row>
    <row r="42" spans="1:7">
      <c r="A42" s="7" t="s">
        <v>92</v>
      </c>
      <c r="B42" s="7" t="s">
        <v>29</v>
      </c>
      <c r="C42" s="7" t="s">
        <v>76</v>
      </c>
      <c r="D42" s="10" t="s">
        <v>93</v>
      </c>
      <c r="E42" s="4"/>
      <c r="F42" s="3" t="s">
        <v>10</v>
      </c>
      <c r="G42" s="1"/>
    </row>
    <row r="43" spans="1:7" ht="25.5">
      <c r="A43" s="7" t="s">
        <v>94</v>
      </c>
      <c r="B43" s="7" t="s">
        <v>7</v>
      </c>
      <c r="C43" s="7" t="s">
        <v>95</v>
      </c>
      <c r="D43" s="14" t="s">
        <v>96</v>
      </c>
      <c r="E43" s="4"/>
      <c r="F43" s="3" t="s">
        <v>10</v>
      </c>
      <c r="G43" s="1"/>
    </row>
    <row r="44" spans="1:7">
      <c r="A44" s="7" t="s">
        <v>97</v>
      </c>
      <c r="B44" s="7" t="s">
        <v>7</v>
      </c>
      <c r="C44" s="7" t="s">
        <v>98</v>
      </c>
      <c r="D44" s="7" t="s">
        <v>99</v>
      </c>
      <c r="E44" s="4" t="s">
        <v>10</v>
      </c>
    </row>
    <row r="45" spans="1:7">
      <c r="A45" s="7" t="s">
        <v>100</v>
      </c>
      <c r="B45" s="7" t="s">
        <v>7</v>
      </c>
      <c r="C45" s="7" t="s">
        <v>101</v>
      </c>
      <c r="D45" s="7" t="s">
        <v>102</v>
      </c>
      <c r="E45" s="4" t="s">
        <v>10</v>
      </c>
    </row>
    <row r="46" spans="1:7">
      <c r="A46" s="7" t="s">
        <v>103</v>
      </c>
      <c r="B46" s="7" t="s">
        <v>7</v>
      </c>
      <c r="C46" s="7" t="s">
        <v>101</v>
      </c>
      <c r="D46" s="7" t="s">
        <v>104</v>
      </c>
      <c r="E46" s="4" t="s">
        <v>10</v>
      </c>
    </row>
    <row r="47" spans="1:7">
      <c r="A47" s="7" t="s">
        <v>105</v>
      </c>
      <c r="B47" s="7" t="s">
        <v>7</v>
      </c>
      <c r="C47" s="7" t="s">
        <v>101</v>
      </c>
      <c r="D47" s="7" t="s">
        <v>106</v>
      </c>
      <c r="E47" s="4" t="s">
        <v>10</v>
      </c>
    </row>
    <row r="48" spans="1:7">
      <c r="A48" s="7" t="s">
        <v>107</v>
      </c>
      <c r="B48" s="7" t="s">
        <v>7</v>
      </c>
      <c r="C48" s="7" t="s">
        <v>101</v>
      </c>
      <c r="D48" s="7" t="s">
        <v>108</v>
      </c>
      <c r="E48" s="4" t="s">
        <v>10</v>
      </c>
    </row>
    <row r="49" spans="1:7">
      <c r="A49" s="7" t="s">
        <v>109</v>
      </c>
      <c r="B49" s="7" t="s">
        <v>7</v>
      </c>
      <c r="C49" s="7" t="s">
        <v>101</v>
      </c>
      <c r="D49" s="7" t="s">
        <v>110</v>
      </c>
      <c r="E49" s="4" t="s">
        <v>10</v>
      </c>
    </row>
    <row r="50" spans="1:7">
      <c r="A50" s="7" t="s">
        <v>111</v>
      </c>
      <c r="B50" s="7" t="s">
        <v>7</v>
      </c>
      <c r="C50" s="7" t="s">
        <v>101</v>
      </c>
      <c r="D50" s="7" t="s">
        <v>112</v>
      </c>
      <c r="E50" s="4" t="s">
        <v>10</v>
      </c>
    </row>
    <row r="51" spans="1:7">
      <c r="A51" s="7" t="s">
        <v>113</v>
      </c>
      <c r="B51" s="7" t="s">
        <v>7</v>
      </c>
      <c r="C51" s="7" t="s">
        <v>101</v>
      </c>
      <c r="D51" s="7" t="s">
        <v>114</v>
      </c>
      <c r="E51" s="4" t="s">
        <v>10</v>
      </c>
    </row>
    <row r="52" spans="1:7">
      <c r="A52" s="7" t="s">
        <v>115</v>
      </c>
      <c r="B52" s="7" t="s">
        <v>7</v>
      </c>
      <c r="C52" s="7" t="s">
        <v>101</v>
      </c>
      <c r="D52" s="7" t="s">
        <v>116</v>
      </c>
      <c r="E52" s="4" t="s">
        <v>10</v>
      </c>
    </row>
    <row r="53" spans="1:7">
      <c r="A53" s="7" t="s">
        <v>117</v>
      </c>
      <c r="B53" s="7" t="s">
        <v>7</v>
      </c>
      <c r="C53" s="7" t="s">
        <v>101</v>
      </c>
      <c r="D53" s="7" t="s">
        <v>118</v>
      </c>
      <c r="E53" s="6" t="s">
        <v>10</v>
      </c>
    </row>
    <row r="54" spans="1:7">
      <c r="A54" s="7" t="s">
        <v>119</v>
      </c>
      <c r="B54" s="7" t="s">
        <v>7</v>
      </c>
      <c r="C54" s="7" t="s">
        <v>101</v>
      </c>
      <c r="D54" s="7" t="s">
        <v>120</v>
      </c>
      <c r="E54" s="4" t="s">
        <v>10</v>
      </c>
    </row>
    <row r="55" spans="1:7">
      <c r="A55" s="7" t="s">
        <v>121</v>
      </c>
      <c r="B55" s="7" t="s">
        <v>7</v>
      </c>
      <c r="C55" s="7" t="s">
        <v>101</v>
      </c>
      <c r="D55" s="7" t="s">
        <v>122</v>
      </c>
      <c r="E55" s="4" t="s">
        <v>10</v>
      </c>
    </row>
    <row r="56" spans="1:7">
      <c r="A56" s="7" t="s">
        <v>123</v>
      </c>
      <c r="B56" s="7" t="s">
        <v>7</v>
      </c>
      <c r="C56" s="7" t="s">
        <v>101</v>
      </c>
      <c r="D56" s="7" t="s">
        <v>124</v>
      </c>
      <c r="E56" s="4" t="s">
        <v>10</v>
      </c>
    </row>
    <row r="57" spans="1:7">
      <c r="A57" s="7" t="s">
        <v>125</v>
      </c>
      <c r="B57" s="7" t="s">
        <v>7</v>
      </c>
      <c r="C57" s="7" t="s">
        <v>101</v>
      </c>
      <c r="D57" s="7" t="s">
        <v>126</v>
      </c>
      <c r="E57" s="4" t="s">
        <v>10</v>
      </c>
    </row>
    <row r="58" spans="1:7">
      <c r="A58" s="7" t="s">
        <v>127</v>
      </c>
      <c r="B58" s="7" t="s">
        <v>7</v>
      </c>
      <c r="C58" s="7" t="s">
        <v>101</v>
      </c>
      <c r="D58" s="7" t="s">
        <v>128</v>
      </c>
      <c r="E58" s="4" t="s">
        <v>10</v>
      </c>
    </row>
    <row r="59" spans="1:7">
      <c r="A59" s="7" t="s">
        <v>129</v>
      </c>
      <c r="B59" s="7" t="s">
        <v>7</v>
      </c>
      <c r="C59" s="7" t="s">
        <v>101</v>
      </c>
      <c r="D59" s="7" t="s">
        <v>130</v>
      </c>
      <c r="E59" s="4" t="s">
        <v>10</v>
      </c>
    </row>
    <row r="60" spans="1:7">
      <c r="A60" s="7" t="s">
        <v>131</v>
      </c>
      <c r="B60" s="7" t="s">
        <v>7</v>
      </c>
      <c r="C60" s="7" t="s">
        <v>132</v>
      </c>
      <c r="D60" s="7" t="s">
        <v>133</v>
      </c>
      <c r="E60" s="4"/>
      <c r="F60" s="7" t="s">
        <v>10</v>
      </c>
    </row>
    <row r="61" spans="1:7">
      <c r="A61" s="7" t="s">
        <v>134</v>
      </c>
      <c r="B61" s="7" t="s">
        <v>24</v>
      </c>
      <c r="C61" s="7" t="s">
        <v>135</v>
      </c>
      <c r="D61" s="7" t="str">
        <f>A61</f>
        <v>AZ: Lake Havasu - District Office</v>
      </c>
      <c r="E61" s="4"/>
      <c r="F61" s="3" t="s">
        <v>10</v>
      </c>
      <c r="G61" s="1"/>
    </row>
    <row r="62" spans="1:7">
      <c r="A62" s="7" t="s">
        <v>136</v>
      </c>
      <c r="B62" s="7" t="s">
        <v>24</v>
      </c>
      <c r="C62" s="7" t="s">
        <v>135</v>
      </c>
      <c r="D62" s="7" t="str">
        <f>A62</f>
        <v>AZ: Lake Havasu - HS Library</v>
      </c>
      <c r="F62" s="3" t="s">
        <v>10</v>
      </c>
      <c r="G62" s="1"/>
    </row>
    <row r="63" spans="1:7">
      <c r="A63" s="7" t="s">
        <v>137</v>
      </c>
      <c r="B63" s="7" t="s">
        <v>24</v>
      </c>
      <c r="C63" s="7" t="s">
        <v>135</v>
      </c>
      <c r="D63" s="7" t="s">
        <v>137</v>
      </c>
      <c r="F63" s="3" t="s">
        <v>10</v>
      </c>
      <c r="G63" s="7"/>
    </row>
    <row r="64" spans="1:7">
      <c r="A64" s="7" t="s">
        <v>138</v>
      </c>
      <c r="B64" s="7" t="s">
        <v>24</v>
      </c>
      <c r="C64" s="7" t="s">
        <v>139</v>
      </c>
      <c r="D64" s="7" t="s">
        <v>138</v>
      </c>
      <c r="F64" s="3" t="s">
        <v>10</v>
      </c>
      <c r="G64" s="9"/>
    </row>
    <row r="65" spans="1:7">
      <c r="A65" s="7" t="s">
        <v>140</v>
      </c>
      <c r="B65" s="7" t="s">
        <v>24</v>
      </c>
      <c r="C65" s="7" t="s">
        <v>139</v>
      </c>
      <c r="D65" s="7" t="s">
        <v>140</v>
      </c>
      <c r="F65" s="3" t="s">
        <v>10</v>
      </c>
      <c r="G65" s="9"/>
    </row>
    <row r="66" spans="1:7">
      <c r="A66" s="7" t="s">
        <v>141</v>
      </c>
      <c r="B66" s="7" t="s">
        <v>24</v>
      </c>
      <c r="C66" s="7" t="s">
        <v>139</v>
      </c>
      <c r="D66" s="7" t="s">
        <v>141</v>
      </c>
      <c r="F66" s="3" t="s">
        <v>10</v>
      </c>
      <c r="G66" s="9"/>
    </row>
    <row r="67" spans="1:7">
      <c r="A67" s="7" t="s">
        <v>142</v>
      </c>
      <c r="B67" s="7" t="s">
        <v>24</v>
      </c>
      <c r="C67" s="7" t="s">
        <v>139</v>
      </c>
      <c r="D67" s="7" t="s">
        <v>142</v>
      </c>
      <c r="F67" s="3" t="s">
        <v>10</v>
      </c>
      <c r="G67" s="9"/>
    </row>
    <row r="68" spans="1:7">
      <c r="A68" s="7" t="s">
        <v>143</v>
      </c>
      <c r="B68" s="7" t="s">
        <v>24</v>
      </c>
      <c r="C68" s="7" t="s">
        <v>144</v>
      </c>
      <c r="D68" s="7" t="str">
        <f>A68</f>
        <v>AZ: Marana - Degrazia ES</v>
      </c>
      <c r="F68" s="3" t="s">
        <v>10</v>
      </c>
      <c r="G68" s="9"/>
    </row>
    <row r="69" spans="1:7">
      <c r="A69" s="7" t="s">
        <v>145</v>
      </c>
      <c r="B69" s="7" t="s">
        <v>24</v>
      </c>
      <c r="C69" s="7" t="s">
        <v>144</v>
      </c>
      <c r="D69" s="7" t="str">
        <f t="shared" ref="D69:D76" si="0">A69</f>
        <v>AZ: Marana - Gladden Farms Ph 2</v>
      </c>
      <c r="F69" s="3" t="s">
        <v>10</v>
      </c>
      <c r="G69" s="9"/>
    </row>
    <row r="70" spans="1:7">
      <c r="A70" s="7" t="s">
        <v>146</v>
      </c>
      <c r="B70" s="7" t="s">
        <v>24</v>
      </c>
      <c r="C70" s="7" t="s">
        <v>144</v>
      </c>
      <c r="D70" s="7" t="str">
        <f t="shared" si="0"/>
        <v>AZ: Marana - Marana High School</v>
      </c>
      <c r="F70" s="3" t="s">
        <v>10</v>
      </c>
      <c r="G70" s="9"/>
    </row>
    <row r="71" spans="1:7">
      <c r="A71" s="7" t="s">
        <v>147</v>
      </c>
      <c r="B71" s="7" t="s">
        <v>24</v>
      </c>
      <c r="C71" s="7" t="s">
        <v>144</v>
      </c>
      <c r="D71" s="7" t="str">
        <f t="shared" si="0"/>
        <v>AZ: Marana - Mountain View HS Exp.</v>
      </c>
      <c r="F71" s="3" t="s">
        <v>10</v>
      </c>
      <c r="G71" s="9"/>
    </row>
    <row r="72" spans="1:7">
      <c r="A72" s="7" t="s">
        <v>148</v>
      </c>
      <c r="B72" s="7" t="s">
        <v>24</v>
      </c>
      <c r="C72" s="7" t="s">
        <v>144</v>
      </c>
      <c r="D72" s="7" t="str">
        <f t="shared" si="0"/>
        <v>AZ: Marana - Rattlesnake Ridge ES</v>
      </c>
      <c r="F72" s="3" t="s">
        <v>10</v>
      </c>
      <c r="G72" s="9"/>
    </row>
    <row r="73" spans="1:7">
      <c r="A73" s="7" t="s">
        <v>149</v>
      </c>
      <c r="B73" s="7" t="s">
        <v>24</v>
      </c>
      <c r="C73" s="7" t="s">
        <v>144</v>
      </c>
      <c r="D73" s="7" t="str">
        <f t="shared" si="0"/>
        <v>AZ: Marana - Roadrunner ES</v>
      </c>
      <c r="F73" s="3" t="s">
        <v>10</v>
      </c>
      <c r="G73" s="9"/>
    </row>
    <row r="74" spans="1:7">
      <c r="A74" s="7" t="s">
        <v>150</v>
      </c>
      <c r="B74" s="7" t="s">
        <v>24</v>
      </c>
      <c r="C74" s="7" t="s">
        <v>144</v>
      </c>
      <c r="D74" s="7" t="str">
        <f t="shared" si="0"/>
        <v>AZ: Marana - Thornydale Elementary</v>
      </c>
      <c r="F74" s="3" t="s">
        <v>10</v>
      </c>
      <c r="G74" s="9"/>
    </row>
    <row r="75" spans="1:7">
      <c r="A75" s="7" t="s">
        <v>151</v>
      </c>
      <c r="B75" s="7" t="s">
        <v>24</v>
      </c>
      <c r="C75" s="7" t="s">
        <v>144</v>
      </c>
      <c r="D75" s="7" t="str">
        <f t="shared" si="0"/>
        <v>AZ: Marana - Tortolita MS</v>
      </c>
      <c r="F75" s="3" t="s">
        <v>10</v>
      </c>
      <c r="G75" s="9"/>
    </row>
    <row r="76" spans="1:7">
      <c r="A76" s="7" t="s">
        <v>152</v>
      </c>
      <c r="B76" s="7" t="s">
        <v>24</v>
      </c>
      <c r="C76" s="7" t="s">
        <v>144</v>
      </c>
      <c r="D76" s="7" t="str">
        <f t="shared" si="0"/>
        <v>AZ: Marana - Picture Rocks Intermediat</v>
      </c>
      <c r="F76" s="3" t="s">
        <v>10</v>
      </c>
      <c r="G76" s="9"/>
    </row>
    <row r="77" spans="1:7">
      <c r="A77" s="7" t="s">
        <v>153</v>
      </c>
      <c r="B77" s="7" t="s">
        <v>7</v>
      </c>
      <c r="C77" s="7" t="s">
        <v>154</v>
      </c>
      <c r="D77" s="7" t="s">
        <v>155</v>
      </c>
      <c r="F77" s="3" t="s">
        <v>10</v>
      </c>
      <c r="G77" s="9"/>
    </row>
    <row r="78" spans="1:7">
      <c r="A78" s="7" t="s">
        <v>156</v>
      </c>
      <c r="B78" s="7" t="s">
        <v>7</v>
      </c>
      <c r="C78" s="7" t="s">
        <v>154</v>
      </c>
      <c r="D78" s="7" t="s">
        <v>157</v>
      </c>
      <c r="F78" s="3" t="s">
        <v>10</v>
      </c>
      <c r="G78" s="9"/>
    </row>
    <row r="79" spans="1:7">
      <c r="A79" s="7" t="s">
        <v>158</v>
      </c>
      <c r="B79" s="7" t="s">
        <v>7</v>
      </c>
      <c r="C79" s="7" t="s">
        <v>154</v>
      </c>
      <c r="D79" s="7" t="s">
        <v>159</v>
      </c>
      <c r="F79" s="3" t="s">
        <v>10</v>
      </c>
      <c r="G79" s="9"/>
    </row>
    <row r="80" spans="1:7">
      <c r="A80" s="7" t="s">
        <v>160</v>
      </c>
      <c r="B80" s="7" t="s">
        <v>7</v>
      </c>
      <c r="C80" s="7" t="s">
        <v>161</v>
      </c>
      <c r="D80" s="7" t="s">
        <v>162</v>
      </c>
      <c r="F80" s="3" t="s">
        <v>10</v>
      </c>
      <c r="G80" s="9"/>
    </row>
    <row r="81" spans="1:7">
      <c r="A81" s="7" t="s">
        <v>163</v>
      </c>
      <c r="B81" s="7" t="s">
        <v>7</v>
      </c>
      <c r="C81" s="7" t="s">
        <v>161</v>
      </c>
      <c r="D81" s="7" t="s">
        <v>164</v>
      </c>
      <c r="F81" s="3" t="s">
        <v>10</v>
      </c>
      <c r="G81" s="9"/>
    </row>
    <row r="82" spans="1:7">
      <c r="A82" s="7" t="s">
        <v>165</v>
      </c>
      <c r="B82" s="7" t="s">
        <v>7</v>
      </c>
      <c r="C82" s="7" t="s">
        <v>161</v>
      </c>
      <c r="D82" s="7" t="s">
        <v>166</v>
      </c>
      <c r="F82" s="3" t="s">
        <v>10</v>
      </c>
      <c r="G82" s="9"/>
    </row>
    <row r="83" spans="1:7">
      <c r="A83" s="7" t="s">
        <v>167</v>
      </c>
      <c r="B83" s="7" t="s">
        <v>7</v>
      </c>
      <c r="C83" s="7" t="s">
        <v>161</v>
      </c>
      <c r="D83" s="7" t="s">
        <v>168</v>
      </c>
      <c r="F83" s="3" t="s">
        <v>10</v>
      </c>
      <c r="G83" s="9"/>
    </row>
    <row r="84" spans="1:7">
      <c r="A84" s="7" t="s">
        <v>169</v>
      </c>
      <c r="B84" s="7" t="s">
        <v>7</v>
      </c>
      <c r="C84" s="7" t="s">
        <v>161</v>
      </c>
      <c r="D84" s="7" t="s">
        <v>170</v>
      </c>
      <c r="F84" s="3" t="s">
        <v>10</v>
      </c>
      <c r="G84" s="9"/>
    </row>
    <row r="85" spans="1:7">
      <c r="A85" s="7" t="s">
        <v>171</v>
      </c>
      <c r="B85" s="7" t="s">
        <v>7</v>
      </c>
      <c r="C85" s="7" t="s">
        <v>161</v>
      </c>
      <c r="D85" s="7" t="s">
        <v>172</v>
      </c>
      <c r="F85" s="3" t="s">
        <v>10</v>
      </c>
      <c r="G85" s="9"/>
    </row>
    <row r="86" spans="1:7">
      <c r="A86" s="7" t="s">
        <v>173</v>
      </c>
      <c r="B86" s="7" t="s">
        <v>7</v>
      </c>
      <c r="C86" s="7" t="s">
        <v>161</v>
      </c>
      <c r="D86" s="7" t="s">
        <v>174</v>
      </c>
      <c r="F86" s="3" t="s">
        <v>10</v>
      </c>
      <c r="G86" s="9"/>
    </row>
    <row r="87" spans="1:7">
      <c r="A87" s="7" t="s">
        <v>175</v>
      </c>
      <c r="B87" s="7" t="s">
        <v>7</v>
      </c>
      <c r="C87" s="7" t="s">
        <v>161</v>
      </c>
      <c r="D87" s="7" t="s">
        <v>176</v>
      </c>
      <c r="F87" s="3" t="s">
        <v>10</v>
      </c>
      <c r="G87" s="9"/>
    </row>
    <row r="88" spans="1:7">
      <c r="A88" s="7" t="s">
        <v>177</v>
      </c>
      <c r="B88" s="7" t="s">
        <v>7</v>
      </c>
      <c r="C88" s="7" t="s">
        <v>161</v>
      </c>
      <c r="D88" s="7" t="s">
        <v>178</v>
      </c>
      <c r="F88" s="3" t="s">
        <v>10</v>
      </c>
      <c r="G88" s="9"/>
    </row>
    <row r="89" spans="1:7">
      <c r="A89" s="7" t="s">
        <v>179</v>
      </c>
      <c r="B89" s="7" t="s">
        <v>7</v>
      </c>
      <c r="C89" s="7" t="s">
        <v>161</v>
      </c>
      <c r="D89" s="7" t="s">
        <v>180</v>
      </c>
      <c r="F89" s="3" t="s">
        <v>10</v>
      </c>
      <c r="G89" s="9"/>
    </row>
    <row r="90" spans="1:7">
      <c r="A90" s="7" t="s">
        <v>181</v>
      </c>
      <c r="B90" s="7" t="s">
        <v>7</v>
      </c>
      <c r="C90" s="7" t="s">
        <v>161</v>
      </c>
      <c r="D90" s="7" t="s">
        <v>182</v>
      </c>
      <c r="F90" s="3" t="s">
        <v>10</v>
      </c>
      <c r="G90" s="9"/>
    </row>
    <row r="91" spans="1:7">
      <c r="A91" s="7" t="s">
        <v>183</v>
      </c>
      <c r="B91" s="7" t="s">
        <v>24</v>
      </c>
      <c r="C91" s="7" t="s">
        <v>184</v>
      </c>
      <c r="D91" s="7" t="str">
        <f>A91</f>
        <v>NV: Starbucks - Minden</v>
      </c>
      <c r="F91" s="3" t="s">
        <v>10</v>
      </c>
      <c r="G91" s="9"/>
    </row>
    <row r="92" spans="1:7">
      <c r="A92" s="7" t="s">
        <v>185</v>
      </c>
      <c r="B92" s="7" t="s">
        <v>24</v>
      </c>
      <c r="C92" s="7" t="s">
        <v>186</v>
      </c>
      <c r="D92" s="7" t="s">
        <v>187</v>
      </c>
      <c r="F92" s="3" t="s">
        <v>10</v>
      </c>
      <c r="G92" s="9"/>
    </row>
    <row r="93" spans="1:7">
      <c r="A93" s="7" t="s">
        <v>188</v>
      </c>
      <c r="B93" s="7" t="s">
        <v>7</v>
      </c>
      <c r="C93" s="7" t="s">
        <v>189</v>
      </c>
      <c r="D93" s="7" t="s">
        <v>190</v>
      </c>
      <c r="E93" s="5" t="s">
        <v>10</v>
      </c>
    </row>
    <row r="94" spans="1:7">
      <c r="A94" s="7" t="s">
        <v>191</v>
      </c>
      <c r="B94" s="7" t="s">
        <v>7</v>
      </c>
      <c r="C94" s="7" t="s">
        <v>189</v>
      </c>
      <c r="D94" s="7" t="s">
        <v>192</v>
      </c>
      <c r="E94" s="5" t="s">
        <v>10</v>
      </c>
    </row>
    <row r="95" spans="1:7">
      <c r="A95" s="7" t="s">
        <v>193</v>
      </c>
      <c r="B95" s="7" t="s">
        <v>7</v>
      </c>
      <c r="C95" s="7" t="s">
        <v>189</v>
      </c>
      <c r="D95" s="7" t="s">
        <v>194</v>
      </c>
      <c r="E95" s="5" t="s">
        <v>10</v>
      </c>
    </row>
    <row r="96" spans="1:7">
      <c r="A96" s="7" t="s">
        <v>195</v>
      </c>
      <c r="B96" s="7" t="s">
        <v>7</v>
      </c>
      <c r="C96" s="7" t="s">
        <v>189</v>
      </c>
      <c r="D96" s="13" t="s">
        <v>196</v>
      </c>
      <c r="E96" s="5" t="s">
        <v>10</v>
      </c>
    </row>
    <row r="97" spans="1:6">
      <c r="A97" s="7" t="s">
        <v>197</v>
      </c>
      <c r="B97" s="7" t="s">
        <v>7</v>
      </c>
      <c r="C97" s="7" t="s">
        <v>189</v>
      </c>
      <c r="D97" s="7" t="s">
        <v>198</v>
      </c>
      <c r="E97" s="5" t="s">
        <v>10</v>
      </c>
    </row>
    <row r="98" spans="1:6">
      <c r="A98" s="7" t="s">
        <v>199</v>
      </c>
      <c r="B98" s="7" t="s">
        <v>7</v>
      </c>
      <c r="C98" s="7" t="s">
        <v>189</v>
      </c>
      <c r="D98" s="7" t="s">
        <v>200</v>
      </c>
      <c r="E98" s="5" t="s">
        <v>10</v>
      </c>
    </row>
    <row r="99" spans="1:6">
      <c r="A99" s="7" t="s">
        <v>201</v>
      </c>
      <c r="B99" s="7" t="s">
        <v>7</v>
      </c>
      <c r="C99" s="7" t="s">
        <v>189</v>
      </c>
      <c r="D99" s="7" t="s">
        <v>202</v>
      </c>
      <c r="E99" s="5" t="s">
        <v>10</v>
      </c>
    </row>
    <row r="100" spans="1:6">
      <c r="A100" s="7" t="s">
        <v>203</v>
      </c>
      <c r="B100" s="7" t="s">
        <v>7</v>
      </c>
      <c r="C100" s="7" t="s">
        <v>189</v>
      </c>
      <c r="D100" s="7" t="s">
        <v>204</v>
      </c>
      <c r="E100" s="5" t="s">
        <v>10</v>
      </c>
    </row>
    <row r="101" spans="1:6">
      <c r="A101" s="7" t="s">
        <v>205</v>
      </c>
      <c r="B101" s="7" t="s">
        <v>7</v>
      </c>
      <c r="C101" s="7" t="s">
        <v>189</v>
      </c>
      <c r="D101" s="7" t="s">
        <v>206</v>
      </c>
      <c r="E101" s="5" t="s">
        <v>10</v>
      </c>
    </row>
    <row r="102" spans="1:6">
      <c r="A102" s="7" t="s">
        <v>207</v>
      </c>
      <c r="B102" s="7" t="s">
        <v>7</v>
      </c>
      <c r="C102" s="7" t="s">
        <v>189</v>
      </c>
      <c r="D102" s="7" t="s">
        <v>208</v>
      </c>
      <c r="E102" s="5" t="s">
        <v>10</v>
      </c>
    </row>
    <row r="103" spans="1:6">
      <c r="A103" s="7" t="s">
        <v>209</v>
      </c>
      <c r="B103" s="7" t="s">
        <v>7</v>
      </c>
      <c r="C103" s="7" t="s">
        <v>189</v>
      </c>
      <c r="D103" s="7" t="s">
        <v>210</v>
      </c>
      <c r="E103" s="5" t="s">
        <v>10</v>
      </c>
    </row>
    <row r="104" spans="1:6">
      <c r="A104" s="7" t="s">
        <v>211</v>
      </c>
      <c r="B104" s="7" t="s">
        <v>7</v>
      </c>
      <c r="C104" s="7" t="s">
        <v>189</v>
      </c>
      <c r="D104" s="7" t="s">
        <v>212</v>
      </c>
      <c r="E104" s="5" t="s">
        <v>10</v>
      </c>
    </row>
    <row r="105" spans="1:6">
      <c r="A105" s="7" t="s">
        <v>213</v>
      </c>
      <c r="B105" s="7" t="s">
        <v>7</v>
      </c>
      <c r="C105" s="7" t="s">
        <v>189</v>
      </c>
      <c r="D105" s="7" t="s">
        <v>214</v>
      </c>
      <c r="E105" s="5" t="s">
        <v>10</v>
      </c>
    </row>
    <row r="106" spans="1:6">
      <c r="A106" s="2"/>
      <c r="B106" s="2"/>
      <c r="C106" s="2"/>
      <c r="D106" s="2"/>
      <c r="E106" s="8"/>
      <c r="F106" s="8"/>
    </row>
  </sheetData>
  <sortState xmlns:xlrd2="http://schemas.microsoft.com/office/spreadsheetml/2017/richdata2" ref="A2:F106">
    <sortCondition ref="C2:C106"/>
  </sortState>
  <phoneticPr fontId="4" type="noConversion"/>
  <pageMargins left="0.4" right="0.7" top="0.25" bottom="0.25" header="0.3" footer="0.3"/>
  <pageSetup fitToHeight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DBDE-9486-4C3D-BEC2-F5C97C729A7F}">
  <dimension ref="A1:A14"/>
  <sheetViews>
    <sheetView workbookViewId="0">
      <selection activeCell="E27" sqref="E27:E28"/>
    </sheetView>
  </sheetViews>
  <sheetFormatPr defaultRowHeight="12.75"/>
  <sheetData>
    <row r="1" spans="1:1">
      <c r="A1" s="1" t="s">
        <v>215</v>
      </c>
    </row>
    <row r="2" spans="1:1">
      <c r="A2" s="1" t="s">
        <v>216</v>
      </c>
    </row>
    <row r="3" spans="1:1">
      <c r="A3" s="1" t="s">
        <v>217</v>
      </c>
    </row>
    <row r="4" spans="1:1">
      <c r="A4" s="1" t="s">
        <v>218</v>
      </c>
    </row>
    <row r="5" spans="1:1">
      <c r="A5" s="15" t="s">
        <v>219</v>
      </c>
    </row>
    <row r="6" spans="1:1">
      <c r="A6" s="15" t="s">
        <v>220</v>
      </c>
    </row>
    <row r="7" spans="1:1">
      <c r="A7" s="15" t="s">
        <v>221</v>
      </c>
    </row>
    <row r="8" spans="1:1">
      <c r="A8" s="16" t="s">
        <v>222</v>
      </c>
    </row>
    <row r="9" spans="1:1">
      <c r="A9" s="16" t="s">
        <v>223</v>
      </c>
    </row>
    <row r="10" spans="1:1">
      <c r="A10" s="16" t="s">
        <v>224</v>
      </c>
    </row>
    <row r="11" spans="1:1">
      <c r="A11" s="16" t="s">
        <v>225</v>
      </c>
    </row>
    <row r="12" spans="1:1">
      <c r="A12" s="16" t="s">
        <v>226</v>
      </c>
    </row>
    <row r="13" spans="1:1">
      <c r="A13" s="1" t="s">
        <v>227</v>
      </c>
    </row>
    <row r="14" spans="1:1">
      <c r="A14" s="16" t="s">
        <v>228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5A8E9D9D-8568-4D37-8C3E-0DE5F893A69C}"/>
</file>

<file path=customXml/itemProps2.xml><?xml version="1.0" encoding="utf-8"?>
<ds:datastoreItem xmlns:ds="http://schemas.openxmlformats.org/officeDocument/2006/customXml" ds:itemID="{90B7E326-F58C-4F0C-9F2B-C3A01488F808}"/>
</file>

<file path=customXml/itemProps3.xml><?xml version="1.0" encoding="utf-8"?>
<ds:datastoreItem xmlns:ds="http://schemas.openxmlformats.org/officeDocument/2006/customXml" ds:itemID="{1F073089-7129-4130-9494-E47C353B4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Dufault, Michael</dc:creator>
  <cp:keywords/>
  <dc:description/>
  <cp:lastModifiedBy>Dufault, Michael</cp:lastModifiedBy>
  <cp:revision/>
  <dcterms:created xsi:type="dcterms:W3CDTF">2024-01-30T20:14:05Z</dcterms:created>
  <dcterms:modified xsi:type="dcterms:W3CDTF">2024-02-05T19:52:55Z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