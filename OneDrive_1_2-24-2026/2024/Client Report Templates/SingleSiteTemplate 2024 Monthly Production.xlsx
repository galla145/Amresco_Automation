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Client Report Templates/"/>
    </mc:Choice>
  </mc:AlternateContent>
  <xr:revisionPtr revIDLastSave="62" documentId="8_{46A6C9DE-9D61-4A37-BE7E-26885F32BF38}" xr6:coauthVersionLast="47" xr6:coauthVersionMax="47" xr10:uidLastSave="{CA3418B1-F32D-49BA-8B30-1A789B822623}"/>
  <bookViews>
    <workbookView xWindow="-110" yWindow="-110" windowWidth="24220" windowHeight="15140" activeTab="1" xr2:uid="{00000000-000D-0000-FFFF-FFFF00000000}"/>
  </bookViews>
  <sheets>
    <sheet name="Quarterly" sheetId="2" r:id="rId1"/>
    <sheet name="Monthly" sheetId="1" r:id="rId2"/>
  </sheets>
  <definedNames>
    <definedName name="name">Quarterly!$A$1:$H$1</definedName>
    <definedName name="Site">Quarterly!$A$1:$H$1</definedName>
  </definedNames>
  <calcPr calcId="191028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9" i="2"/>
  <c r="C9" i="2"/>
  <c r="D9" i="2"/>
  <c r="E9" i="2"/>
  <c r="F9" i="2"/>
  <c r="G9" i="2"/>
  <c r="H9" i="2"/>
  <c r="B5" i="2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H17" i="1"/>
  <c r="E17" i="1"/>
  <c r="F8" i="2"/>
  <c r="F7" i="2"/>
  <c r="F6" i="2"/>
  <c r="F5" i="2"/>
  <c r="G5" i="2"/>
  <c r="H5" i="2"/>
  <c r="C5" i="2"/>
  <c r="C6" i="2"/>
  <c r="C7" i="2"/>
  <c r="C8" i="2"/>
  <c r="B8" i="2"/>
  <c r="D8" i="2"/>
  <c r="E8" i="2"/>
  <c r="B7" i="2"/>
  <c r="D7" i="2"/>
  <c r="E7" i="2"/>
  <c r="B6" i="2"/>
  <c r="D6" i="2"/>
  <c r="E6" i="2"/>
  <c r="F17" i="1"/>
  <c r="C17" i="1"/>
  <c r="B17" i="1"/>
  <c r="G6" i="2"/>
  <c r="H6" i="2"/>
  <c r="G7" i="2"/>
  <c r="H7" i="2"/>
  <c r="G8" i="2"/>
  <c r="H8" i="2"/>
  <c r="D5" i="2"/>
  <c r="E5" i="2"/>
  <c r="G17" i="1"/>
  <c r="D17" i="1"/>
</calcChain>
</file>

<file path=xl/sharedStrings.xml><?xml version="1.0" encoding="utf-8"?>
<sst xmlns="http://schemas.openxmlformats.org/spreadsheetml/2006/main" count="48" uniqueCount="33">
  <si>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</si>
  <si>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</si>
  <si>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</si>
  <si>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</si>
  <si>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</si>
  <si>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</si>
  <si>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</si>
  <si>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</si>
  <si>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</si>
  <si>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</si>
  <si>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</si>
  <si>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</si>
  <si>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</si>
  <si>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</si>
  <si>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</si>
  <si>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</si>
  <si>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</si>
  <si>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</si>
  <si>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</si>
  <si>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</si>
  <si>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</si>
  <si>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</si>
  <si>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</si>
  <si>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</si>
  <si>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</si>
  <si>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</si>
  <si>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</si>
  <si>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</si>
  <si>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</si>
  <si>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</si>
  <si>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</si>
  <si>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</si>
  <si>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CA: Mckinleyville - WWTP Microgrid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</si>
</sst>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b/>
      <sz val="10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3" borderId="16" xfId="2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5" borderId="1" xfId="1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6" fillId="4" borderId="13" xfId="0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9" fontId="6" fillId="3" borderId="1" xfId="2" applyFont="1" applyFill="1" applyBorder="1" applyAlignment="1">
      <alignment horizontal="center" vertical="center"/>
    </xf>
    <xf numFmtId="3" fontId="6" fillId="6" borderId="13" xfId="0" applyNumberFormat="1" applyFont="1" applyFill="1" applyBorder="1" applyAlignment="1">
      <alignment vertical="center"/>
    </xf>
    <xf numFmtId="9" fontId="6" fillId="5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6" fillId="3" borderId="3" xfId="2" applyFont="1" applyFill="1" applyBorder="1" applyAlignment="1">
      <alignment horizontal="center" vertical="center"/>
    </xf>
    <xf numFmtId="3" fontId="6" fillId="5" borderId="4" xfId="1" applyNumberFormat="1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3" fontId="6" fillId="3" borderId="20" xfId="0" applyNumberFormat="1" applyFont="1" applyFill="1" applyBorder="1" applyAlignment="1">
      <alignment horizontal="right" vertical="center"/>
    </xf>
    <xf numFmtId="9" fontId="6" fillId="3" borderId="19" xfId="2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vertical="center"/>
    </xf>
    <xf numFmtId="3" fontId="6" fillId="5" borderId="20" xfId="1" applyNumberFormat="1" applyFont="1" applyFill="1" applyBorder="1" applyAlignment="1">
      <alignment vertical="center"/>
    </xf>
    <xf numFmtId="9" fontId="6" fillId="5" borderId="20" xfId="2" applyFont="1" applyFill="1" applyBorder="1" applyAlignment="1">
      <alignment horizontal="center" vertical="center"/>
    </xf>
    <xf numFmtId="49" fontId="6" fillId="7" borderId="1" xfId="2" applyNumberFormat="1" applyFont="1" applyFill="1" applyBorder="1" applyAlignment="1">
      <alignment horizontal="left" vertical="top" wrapText="1"/>
    </xf>
    <xf numFmtId="49" fontId="6" fillId="7" borderId="20" xfId="2" applyNumberFormat="1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center"/>
    </xf>
    <xf numFmtId="3" fontId="10" fillId="2" borderId="3" xfId="0" applyNumberFormat="1" applyFont="1" applyFill="1" applyBorder="1" applyAlignment="1">
      <alignment horizontal="center"/>
    </xf>
    <xf numFmtId="9" fontId="10" fillId="2" borderId="3" xfId="2" applyFont="1" applyFill="1" applyBorder="1" applyAlignment="1">
      <alignment horizontal="center"/>
    </xf>
    <xf numFmtId="9" fontId="10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Summary[[#This Row],[Actual]]-Summary[[#This Row],[Expected]]</calculatedColumnFormula>
    </tableColumn>
    <tableColumn id="5" xr3:uid="{BDAB55DD-7845-48B4-8EF2-F0BA9E49A5BA}" name="% Expected" dataDxfId="21" dataCellStyle="Percent">
      <calculatedColumnFormula>IFERROR(Summary[[#This Row],[Delta Expected]]/Summary[[#This Row],[Expected]],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Summary[[#This Row],[Actual]]-Summary[[#This Row],[Forecasted]]</calculatedColumnFormula>
    </tableColumn>
    <tableColumn id="8" xr3:uid="{52485586-5CF7-4A7D-A2F9-AA276D4B30AA}" name="% Forecasted" dataDxfId="18" dataCellStyle="Percent">
      <calculatedColumnFormula>IFERROR(Summary[[#This Row],[Delta Forecasted]]/Summary[[#This Row],[Forecasted]],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Data[[#This Row],[Actual]]-Data[[#This Row],[Expected]]</calculatedColumnFormula>
    </tableColumn>
    <tableColumn id="5" xr3:uid="{D0AE28DC-B020-4DB0-9210-5071CAC59D13}" name="% Expected" dataDxfId="9" dataCellStyle="Percent">
      <calculatedColumnFormula>IFERROR(Data[[#This Row],[Delta Expected]]/Data[[#This Row],[Expected]],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Data[[#This Row],[Actual]]-Data[[#This Row],[Forecasted]]</calculatedColumnFormula>
    </tableColumn>
    <tableColumn id="8" xr3:uid="{8DF46A5A-8533-4717-B9A9-F059CB8E4A37}" name="% Forecasted" dataDxfId="6" dataCellStyle="Percent">
      <calculatedColumnFormula>IFERROR(Data[[#This Row],[Delta Forecasted]]/Data[[#This Row],[Forecasted]],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dimension ref="A1:H9"/>
  <sheetViews>
    <sheetView workbookViewId="0">
      <selection activeCell="B25" sqref="B25"/>
    </sheetView>
  </sheetViews>
  <sheetFormatPr defaultRowHeight="14.5" x14ac:dyDescent="0.35"/>
  <cols>
    <col min="1" max="1" width="22" customWidth="1"/>
    <col min="2" max="2" width="11.453125" customWidth="1"/>
    <col min="3" max="3" width="12.54296875" customWidth="1"/>
    <col min="4" max="4" width="15.26953125" customWidth="1"/>
    <col min="5" max="5" width="13.7265625" customWidth="1"/>
    <col min="6" max="6" width="12.54296875" customWidth="1"/>
    <col min="7" max="7" width="17.26953125" customWidth="1"/>
    <col min="8" max="8" width="16" customWidth="1"/>
  </cols>
  <sheetData>
    <row r="1" spans="1:8" ht="26" x14ac:dyDescent="0.35">
      <c r="A1" s="55" t="str">
        <f>Monthly!A1</f>
        <v>CA: Mckinleyville - WWTP Microgrid Solar</v>
      </c>
      <c r="B1" s="55"/>
      <c r="C1" s="55"/>
      <c r="D1" s="55"/>
      <c r="E1" s="55"/>
      <c r="F1" s="55"/>
      <c r="G1" s="55"/>
      <c r="H1" s="55"/>
    </row>
    <row r="3" spans="1:8" ht="15.5" x14ac:dyDescent="0.35">
      <c r="A3" s="56" t="s">
        <v>0</v>
      </c>
      <c r="B3" s="57"/>
      <c r="C3" s="57"/>
      <c r="D3" s="57"/>
      <c r="E3" s="58"/>
      <c r="F3" s="59" t="s">
        <v>1</v>
      </c>
      <c r="G3" s="60"/>
      <c r="H3" s="61"/>
    </row>
    <row r="4" spans="1:8" x14ac:dyDescent="0.35">
      <c r="A4" s="15" t="s">
        <v>2</v>
      </c>
      <c r="B4" s="27" t="s">
        <v>3</v>
      </c>
      <c r="C4" s="27" t="s">
        <v>4</v>
      </c>
      <c r="D4" s="27" t="s">
        <v>5</v>
      </c>
      <c r="E4" s="28" t="s">
        <v>6</v>
      </c>
      <c r="F4" s="29" t="s">
        <v>7</v>
      </c>
      <c r="G4" s="30" t="s">
        <v>8</v>
      </c>
      <c r="H4" s="31" t="s">
        <v>9</v>
      </c>
    </row>
    <row r="5" spans="1:8" x14ac:dyDescent="0.35">
      <c r="A5" s="16" t="s">
        <v>10</v>
      </c>
      <c r="B5" s="17">
        <f>SUM(Monthly!B5:B7)</f>
        <v>0</v>
      </c>
      <c r="C5" s="17">
        <f>SUM(Monthly!C5:C7)</f>
        <v>0</v>
      </c>
      <c r="D5" s="18">
        <f>Summary[[#This Row],[Actual]]-Summary[[#This Row],[Expected]]</f>
        <v>0</v>
      </c>
      <c r="E5" s="19">
        <f>IFERROR(Summary[[#This Row],[Delta Expected]]/Summary[[#This Row],[Expected]], 0)</f>
        <v>0</v>
      </c>
      <c r="F5" s="20">
        <f>SUM(Monthly!F5:F7)</f>
        <v>0</v>
      </c>
      <c r="G5" s="21">
        <f>Summary[[#This Row],[Actual]]-Summary[[#This Row],[Forecasted]]</f>
        <v>0</v>
      </c>
      <c r="H5" s="22">
        <f>IFERROR(Summary[[#This Row],[Delta Forecasted]]/Summary[[#This Row],[Forecasted]], 0)</f>
        <v>0</v>
      </c>
    </row>
    <row r="6" spans="1:8" x14ac:dyDescent="0.35">
      <c r="A6" s="23" t="s">
        <v>11</v>
      </c>
      <c r="B6" s="17">
        <f>SUM(Monthly!B8:B10)</f>
        <v>0</v>
      </c>
      <c r="C6" s="17">
        <f>SUM(Monthly!C8:C10)</f>
        <v>0</v>
      </c>
      <c r="D6" s="18">
        <f>Summary[[#This Row],[Actual]]-Summary[[#This Row],[Expected]]</f>
        <v>0</v>
      </c>
      <c r="E6" s="24">
        <f>IFERROR(Summary[[#This Row],[Delta Expected]]/Summary[[#This Row],[Expected]], 0)</f>
        <v>0</v>
      </c>
      <c r="F6" s="25">
        <f>SUM(Monthly!F8:F10)</f>
        <v>0</v>
      </c>
      <c r="G6" s="21">
        <f>Summary[[#This Row],[Actual]]-Summary[[#This Row],[Forecasted]]</f>
        <v>0</v>
      </c>
      <c r="H6" s="22">
        <f>IFERROR(Summary[[#This Row],[Delta Forecasted]]/Summary[[#This Row],[Forecasted]], 0)</f>
        <v>0</v>
      </c>
    </row>
    <row r="7" spans="1:8" x14ac:dyDescent="0.35">
      <c r="A7" s="23" t="s">
        <v>12</v>
      </c>
      <c r="B7" s="18">
        <f>SUM(Monthly!B11:B13)</f>
        <v>0</v>
      </c>
      <c r="C7" s="18">
        <f>SUM(Monthly!C11:C13)</f>
        <v>0</v>
      </c>
      <c r="D7" s="18">
        <f>Summary[[#This Row],[Actual]]-Summary[[#This Row],[Expected]]</f>
        <v>0</v>
      </c>
      <c r="E7" s="24">
        <f>IFERROR(Summary[[#This Row],[Delta Expected]]/Summary[[#This Row],[Expected]], 0)</f>
        <v>0</v>
      </c>
      <c r="F7" s="26">
        <f>SUM(Monthly!F11:F13)</f>
        <v>0</v>
      </c>
      <c r="G7" s="21">
        <f>Summary[[#This Row],[Actual]]-Summary[[#This Row],[Forecasted]]</f>
        <v>0</v>
      </c>
      <c r="H7" s="22">
        <f>IFERROR(Summary[[#This Row],[Delta Forecasted]]/Summary[[#This Row],[Forecasted]], 0)</f>
        <v>0</v>
      </c>
    </row>
    <row r="8" spans="1:8" x14ac:dyDescent="0.35">
      <c r="A8" s="23" t="s">
        <v>13</v>
      </c>
      <c r="B8" s="18">
        <f>SUM(Monthly!B14:B16)</f>
        <v>0</v>
      </c>
      <c r="C8" s="18">
        <f>SUM(Monthly!C14:C16)</f>
        <v>0</v>
      </c>
      <c r="D8" s="18">
        <f>Summary[[#This Row],[Actual]]-Summary[[#This Row],[Expected]]</f>
        <v>0</v>
      </c>
      <c r="E8" s="24">
        <f>IFERROR(Summary[[#This Row],[Delta Expected]]/Summary[[#This Row],[Expected]], 0)</f>
        <v>0</v>
      </c>
      <c r="F8" s="21">
        <f>SUM(Monthly!F14:F16)</f>
        <v>0</v>
      </c>
      <c r="G8" s="21">
        <f>Summary[[#This Row],[Actual]]-Summary[[#This Row],[Forecasted]]</f>
        <v>0</v>
      </c>
      <c r="H8" s="22">
        <f>IFERROR(Summary[[#This Row],[Delta Forecasted]]/Summary[[#This Row],[Forecasted]], 0)</f>
        <v>0</v>
      </c>
    </row>
    <row r="9" spans="1:8" x14ac:dyDescent="0.35">
      <c r="A9" s="51" t="s">
        <v>14</v>
      </c>
      <c r="B9" s="52">
        <f>SUM(Summary[Actual])</f>
        <v>0</v>
      </c>
      <c r="C9" s="52">
        <f>SUM(Summary[Expected])</f>
        <v>0</v>
      </c>
      <c r="D9" s="52">
        <f>B9-C9</f>
        <v>0</v>
      </c>
      <c r="E9" s="53">
        <f>IFERROR(D9/C9, 0)</f>
        <v>0</v>
      </c>
      <c r="F9" s="52">
        <f>SUM(Summary[Forecasted])</f>
        <v>0</v>
      </c>
      <c r="G9" s="52">
        <f>B9-F9</f>
        <v>0</v>
      </c>
      <c r="H9" s="54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sqref="A1:J1"/>
    </sheetView>
  </sheetViews>
  <sheetFormatPr defaultRowHeight="14.5" x14ac:dyDescent="0.35"/>
  <cols>
    <col min="1" max="1" width="10.453125" customWidth="1"/>
    <col min="2" max="2" width="10.54296875" customWidth="1"/>
    <col min="3" max="3" width="11" bestFit="1" customWidth="1"/>
    <col min="4" max="4" width="15" customWidth="1"/>
    <col min="5" max="5" width="13.26953125" customWidth="1"/>
    <col min="6" max="6" width="12.54296875" customWidth="1"/>
    <col min="7" max="7" width="17.1796875" customWidth="1"/>
    <col min="8" max="8" width="15.26953125" customWidth="1"/>
    <col min="9" max="9" width="118.81640625" customWidth="1"/>
    <col min="10" max="10" width="18.81640625" customWidth="1"/>
  </cols>
  <sheetData>
    <row r="1" spans="1:10" ht="30.75" customHeight="1" x14ac:dyDescent="0.35">
      <c r="A1" s="55" t="s">
        <v>32</v>
      </c>
      <c r="B1" s="55"/>
      <c r="C1" s="55"/>
      <c r="D1" s="55"/>
      <c r="E1" s="55"/>
      <c r="F1" s="55"/>
      <c r="G1" s="55"/>
      <c r="H1" s="55"/>
      <c r="I1" s="55"/>
      <c r="J1" s="55"/>
    </row>
    <row r="3" spans="1:10" ht="15.5" x14ac:dyDescent="0.35">
      <c r="A3" s="56" t="s">
        <v>0</v>
      </c>
      <c r="B3" s="57"/>
      <c r="C3" s="57"/>
      <c r="D3" s="57"/>
      <c r="E3" s="58"/>
      <c r="F3" s="59" t="s">
        <v>1</v>
      </c>
      <c r="G3" s="60"/>
      <c r="H3" s="61"/>
      <c r="I3" s="62" t="s">
        <v>15</v>
      </c>
      <c r="J3" s="63"/>
    </row>
    <row r="4" spans="1:10" x14ac:dyDescent="0.35">
      <c r="A4" s="1" t="s">
        <v>16</v>
      </c>
      <c r="B4" s="2" t="s">
        <v>3</v>
      </c>
      <c r="C4" s="2" t="s">
        <v>4</v>
      </c>
      <c r="D4" s="2" t="s">
        <v>5</v>
      </c>
      <c r="E4" s="5" t="s">
        <v>6</v>
      </c>
      <c r="F4" s="3" t="s">
        <v>7</v>
      </c>
      <c r="G4" s="4" t="s">
        <v>8</v>
      </c>
      <c r="H4" s="6" t="s">
        <v>9</v>
      </c>
      <c r="I4" s="7" t="s">
        <v>15</v>
      </c>
      <c r="J4" s="8" t="s">
        <v>17</v>
      </c>
    </row>
    <row r="5" spans="1:10" x14ac:dyDescent="0.35">
      <c r="A5" s="32" t="s">
        <v>18</v>
      </c>
      <c r="B5" s="33"/>
      <c r="C5" s="33"/>
      <c r="D5" s="34">
        <f>Data[[#This Row],[Actual]]-Data[[#This Row],[Expected]]</f>
        <v>0</v>
      </c>
      <c r="E5" s="35">
        <f>IFERROR(Data[[#This Row],[Delta Expected]]/Data[[#This Row],[Expected]], 0)</f>
        <v>0</v>
      </c>
      <c r="F5" s="36"/>
      <c r="G5" s="9">
        <f>Data[[#This Row],[Actual]]-Data[[#This Row],[Forecasted]]</f>
        <v>0</v>
      </c>
      <c r="H5" s="37">
        <f>IFERROR(Data[[#This Row],[Delta Forecasted]]/Data[[#This Row],[Forecasted]], 0)</f>
        <v>0</v>
      </c>
      <c r="I5" s="49"/>
      <c r="J5" s="49" t="s">
        <v>19</v>
      </c>
    </row>
    <row r="6" spans="1:10" x14ac:dyDescent="0.35">
      <c r="A6" s="38" t="s">
        <v>20</v>
      </c>
      <c r="B6" s="34"/>
      <c r="C6" s="34"/>
      <c r="D6" s="34">
        <f>Data[[#This Row],[Actual]]-Data[[#This Row],[Expected]]</f>
        <v>0</v>
      </c>
      <c r="E6" s="39">
        <f>IFERROR(Data[[#This Row],[Delta Expected]]/Data[[#This Row],[Expected]], 0)</f>
        <v>0</v>
      </c>
      <c r="F6" s="40"/>
      <c r="G6" s="9">
        <f>Data[[#This Row],[Actual]]-Data[[#This Row],[Forecasted]]</f>
        <v>0</v>
      </c>
      <c r="H6" s="37">
        <f>IFERROR(Data[[#This Row],[Delta Forecasted]]/Data[[#This Row],[Forecasted]], 0)</f>
        <v>0</v>
      </c>
      <c r="I6" s="49"/>
      <c r="J6" s="49" t="s">
        <v>19</v>
      </c>
    </row>
    <row r="7" spans="1:10" x14ac:dyDescent="0.35">
      <c r="A7" s="38" t="s">
        <v>21</v>
      </c>
      <c r="B7" s="34"/>
      <c r="C7" s="34"/>
      <c r="D7" s="34">
        <f>Data[[#This Row],[Actual]]-Data[[#This Row],[Expected]]</f>
        <v>0</v>
      </c>
      <c r="E7" s="39">
        <f>IFERROR(Data[[#This Row],[Delta Expected]]/Data[[#This Row],[Expected]], 0)</f>
        <v>0</v>
      </c>
      <c r="F7" s="9"/>
      <c r="G7" s="9">
        <f>Data[[#This Row],[Actual]]-Data[[#This Row],[Forecasted]]</f>
        <v>0</v>
      </c>
      <c r="H7" s="37">
        <f>IFERROR(Data[[#This Row],[Delta Forecasted]]/Data[[#This Row],[Forecasted]], 0)</f>
        <v>0</v>
      </c>
      <c r="I7" s="49"/>
      <c r="J7" s="49"/>
    </row>
    <row r="8" spans="1:10" x14ac:dyDescent="0.35">
      <c r="A8" s="38" t="s">
        <v>22</v>
      </c>
      <c r="B8" s="34"/>
      <c r="C8" s="34"/>
      <c r="D8" s="34">
        <f>Data[[#This Row],[Actual]]-Data[[#This Row],[Expected]]</f>
        <v>0</v>
      </c>
      <c r="E8" s="39">
        <f>IFERROR(Data[[#This Row],[Delta Expected]]/Data[[#This Row],[Expected]], 0)</f>
        <v>0</v>
      </c>
      <c r="F8" s="9"/>
      <c r="G8" s="9">
        <f>Data[[#This Row],[Actual]]-Data[[#This Row],[Forecasted]]</f>
        <v>0</v>
      </c>
      <c r="H8" s="37">
        <f>IFERROR(Data[[#This Row],[Delta Forecasted]]/Data[[#This Row],[Forecasted]], 0)</f>
        <v>0</v>
      </c>
      <c r="I8" s="49"/>
      <c r="J8" s="49"/>
    </row>
    <row r="9" spans="1:10" x14ac:dyDescent="0.35">
      <c r="A9" s="38" t="s">
        <v>23</v>
      </c>
      <c r="B9" s="34"/>
      <c r="C9" s="34"/>
      <c r="D9" s="34">
        <f>Data[[#This Row],[Actual]]-Data[[#This Row],[Expected]]</f>
        <v>0</v>
      </c>
      <c r="E9" s="39">
        <f>IFERROR(Data[[#This Row],[Delta Expected]]/Data[[#This Row],[Expected]], 0)</f>
        <v>0</v>
      </c>
      <c r="F9" s="9"/>
      <c r="G9" s="9">
        <f>Data[[#This Row],[Actual]]-Data[[#This Row],[Forecasted]]</f>
        <v>0</v>
      </c>
      <c r="H9" s="37">
        <f>IFERROR(Data[[#This Row],[Delta Forecasted]]/Data[[#This Row],[Forecasted]], 0)</f>
        <v>0</v>
      </c>
      <c r="I9" s="49"/>
      <c r="J9" s="49"/>
    </row>
    <row r="10" spans="1:10" x14ac:dyDescent="0.35">
      <c r="A10" s="38" t="s">
        <v>24</v>
      </c>
      <c r="B10" s="41"/>
      <c r="C10" s="41"/>
      <c r="D10" s="34">
        <f>Data[[#This Row],[Actual]]-Data[[#This Row],[Expected]]</f>
        <v>0</v>
      </c>
      <c r="E10" s="39">
        <f>IFERROR(Data[[#This Row],[Delta Expected]]/Data[[#This Row],[Expected]], 0)</f>
        <v>0</v>
      </c>
      <c r="F10" s="42"/>
      <c r="G10" s="9">
        <f>Data[[#This Row],[Actual]]-Data[[#This Row],[Forecasted]]</f>
        <v>0</v>
      </c>
      <c r="H10" s="37">
        <f>IFERROR(Data[[#This Row],[Delta Forecasted]]/Data[[#This Row],[Forecasted]], 0)</f>
        <v>0</v>
      </c>
      <c r="I10" s="49"/>
      <c r="J10" s="49" t="s">
        <v>19</v>
      </c>
    </row>
    <row r="11" spans="1:10" x14ac:dyDescent="0.35">
      <c r="A11" s="38" t="s">
        <v>25</v>
      </c>
      <c r="B11" s="34"/>
      <c r="C11" s="34"/>
      <c r="D11" s="34">
        <f>Data[[#This Row],[Actual]]-Data[[#This Row],[Expected]]</f>
        <v>0</v>
      </c>
      <c r="E11" s="39">
        <f>IFERROR(Data[[#This Row],[Delta Expected]]/Data[[#This Row],[Expected]], 0)</f>
        <v>0</v>
      </c>
      <c r="F11" s="40"/>
      <c r="G11" s="9">
        <f>Data[[#This Row],[Actual]]-Data[[#This Row],[Forecasted]]</f>
        <v>0</v>
      </c>
      <c r="H11" s="37">
        <f>IFERROR(Data[[#This Row],[Delta Forecasted]]/Data[[#This Row],[Forecasted]], 0)</f>
        <v>0</v>
      </c>
      <c r="I11" s="49"/>
      <c r="J11" s="49" t="s">
        <v>19</v>
      </c>
    </row>
    <row r="12" spans="1:10" x14ac:dyDescent="0.35">
      <c r="A12" s="38" t="s">
        <v>26</v>
      </c>
      <c r="B12" s="34"/>
      <c r="C12" s="34"/>
      <c r="D12" s="34">
        <f>Data[[#This Row],[Actual]]-Data[[#This Row],[Expected]]</f>
        <v>0</v>
      </c>
      <c r="E12" s="39">
        <f>IFERROR(Data[[#This Row],[Delta Expected]]/Data[[#This Row],[Expected]], 0)</f>
        <v>0</v>
      </c>
      <c r="F12" s="9"/>
      <c r="G12" s="9">
        <f>Data[[#This Row],[Actual]]-Data[[#This Row],[Forecasted]]</f>
        <v>0</v>
      </c>
      <c r="H12" s="37">
        <f>IFERROR(Data[[#This Row],[Delta Forecasted]]/Data[[#This Row],[Forecasted]], 0)</f>
        <v>0</v>
      </c>
      <c r="I12" s="49"/>
      <c r="J12" s="49"/>
    </row>
    <row r="13" spans="1:10" x14ac:dyDescent="0.35">
      <c r="A13" s="38" t="s">
        <v>27</v>
      </c>
      <c r="B13" s="34"/>
      <c r="C13" s="34"/>
      <c r="D13" s="34">
        <f>Data[[#This Row],[Actual]]-Data[[#This Row],[Expected]]</f>
        <v>0</v>
      </c>
      <c r="E13" s="39">
        <f>IFERROR(Data[[#This Row],[Delta Expected]]/Data[[#This Row],[Expected]], 0)</f>
        <v>0</v>
      </c>
      <c r="F13" s="9"/>
      <c r="G13" s="9">
        <f>Data[[#This Row],[Actual]]-Data[[#This Row],[Forecasted]]</f>
        <v>0</v>
      </c>
      <c r="H13" s="37">
        <f>IFERROR(Data[[#This Row],[Delta Forecasted]]/Data[[#This Row],[Forecasted]], 0)</f>
        <v>0</v>
      </c>
      <c r="I13" s="49"/>
      <c r="J13" s="49"/>
    </row>
    <row r="14" spans="1:10" x14ac:dyDescent="0.35">
      <c r="A14" s="38" t="s">
        <v>28</v>
      </c>
      <c r="B14" s="34"/>
      <c r="C14" s="34"/>
      <c r="D14" s="34">
        <f>Data[[#This Row],[Actual]]-Data[[#This Row],[Expected]]</f>
        <v>0</v>
      </c>
      <c r="E14" s="39">
        <f>IFERROR(Data[[#This Row],[Delta Expected]]/Data[[#This Row],[Expected]], 0)</f>
        <v>0</v>
      </c>
      <c r="F14" s="9"/>
      <c r="G14" s="9">
        <f>Data[[#This Row],[Actual]]-Data[[#This Row],[Forecasted]]</f>
        <v>0</v>
      </c>
      <c r="H14" s="37">
        <f>IFERROR(Data[[#This Row],[Delta Forecasted]]/Data[[#This Row],[Forecasted]], 0)</f>
        <v>0</v>
      </c>
      <c r="I14" s="49"/>
      <c r="J14" s="49"/>
    </row>
    <row r="15" spans="1:10" x14ac:dyDescent="0.35">
      <c r="A15" s="38" t="s">
        <v>29</v>
      </c>
      <c r="B15" s="41"/>
      <c r="C15" s="41"/>
      <c r="D15" s="34">
        <f>Data[[#This Row],[Actual]]-Data[[#This Row],[Expected]]</f>
        <v>0</v>
      </c>
      <c r="E15" s="39">
        <f>IFERROR(Data[[#This Row],[Delta Expected]]/Data[[#This Row],[Expected]], 0)</f>
        <v>0</v>
      </c>
      <c r="F15" s="42"/>
      <c r="G15" s="9">
        <f>Data[[#This Row],[Actual]]-Data[[#This Row],[Forecasted]]</f>
        <v>0</v>
      </c>
      <c r="H15" s="37">
        <f>IFERROR(Data[[#This Row],[Delta Forecasted]]/Data[[#This Row],[Forecasted]], 0)</f>
        <v>0</v>
      </c>
      <c r="I15" s="49"/>
      <c r="J15" s="49" t="s">
        <v>19</v>
      </c>
    </row>
    <row r="16" spans="1:10" x14ac:dyDescent="0.35">
      <c r="A16" s="43" t="s">
        <v>30</v>
      </c>
      <c r="B16" s="44"/>
      <c r="C16" s="44"/>
      <c r="D16" s="44">
        <f>Data[[#This Row],[Actual]]-Data[[#This Row],[Expected]]</f>
        <v>0</v>
      </c>
      <c r="E16" s="45">
        <f>IFERROR(Data[[#This Row],[Delta Expected]]/Data[[#This Row],[Expected]], 0)</f>
        <v>0</v>
      </c>
      <c r="F16" s="46"/>
      <c r="G16" s="47">
        <f>Data[[#This Row],[Actual]]-Data[[#This Row],[Forecasted]]</f>
        <v>0</v>
      </c>
      <c r="H16" s="48">
        <f>IFERROR(Data[[#This Row],[Delta Forecasted]]/Data[[#This Row],[Forecasted]], 0)</f>
        <v>0</v>
      </c>
      <c r="I16" s="50"/>
      <c r="J16" s="50" t="s">
        <v>19</v>
      </c>
    </row>
    <row r="17" spans="1:10" x14ac:dyDescent="0.35">
      <c r="A17" s="10" t="s">
        <v>31</v>
      </c>
      <c r="B17" s="11">
        <f>SUM(B5:B16)</f>
        <v>0</v>
      </c>
      <c r="C17" s="11">
        <f t="shared" ref="C17:F17" si="0">SUM(C5:C16)</f>
        <v>0</v>
      </c>
      <c r="D17" s="11">
        <f>B17-C17</f>
        <v>0</v>
      </c>
      <c r="E17" s="12">
        <f>IFERROR(D17/C17, 0)</f>
        <v>0</v>
      </c>
      <c r="F17" s="11">
        <f t="shared" si="0"/>
        <v>0</v>
      </c>
      <c r="G17" s="11">
        <f>B17-F17</f>
        <v>0</v>
      </c>
      <c r="H17" s="13">
        <f>IFERROR(G17/F17, 0)</f>
        <v>0</v>
      </c>
      <c r="I17" s="14"/>
      <c r="J17" s="14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2B3471-8E4A-4C0C-8117-98DD5EE2AE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microsoft.com/office/2006/documentManagement/types"/>
    <ds:schemaRef ds:uri="7f39bfab-6331-41a1-b6d4-5b974a316951"/>
    <ds:schemaRef ds:uri="http://schemas.microsoft.com/office/2006/metadata/properties"/>
    <ds:schemaRef ds:uri="http://www.w3.org/XML/1998/namespace"/>
    <ds:schemaRef ds:uri="ddcd8467-55ca-498e-a9f8-86795db5db7a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Quarterly</vt:lpstr>
      <vt:lpstr>Monthly</vt:lpstr>
      <vt:lpstr>name</vt:lpstr>
      <vt:lpstr>Site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Dufault, Michael</cp:lastModifiedBy>
  <cp:revision/>
  <dcterms:created xsi:type="dcterms:W3CDTF">2023-06-15T21:59:03Z</dcterms:created>
  <dcterms:modified xsi:type="dcterms:W3CDTF">2024-08-22T16:34:14Z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2024-08-22T16:32:30Z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125567d5-2d01-4905-9daa-58533b79b870</vt:lpwstr>
  </property>
  <property fmtid="{D5CDD505-2E9C-101B-9397-08002B2CF9AE}" pid="9" name="MSIP_Label_9d817c99-0b37-4a07-8277-96aa1f96b74b_ContentBits">
    <vt:lpwstr>0</vt:lpwstr>
  </property>
</Properties>
</file>